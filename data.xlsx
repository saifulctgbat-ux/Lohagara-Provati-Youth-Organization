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2025\Somiti LPYO\Update html &amp; Excel (LPYO)\Github\"/>
    </mc:Choice>
  </mc:AlternateContent>
  <bookViews>
    <workbookView xWindow="0" yWindow="0" windowWidth="23040" windowHeight="7404" tabRatio="500" activeTab="1"/>
  </bookViews>
  <sheets>
    <sheet name="DASHBOARD" sheetId="1" r:id="rId1"/>
    <sheet name="Member Wise Deposit Summary" sheetId="3" r:id="rId2"/>
    <sheet name="Month Wise Collection Summary" sheetId="4" r:id="rId3"/>
    <sheet name="Month Wise Expenses" sheetId="5" r:id="rId4"/>
    <sheet name="Monthly Collection-2023" sheetId="6" r:id="rId5"/>
    <sheet name="Monthly Collection-2024)" sheetId="7" r:id="rId6"/>
    <sheet name="Monthly Collection-2025" sheetId="8" r:id="rId7"/>
    <sheet name="Monthly Collection-2026" sheetId="9" r:id="rId8"/>
    <sheet name="Monthly Collection-2027" sheetId="10" r:id="rId9"/>
    <sheet name="Monthly Collection-2028" sheetId="11" r:id="rId10"/>
    <sheet name="CNG 1 (Zohir Ahmed)" sheetId="12" r:id="rId11"/>
    <sheet name="CNG 2 (Abu Taher)" sheetId="13" r:id="rId12"/>
    <sheet name="CNG 3 (Zahedul Islam)" sheetId="14" r:id="rId13"/>
    <sheet name="CNG 4 (Sajal Barua)" sheetId="15" r:id="rId14"/>
    <sheet name="CNG 5 (Nurul Abser)" sheetId="16" r:id="rId15"/>
    <sheet name="CNG 6 (Abdul Malek)" sheetId="17" r:id="rId16"/>
    <sheet name="Auto Rikshwa 7 (Kamal Uddin)" sheetId="18" r:id="rId17"/>
    <sheet name="CNG 8 (Md. Yousof)" sheetId="19" r:id="rId18"/>
    <sheet name="CNG 9 (Md. Alamgir" sheetId="28" r:id="rId19"/>
    <sheet name="Auto Rikshwa 10 (Norul Alam)" sheetId="29" r:id="rId20"/>
    <sheet name="Auto Rikshwa 11 (Norul Amin)" sheetId="30" r:id="rId21"/>
    <sheet name="CNG Summary" sheetId="20" r:id="rId22"/>
    <sheet name="Month Wise CNG Instlmnt Summary" sheetId="27" r:id="rId23"/>
    <sheet name="Central Fund Control" sheetId="22" r:id="rId24"/>
    <sheet name="Loan Collection Summary" sheetId="21" r:id="rId25"/>
    <sheet name="Investment Register" sheetId="23" r:id="rId26"/>
    <sheet name="Profit &amp; Loss" sheetId="24" r:id="rId27"/>
    <sheet name="Share Maturity" sheetId="25" r:id="rId28"/>
    <sheet name="Member Final Receivable" sheetId="26" r:id="rId29"/>
  </sheets>
  <definedNames>
    <definedName name="_xlnm._FilterDatabase" localSheetId="1" hidden="1">'Member Wise Deposit Summary'!$A$3:$I$81</definedName>
    <definedName name="_xlnm._FilterDatabase" localSheetId="7" hidden="1">'Monthly Collection-2026'!$B$3:$BC$82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" i="11" l="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4" i="1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4" i="10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4" i="9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4" i="8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4" i="7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5" i="6"/>
  <c r="D4" i="6"/>
  <c r="J15" i="20" l="1"/>
  <c r="J5" i="20"/>
  <c r="J6" i="20"/>
  <c r="J7" i="20"/>
  <c r="J8" i="20"/>
  <c r="J9" i="20"/>
  <c r="J10" i="20"/>
  <c r="J11" i="20"/>
  <c r="J12" i="20"/>
  <c r="J13" i="20"/>
  <c r="J14" i="20"/>
  <c r="J4" i="20"/>
  <c r="AL5" i="9" l="1"/>
  <c r="A1" i="26"/>
  <c r="C17" i="25"/>
  <c r="A1" i="25"/>
  <c r="C9" i="24"/>
  <c r="A1" i="24"/>
  <c r="D17" i="23"/>
  <c r="C17" i="23"/>
  <c r="E8" i="23"/>
  <c r="E7" i="23"/>
  <c r="C9" i="25" s="1"/>
  <c r="A1" i="23"/>
  <c r="Q22" i="21"/>
  <c r="P22" i="21"/>
  <c r="M22" i="21"/>
  <c r="L22" i="21"/>
  <c r="K22" i="21"/>
  <c r="Q21" i="21"/>
  <c r="P21" i="21"/>
  <c r="M21" i="21"/>
  <c r="L21" i="21"/>
  <c r="K21" i="21"/>
  <c r="Q20" i="21"/>
  <c r="M20" i="21" s="1"/>
  <c r="P20" i="21"/>
  <c r="L20" i="21"/>
  <c r="K20" i="21"/>
  <c r="Q19" i="21"/>
  <c r="M19" i="21" s="1"/>
  <c r="P19" i="21"/>
  <c r="L19" i="21"/>
  <c r="K19" i="21"/>
  <c r="N18" i="21"/>
  <c r="L18" i="21"/>
  <c r="K18" i="21"/>
  <c r="Q17" i="21"/>
  <c r="P17" i="21"/>
  <c r="N17" i="21"/>
  <c r="M17" i="21"/>
  <c r="L17" i="21"/>
  <c r="K17" i="21"/>
  <c r="N16" i="21"/>
  <c r="L16" i="21"/>
  <c r="K16" i="21"/>
  <c r="Q15" i="21"/>
  <c r="M15" i="21" s="1"/>
  <c r="P15" i="21"/>
  <c r="N15" i="21"/>
  <c r="L15" i="21"/>
  <c r="K15" i="21"/>
  <c r="N14" i="21"/>
  <c r="L14" i="21"/>
  <c r="K14" i="21"/>
  <c r="N13" i="21"/>
  <c r="Q13" i="21" s="1"/>
  <c r="M13" i="21" s="1"/>
  <c r="L13" i="21"/>
  <c r="K13" i="21"/>
  <c r="T12" i="21"/>
  <c r="L12" i="21"/>
  <c r="N12" i="21" s="1"/>
  <c r="K12" i="21"/>
  <c r="T11" i="21"/>
  <c r="N11" i="21"/>
  <c r="L11" i="21"/>
  <c r="K11" i="21"/>
  <c r="T10" i="21"/>
  <c r="N10" i="21"/>
  <c r="L10" i="21"/>
  <c r="K10" i="21"/>
  <c r="T9" i="21"/>
  <c r="P9" i="21"/>
  <c r="L9" i="21"/>
  <c r="N9" i="21" s="1"/>
  <c r="Q9" i="21" s="1"/>
  <c r="M9" i="21" s="1"/>
  <c r="K9" i="21"/>
  <c r="T8" i="21"/>
  <c r="P8" i="21"/>
  <c r="N8" i="21"/>
  <c r="Q8" i="21" s="1"/>
  <c r="M8" i="21" s="1"/>
  <c r="L8" i="21"/>
  <c r="K8" i="21"/>
  <c r="T7" i="21"/>
  <c r="P7" i="21"/>
  <c r="N7" i="21"/>
  <c r="Q7" i="21" s="1"/>
  <c r="M7" i="21" s="1"/>
  <c r="L7" i="21"/>
  <c r="K7" i="21"/>
  <c r="Q6" i="21"/>
  <c r="M6" i="21" s="1"/>
  <c r="L6" i="21"/>
  <c r="N6" i="21" s="1"/>
  <c r="P6" i="21" s="1"/>
  <c r="K6" i="21"/>
  <c r="N5" i="21"/>
  <c r="L5" i="21"/>
  <c r="K5" i="21"/>
  <c r="T4" i="21"/>
  <c r="L4" i="21"/>
  <c r="N4" i="21" s="1"/>
  <c r="K4" i="21"/>
  <c r="A1" i="21"/>
  <c r="B10" i="22"/>
  <c r="D9" i="22"/>
  <c r="D7" i="22"/>
  <c r="A1" i="22"/>
  <c r="F16" i="27"/>
  <c r="F15" i="27"/>
  <c r="C15" i="27"/>
  <c r="F14" i="27"/>
  <c r="C14" i="27"/>
  <c r="F13" i="27"/>
  <c r="C13" i="27"/>
  <c r="F12" i="27"/>
  <c r="C12" i="27"/>
  <c r="F11" i="27"/>
  <c r="C11" i="27"/>
  <c r="F10" i="27"/>
  <c r="C10" i="27"/>
  <c r="F9" i="27"/>
  <c r="C9" i="27"/>
  <c r="F8" i="27"/>
  <c r="C8" i="27"/>
  <c r="F7" i="27"/>
  <c r="C7" i="27"/>
  <c r="F6" i="27"/>
  <c r="C6" i="27"/>
  <c r="F5" i="27"/>
  <c r="C5" i="27"/>
  <c r="F4" i="27"/>
  <c r="C4" i="27"/>
  <c r="C16" i="27" s="1"/>
  <c r="A1" i="27"/>
  <c r="I14" i="20"/>
  <c r="E14" i="20"/>
  <c r="F13" i="20"/>
  <c r="E13" i="20"/>
  <c r="F12" i="20"/>
  <c r="E12" i="20"/>
  <c r="I11" i="20"/>
  <c r="F11" i="20"/>
  <c r="E11" i="20"/>
  <c r="F10" i="20"/>
  <c r="E10" i="20"/>
  <c r="F9" i="20"/>
  <c r="E9" i="20"/>
  <c r="F8" i="20"/>
  <c r="E8" i="20"/>
  <c r="G7" i="20"/>
  <c r="F7" i="20"/>
  <c r="E7" i="20"/>
  <c r="I6" i="20"/>
  <c r="G6" i="20"/>
  <c r="H6" i="20" s="1"/>
  <c r="F6" i="20"/>
  <c r="E6" i="20"/>
  <c r="G5" i="20"/>
  <c r="F5" i="20"/>
  <c r="E5" i="20"/>
  <c r="I4" i="20"/>
  <c r="F4" i="20"/>
  <c r="E4" i="20"/>
  <c r="A1" i="20"/>
  <c r="C40" i="30"/>
  <c r="C9" i="30"/>
  <c r="C7" i="30"/>
  <c r="A1" i="30"/>
  <c r="C40" i="29"/>
  <c r="I13" i="20" s="1"/>
  <c r="L13" i="20" s="1"/>
  <c r="C12" i="29"/>
  <c r="C13" i="29" s="1"/>
  <c r="C9" i="29"/>
  <c r="A1" i="29"/>
  <c r="C40" i="28"/>
  <c r="I12" i="20" s="1"/>
  <c r="L12" i="20" s="1"/>
  <c r="C9" i="28"/>
  <c r="C12" i="28" s="1"/>
  <c r="C13" i="28" s="1"/>
  <c r="A1" i="28"/>
  <c r="C40" i="19"/>
  <c r="C12" i="19"/>
  <c r="C13" i="19" s="1"/>
  <c r="C9" i="19"/>
  <c r="A1" i="19"/>
  <c r="C40" i="18"/>
  <c r="I10" i="20" s="1"/>
  <c r="C12" i="18"/>
  <c r="C13" i="18" s="1"/>
  <c r="C9" i="18"/>
  <c r="A1" i="18"/>
  <c r="C40" i="17"/>
  <c r="I9" i="20" s="1"/>
  <c r="C13" i="17"/>
  <c r="C9" i="17"/>
  <c r="A1" i="17"/>
  <c r="C40" i="16"/>
  <c r="I8" i="20" s="1"/>
  <c r="C13" i="16"/>
  <c r="C9" i="16"/>
  <c r="A1" i="16"/>
  <c r="C40" i="15"/>
  <c r="I7" i="20" s="1"/>
  <c r="L7" i="20" s="1"/>
  <c r="C9" i="15"/>
  <c r="A1" i="15"/>
  <c r="C40" i="14"/>
  <c r="C41" i="14" s="1"/>
  <c r="A1" i="14"/>
  <c r="C40" i="13"/>
  <c r="C9" i="13"/>
  <c r="A1" i="13"/>
  <c r="C40" i="12"/>
  <c r="C13" i="12"/>
  <c r="A1" i="12"/>
  <c r="BA81" i="11"/>
  <c r="AZ81" i="11"/>
  <c r="AY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BC80" i="11"/>
  <c r="BB80" i="11"/>
  <c r="B80" i="11"/>
  <c r="BC79" i="11"/>
  <c r="BB79" i="11"/>
  <c r="B79" i="11"/>
  <c r="BC78" i="11"/>
  <c r="BB78" i="11"/>
  <c r="B78" i="11"/>
  <c r="BC77" i="11"/>
  <c r="BB77" i="11"/>
  <c r="B77" i="11"/>
  <c r="BC76" i="11"/>
  <c r="BB76" i="11"/>
  <c r="B76" i="11"/>
  <c r="BC75" i="11"/>
  <c r="BB75" i="11"/>
  <c r="B75" i="11"/>
  <c r="BC74" i="11"/>
  <c r="BB74" i="11"/>
  <c r="B74" i="11"/>
  <c r="BC73" i="11"/>
  <c r="BB73" i="11"/>
  <c r="B73" i="11"/>
  <c r="BC72" i="11"/>
  <c r="BB72" i="11"/>
  <c r="B72" i="11"/>
  <c r="BC71" i="11"/>
  <c r="BB71" i="11"/>
  <c r="B71" i="11"/>
  <c r="BC70" i="11"/>
  <c r="BB70" i="11"/>
  <c r="B70" i="11"/>
  <c r="BC69" i="11"/>
  <c r="BB69" i="11"/>
  <c r="B69" i="11"/>
  <c r="BC68" i="11"/>
  <c r="BB68" i="11"/>
  <c r="B68" i="11"/>
  <c r="BC67" i="11"/>
  <c r="BB67" i="11"/>
  <c r="B67" i="11"/>
  <c r="BC66" i="11"/>
  <c r="BB66" i="11"/>
  <c r="B66" i="11"/>
  <c r="BC65" i="11"/>
  <c r="BB65" i="11"/>
  <c r="B65" i="11"/>
  <c r="BC64" i="11"/>
  <c r="BB64" i="11"/>
  <c r="B64" i="11"/>
  <c r="BC63" i="11"/>
  <c r="BB63" i="11"/>
  <c r="B63" i="11"/>
  <c r="BC62" i="11"/>
  <c r="BB62" i="11"/>
  <c r="B62" i="11"/>
  <c r="BC61" i="11"/>
  <c r="BB61" i="11"/>
  <c r="B61" i="11"/>
  <c r="BC60" i="11"/>
  <c r="BB60" i="11"/>
  <c r="B60" i="11"/>
  <c r="BC59" i="11"/>
  <c r="BB59" i="11"/>
  <c r="B59" i="11"/>
  <c r="BC58" i="11"/>
  <c r="BB58" i="11"/>
  <c r="B58" i="11"/>
  <c r="BC57" i="11"/>
  <c r="BB57" i="11"/>
  <c r="B57" i="11"/>
  <c r="BC56" i="11"/>
  <c r="BB56" i="11"/>
  <c r="B56" i="11"/>
  <c r="BC55" i="11"/>
  <c r="BB55" i="11"/>
  <c r="B55" i="11"/>
  <c r="BC54" i="11"/>
  <c r="BB54" i="11"/>
  <c r="B54" i="11"/>
  <c r="BC53" i="11"/>
  <c r="BB53" i="11"/>
  <c r="B53" i="11"/>
  <c r="BC52" i="11"/>
  <c r="BB52" i="11"/>
  <c r="B52" i="11"/>
  <c r="BC51" i="11"/>
  <c r="BB51" i="11"/>
  <c r="B51" i="11"/>
  <c r="BC50" i="11"/>
  <c r="BB50" i="11"/>
  <c r="B50" i="11"/>
  <c r="BC49" i="11"/>
  <c r="BB49" i="11"/>
  <c r="B49" i="11"/>
  <c r="BC48" i="11"/>
  <c r="BB48" i="11"/>
  <c r="B48" i="11"/>
  <c r="BC47" i="11"/>
  <c r="BB47" i="11"/>
  <c r="B47" i="11"/>
  <c r="BC46" i="11"/>
  <c r="BB46" i="11"/>
  <c r="B46" i="11"/>
  <c r="BC45" i="11"/>
  <c r="BB45" i="11"/>
  <c r="B45" i="11"/>
  <c r="BC44" i="11"/>
  <c r="BB44" i="11"/>
  <c r="B44" i="11"/>
  <c r="BC43" i="11"/>
  <c r="BB43" i="11"/>
  <c r="B43" i="11"/>
  <c r="BC42" i="11"/>
  <c r="BB42" i="11"/>
  <c r="B42" i="11"/>
  <c r="BC41" i="11"/>
  <c r="BB41" i="11"/>
  <c r="B41" i="11"/>
  <c r="BC40" i="11"/>
  <c r="BB40" i="11"/>
  <c r="B40" i="11"/>
  <c r="BC39" i="11"/>
  <c r="BB39" i="11"/>
  <c r="B39" i="11"/>
  <c r="BC38" i="11"/>
  <c r="BB38" i="11"/>
  <c r="B38" i="11"/>
  <c r="BC37" i="11"/>
  <c r="BB37" i="11"/>
  <c r="B37" i="11"/>
  <c r="BC36" i="11"/>
  <c r="BB36" i="11"/>
  <c r="B36" i="11"/>
  <c r="BC35" i="11"/>
  <c r="BB35" i="11"/>
  <c r="B35" i="11"/>
  <c r="BC34" i="11"/>
  <c r="BB34" i="11"/>
  <c r="B34" i="11"/>
  <c r="BC33" i="11"/>
  <c r="BB33" i="11"/>
  <c r="B33" i="11"/>
  <c r="BC32" i="11"/>
  <c r="BB32" i="11"/>
  <c r="B32" i="11"/>
  <c r="BC31" i="11"/>
  <c r="BB31" i="11"/>
  <c r="B31" i="11"/>
  <c r="BC30" i="11"/>
  <c r="BB30" i="11"/>
  <c r="B30" i="11"/>
  <c r="BC29" i="11"/>
  <c r="BB29" i="11"/>
  <c r="B29" i="11"/>
  <c r="BC28" i="11"/>
  <c r="BB28" i="11"/>
  <c r="B28" i="11"/>
  <c r="BC27" i="11"/>
  <c r="BB27" i="11"/>
  <c r="B27" i="11"/>
  <c r="BC26" i="11"/>
  <c r="BB26" i="11"/>
  <c r="B26" i="11"/>
  <c r="BC25" i="11"/>
  <c r="BB25" i="11"/>
  <c r="B25" i="11"/>
  <c r="BC24" i="11"/>
  <c r="BB24" i="11"/>
  <c r="B24" i="11"/>
  <c r="BC23" i="11"/>
  <c r="BB23" i="11"/>
  <c r="B23" i="11"/>
  <c r="BC22" i="11"/>
  <c r="BB22" i="11"/>
  <c r="B22" i="11"/>
  <c r="BC21" i="11"/>
  <c r="BB21" i="11"/>
  <c r="B21" i="11"/>
  <c r="BC20" i="11"/>
  <c r="BB20" i="11"/>
  <c r="B20" i="11"/>
  <c r="BC19" i="11"/>
  <c r="BB19" i="11"/>
  <c r="B19" i="11"/>
  <c r="BC18" i="11"/>
  <c r="BB18" i="11"/>
  <c r="B18" i="11"/>
  <c r="BC17" i="11"/>
  <c r="BB17" i="11"/>
  <c r="B17" i="11"/>
  <c r="BC16" i="11"/>
  <c r="BB16" i="11"/>
  <c r="B16" i="11"/>
  <c r="BC15" i="11"/>
  <c r="BB15" i="11"/>
  <c r="B15" i="11"/>
  <c r="BC14" i="11"/>
  <c r="BB14" i="11"/>
  <c r="B14" i="11"/>
  <c r="BC13" i="11"/>
  <c r="BB13" i="11"/>
  <c r="B13" i="11"/>
  <c r="BC12" i="11"/>
  <c r="BB12" i="11"/>
  <c r="B12" i="11"/>
  <c r="BC11" i="11"/>
  <c r="BB11" i="11"/>
  <c r="B11" i="11"/>
  <c r="BC10" i="11"/>
  <c r="BB10" i="11"/>
  <c r="B10" i="11"/>
  <c r="BC9" i="11"/>
  <c r="BB9" i="11"/>
  <c r="B9" i="11"/>
  <c r="BC8" i="11"/>
  <c r="BB8" i="11"/>
  <c r="B8" i="11"/>
  <c r="BC7" i="11"/>
  <c r="BB7" i="11"/>
  <c r="B7" i="11"/>
  <c r="BC6" i="11"/>
  <c r="BB6" i="11"/>
  <c r="B6" i="11"/>
  <c r="BC5" i="11"/>
  <c r="BB5" i="11"/>
  <c r="B5" i="11"/>
  <c r="BC4" i="11"/>
  <c r="BB4" i="11"/>
  <c r="B4" i="11"/>
  <c r="BZ2" i="11"/>
  <c r="BX2" i="11"/>
  <c r="BP2" i="11"/>
  <c r="BL2" i="11"/>
  <c r="BF2" i="11"/>
  <c r="AX2" i="11"/>
  <c r="CB2" i="11" s="1"/>
  <c r="AT2" i="11"/>
  <c r="AP2" i="11"/>
  <c r="AL2" i="11"/>
  <c r="BV2" i="11" s="1"/>
  <c r="AH2" i="11"/>
  <c r="BT2" i="11" s="1"/>
  <c r="AD2" i="11"/>
  <c r="BR2" i="11" s="1"/>
  <c r="Z2" i="11"/>
  <c r="V2" i="11"/>
  <c r="BN2" i="11" s="1"/>
  <c r="R2" i="11"/>
  <c r="N2" i="11"/>
  <c r="BJ2" i="11" s="1"/>
  <c r="J2" i="11"/>
  <c r="BH2" i="11" s="1"/>
  <c r="A1" i="11"/>
  <c r="BC81" i="10"/>
  <c r="BA81" i="10"/>
  <c r="AZ81" i="10"/>
  <c r="AY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K81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BC80" i="10"/>
  <c r="BB80" i="10"/>
  <c r="B80" i="10"/>
  <c r="BC79" i="10"/>
  <c r="BB79" i="10"/>
  <c r="B79" i="10"/>
  <c r="BC78" i="10"/>
  <c r="BB78" i="10"/>
  <c r="B78" i="10"/>
  <c r="BC77" i="10"/>
  <c r="BB77" i="10"/>
  <c r="B77" i="10"/>
  <c r="BC76" i="10"/>
  <c r="BB76" i="10"/>
  <c r="B76" i="10"/>
  <c r="BC75" i="10"/>
  <c r="BB75" i="10"/>
  <c r="B75" i="10"/>
  <c r="BC74" i="10"/>
  <c r="BB74" i="10"/>
  <c r="B74" i="10"/>
  <c r="BC73" i="10"/>
  <c r="BB73" i="10"/>
  <c r="B73" i="10"/>
  <c r="BC72" i="10"/>
  <c r="BB72" i="10"/>
  <c r="B72" i="10"/>
  <c r="BC71" i="10"/>
  <c r="BB71" i="10"/>
  <c r="B71" i="10"/>
  <c r="BC70" i="10"/>
  <c r="BB70" i="10"/>
  <c r="B70" i="10"/>
  <c r="BC69" i="10"/>
  <c r="BB69" i="10"/>
  <c r="B69" i="10"/>
  <c r="BC68" i="10"/>
  <c r="BB68" i="10"/>
  <c r="B68" i="10"/>
  <c r="BC67" i="10"/>
  <c r="BB67" i="10"/>
  <c r="B67" i="10"/>
  <c r="BC66" i="10"/>
  <c r="BB66" i="10"/>
  <c r="B66" i="10"/>
  <c r="BC65" i="10"/>
  <c r="BB65" i="10"/>
  <c r="B65" i="10"/>
  <c r="BC64" i="10"/>
  <c r="BB64" i="10"/>
  <c r="B64" i="10"/>
  <c r="BC63" i="10"/>
  <c r="BB63" i="10"/>
  <c r="B63" i="10"/>
  <c r="BC62" i="10"/>
  <c r="BB62" i="10"/>
  <c r="B62" i="10"/>
  <c r="BC61" i="10"/>
  <c r="BB61" i="10"/>
  <c r="B61" i="10"/>
  <c r="BC60" i="10"/>
  <c r="BB60" i="10"/>
  <c r="B60" i="10"/>
  <c r="BC59" i="10"/>
  <c r="BB59" i="10"/>
  <c r="B59" i="10"/>
  <c r="BC58" i="10"/>
  <c r="BB58" i="10"/>
  <c r="B58" i="10"/>
  <c r="BC57" i="10"/>
  <c r="BB57" i="10"/>
  <c r="B57" i="10"/>
  <c r="BC56" i="10"/>
  <c r="BB56" i="10"/>
  <c r="B56" i="10"/>
  <c r="BC55" i="10"/>
  <c r="BB55" i="10"/>
  <c r="B55" i="10"/>
  <c r="BC54" i="10"/>
  <c r="BB54" i="10"/>
  <c r="B54" i="10"/>
  <c r="BC53" i="10"/>
  <c r="BB53" i="10"/>
  <c r="B53" i="10"/>
  <c r="BC52" i="10"/>
  <c r="BB52" i="10"/>
  <c r="B52" i="10"/>
  <c r="BC51" i="10"/>
  <c r="BB51" i="10"/>
  <c r="B51" i="10"/>
  <c r="BC50" i="10"/>
  <c r="BB50" i="10"/>
  <c r="B50" i="10"/>
  <c r="BC49" i="10"/>
  <c r="BB49" i="10"/>
  <c r="B49" i="10"/>
  <c r="BC48" i="10"/>
  <c r="BB48" i="10"/>
  <c r="B48" i="10"/>
  <c r="BC47" i="10"/>
  <c r="BB47" i="10"/>
  <c r="B47" i="10"/>
  <c r="BC46" i="10"/>
  <c r="BB46" i="10"/>
  <c r="B46" i="10"/>
  <c r="BC45" i="10"/>
  <c r="BB45" i="10"/>
  <c r="B45" i="10"/>
  <c r="BC44" i="10"/>
  <c r="BB44" i="10"/>
  <c r="B44" i="10"/>
  <c r="BC43" i="10"/>
  <c r="BB43" i="10"/>
  <c r="B43" i="10"/>
  <c r="BC42" i="10"/>
  <c r="BB42" i="10"/>
  <c r="B42" i="10"/>
  <c r="BC41" i="10"/>
  <c r="BB41" i="10"/>
  <c r="B41" i="10"/>
  <c r="BC40" i="10"/>
  <c r="BB40" i="10"/>
  <c r="B40" i="10"/>
  <c r="BC39" i="10"/>
  <c r="BB39" i="10"/>
  <c r="B39" i="10"/>
  <c r="BC38" i="10"/>
  <c r="BB38" i="10"/>
  <c r="B38" i="10"/>
  <c r="BC37" i="10"/>
  <c r="BB37" i="10"/>
  <c r="B37" i="10"/>
  <c r="BC36" i="10"/>
  <c r="BB36" i="10"/>
  <c r="B36" i="10"/>
  <c r="BC35" i="10"/>
  <c r="BB35" i="10"/>
  <c r="B35" i="10"/>
  <c r="BC34" i="10"/>
  <c r="BB34" i="10"/>
  <c r="B34" i="10"/>
  <c r="BC33" i="10"/>
  <c r="BB33" i="10"/>
  <c r="B33" i="10"/>
  <c r="BC32" i="10"/>
  <c r="BB32" i="10"/>
  <c r="B32" i="10"/>
  <c r="BC31" i="10"/>
  <c r="BB31" i="10"/>
  <c r="B31" i="10"/>
  <c r="BC30" i="10"/>
  <c r="BB30" i="10"/>
  <c r="B30" i="10"/>
  <c r="BC29" i="10"/>
  <c r="BB29" i="10"/>
  <c r="B29" i="10"/>
  <c r="BC28" i="10"/>
  <c r="BB28" i="10"/>
  <c r="B28" i="10"/>
  <c r="BC27" i="10"/>
  <c r="BB27" i="10"/>
  <c r="B27" i="10"/>
  <c r="BC26" i="10"/>
  <c r="BB26" i="10"/>
  <c r="B26" i="10"/>
  <c r="BC25" i="10"/>
  <c r="BB25" i="10"/>
  <c r="B25" i="10"/>
  <c r="BC24" i="10"/>
  <c r="BB24" i="10"/>
  <c r="B24" i="10"/>
  <c r="BC23" i="10"/>
  <c r="BB23" i="10"/>
  <c r="B23" i="10"/>
  <c r="BC22" i="10"/>
  <c r="BB22" i="10"/>
  <c r="B22" i="10"/>
  <c r="BC21" i="10"/>
  <c r="BB21" i="10"/>
  <c r="B21" i="10"/>
  <c r="BC20" i="10"/>
  <c r="BB20" i="10"/>
  <c r="B20" i="10"/>
  <c r="BC19" i="10"/>
  <c r="BB19" i="10"/>
  <c r="B19" i="10"/>
  <c r="BC18" i="10"/>
  <c r="BB18" i="10"/>
  <c r="B18" i="10"/>
  <c r="BC17" i="10"/>
  <c r="BB17" i="10"/>
  <c r="B17" i="10"/>
  <c r="BC16" i="10"/>
  <c r="BB16" i="10"/>
  <c r="B16" i="10"/>
  <c r="BC15" i="10"/>
  <c r="BB15" i="10"/>
  <c r="B15" i="10"/>
  <c r="BC14" i="10"/>
  <c r="BB14" i="10"/>
  <c r="B14" i="10"/>
  <c r="BC13" i="10"/>
  <c r="BB13" i="10"/>
  <c r="B13" i="10"/>
  <c r="BC12" i="10"/>
  <c r="BB12" i="10"/>
  <c r="B12" i="10"/>
  <c r="BC11" i="10"/>
  <c r="BB11" i="10"/>
  <c r="B11" i="10"/>
  <c r="BC10" i="10"/>
  <c r="BB10" i="10"/>
  <c r="B10" i="10"/>
  <c r="BC9" i="10"/>
  <c r="BB9" i="10"/>
  <c r="B9" i="10"/>
  <c r="BC8" i="10"/>
  <c r="BB8" i="10"/>
  <c r="B8" i="10"/>
  <c r="BC7" i="10"/>
  <c r="BB7" i="10"/>
  <c r="B7" i="10"/>
  <c r="BC6" i="10"/>
  <c r="BB6" i="10"/>
  <c r="B6" i="10"/>
  <c r="BC5" i="10"/>
  <c r="BB5" i="10"/>
  <c r="B5" i="10"/>
  <c r="BC4" i="10"/>
  <c r="BB4" i="10"/>
  <c r="B4" i="10"/>
  <c r="CB2" i="10"/>
  <c r="BT2" i="10"/>
  <c r="BP2" i="10"/>
  <c r="BL2" i="10"/>
  <c r="BF2" i="10"/>
  <c r="AX2" i="10"/>
  <c r="AT2" i="10"/>
  <c r="BZ2" i="10" s="1"/>
  <c r="AP2" i="10"/>
  <c r="BX2" i="10" s="1"/>
  <c r="AL2" i="10"/>
  <c r="BV2" i="10" s="1"/>
  <c r="AH2" i="10"/>
  <c r="AD2" i="10"/>
  <c r="BR2" i="10" s="1"/>
  <c r="Z2" i="10"/>
  <c r="V2" i="10"/>
  <c r="BN2" i="10" s="1"/>
  <c r="R2" i="10"/>
  <c r="N2" i="10"/>
  <c r="BJ2" i="10" s="1"/>
  <c r="J2" i="10"/>
  <c r="BH2" i="10" s="1"/>
  <c r="A1" i="10"/>
  <c r="BA81" i="9"/>
  <c r="AZ81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K81" i="9"/>
  <c r="AJ81" i="9"/>
  <c r="AI81" i="9"/>
  <c r="AG81" i="9"/>
  <c r="AF81" i="9"/>
  <c r="AE81" i="9"/>
  <c r="AC81" i="9"/>
  <c r="AB81" i="9"/>
  <c r="AA81" i="9"/>
  <c r="Y81" i="9"/>
  <c r="X81" i="9"/>
  <c r="W81" i="9"/>
  <c r="U81" i="9"/>
  <c r="T81" i="9"/>
  <c r="S81" i="9"/>
  <c r="Q81" i="9"/>
  <c r="P81" i="9"/>
  <c r="O81" i="9"/>
  <c r="M81" i="9"/>
  <c r="L81" i="9"/>
  <c r="K81" i="9"/>
  <c r="I81" i="9"/>
  <c r="H81" i="9"/>
  <c r="G81" i="9"/>
  <c r="BX80" i="9"/>
  <c r="BT80" i="9"/>
  <c r="BC80" i="9"/>
  <c r="AL80" i="9"/>
  <c r="BV80" i="9" s="1"/>
  <c r="AH80" i="9"/>
  <c r="AD80" i="9"/>
  <c r="BR80" i="9" s="1"/>
  <c r="Z80" i="9"/>
  <c r="BP80" i="9" s="1"/>
  <c r="F80" i="9"/>
  <c r="BF80" i="9" s="1"/>
  <c r="B80" i="9"/>
  <c r="BX79" i="9"/>
  <c r="BV79" i="9"/>
  <c r="BP79" i="9"/>
  <c r="BC79" i="9"/>
  <c r="AL79" i="9"/>
  <c r="AH79" i="9"/>
  <c r="BT79" i="9" s="1"/>
  <c r="AD79" i="9"/>
  <c r="BR79" i="9" s="1"/>
  <c r="Z79" i="9"/>
  <c r="V79" i="9"/>
  <c r="BN79" i="9" s="1"/>
  <c r="J79" i="9"/>
  <c r="BH79" i="9" s="1"/>
  <c r="F79" i="9"/>
  <c r="B79" i="9"/>
  <c r="BP78" i="9"/>
  <c r="BC78" i="9"/>
  <c r="Z78" i="9"/>
  <c r="F78" i="9"/>
  <c r="B78" i="9"/>
  <c r="BC77" i="9"/>
  <c r="R77" i="9"/>
  <c r="B77" i="9"/>
  <c r="BV76" i="9"/>
  <c r="BR76" i="9"/>
  <c r="BN76" i="9"/>
  <c r="BJ76" i="9"/>
  <c r="BF76" i="9"/>
  <c r="BC76" i="9"/>
  <c r="AL76" i="9"/>
  <c r="AD76" i="9"/>
  <c r="V76" i="9"/>
  <c r="R76" i="9"/>
  <c r="BL76" i="9" s="1"/>
  <c r="N76" i="9"/>
  <c r="F76" i="9"/>
  <c r="B76" i="9"/>
  <c r="BT75" i="9"/>
  <c r="BR75" i="9"/>
  <c r="BP75" i="9"/>
  <c r="BF75" i="9"/>
  <c r="BC75" i="9"/>
  <c r="AL75" i="9"/>
  <c r="BV75" i="9" s="1"/>
  <c r="AH75" i="9"/>
  <c r="AD75" i="9"/>
  <c r="Z75" i="9"/>
  <c r="V75" i="9"/>
  <c r="BN75" i="9" s="1"/>
  <c r="R75" i="9"/>
  <c r="BL75" i="9" s="1"/>
  <c r="N75" i="9"/>
  <c r="BJ75" i="9" s="1"/>
  <c r="F75" i="9"/>
  <c r="BB75" i="9" s="1"/>
  <c r="B75" i="9"/>
  <c r="BX74" i="9"/>
  <c r="BV74" i="9"/>
  <c r="BT74" i="9"/>
  <c r="BP74" i="9"/>
  <c r="BN74" i="9"/>
  <c r="BH74" i="9"/>
  <c r="BF74" i="9"/>
  <c r="BC74" i="9"/>
  <c r="AL74" i="9"/>
  <c r="AH74" i="9"/>
  <c r="AD74" i="9"/>
  <c r="BR74" i="9" s="1"/>
  <c r="Z74" i="9"/>
  <c r="V74" i="9"/>
  <c r="R74" i="9"/>
  <c r="BL74" i="9" s="1"/>
  <c r="N74" i="9"/>
  <c r="BJ74" i="9" s="1"/>
  <c r="J74" i="9"/>
  <c r="F74" i="9"/>
  <c r="B74" i="9"/>
  <c r="BX73" i="9"/>
  <c r="BR73" i="9"/>
  <c r="BN73" i="9"/>
  <c r="BJ73" i="9"/>
  <c r="BC73" i="9"/>
  <c r="AL73" i="9"/>
  <c r="BV73" i="9" s="1"/>
  <c r="AH73" i="9"/>
  <c r="BT73" i="9" s="1"/>
  <c r="AD73" i="9"/>
  <c r="Z73" i="9"/>
  <c r="BP73" i="9" s="1"/>
  <c r="V73" i="9"/>
  <c r="R73" i="9"/>
  <c r="BL73" i="9" s="1"/>
  <c r="N73" i="9"/>
  <c r="J73" i="9"/>
  <c r="BH73" i="9" s="1"/>
  <c r="F73" i="9"/>
  <c r="BF73" i="9" s="1"/>
  <c r="B73" i="9"/>
  <c r="BX72" i="9"/>
  <c r="BT72" i="9"/>
  <c r="BR72" i="9"/>
  <c r="BP72" i="9"/>
  <c r="BL72" i="9"/>
  <c r="BF72" i="9"/>
  <c r="BC72" i="9"/>
  <c r="AL72" i="9"/>
  <c r="BV72" i="9" s="1"/>
  <c r="AH72" i="9"/>
  <c r="AD72" i="9"/>
  <c r="Z72" i="9"/>
  <c r="V72" i="9"/>
  <c r="BN72" i="9" s="1"/>
  <c r="R72" i="9"/>
  <c r="N72" i="9"/>
  <c r="BJ72" i="9" s="1"/>
  <c r="J72" i="9"/>
  <c r="BH72" i="9" s="1"/>
  <c r="F72" i="9"/>
  <c r="BB72" i="9" s="1"/>
  <c r="B72" i="9"/>
  <c r="BT71" i="9"/>
  <c r="BP71" i="9"/>
  <c r="BL71" i="9"/>
  <c r="BC71" i="9"/>
  <c r="AH71" i="9"/>
  <c r="AD71" i="9"/>
  <c r="BR71" i="9" s="1"/>
  <c r="Z71" i="9"/>
  <c r="V71" i="9"/>
  <c r="BN71" i="9" s="1"/>
  <c r="R71" i="9"/>
  <c r="N71" i="9"/>
  <c r="BJ71" i="9" s="1"/>
  <c r="J71" i="9"/>
  <c r="BH71" i="9" s="1"/>
  <c r="F71" i="9"/>
  <c r="BF71" i="9" s="1"/>
  <c r="B71" i="9"/>
  <c r="BT70" i="9"/>
  <c r="BL70" i="9"/>
  <c r="BH70" i="9"/>
  <c r="BC70" i="9"/>
  <c r="AH70" i="9"/>
  <c r="AD70" i="9"/>
  <c r="BR70" i="9" s="1"/>
  <c r="Z70" i="9"/>
  <c r="BP70" i="9" s="1"/>
  <c r="V70" i="9"/>
  <c r="BN70" i="9" s="1"/>
  <c r="R70" i="9"/>
  <c r="N70" i="9"/>
  <c r="BJ70" i="9" s="1"/>
  <c r="J70" i="9"/>
  <c r="F70" i="9"/>
  <c r="BF70" i="9" s="1"/>
  <c r="B70" i="9"/>
  <c r="BX69" i="9"/>
  <c r="BT69" i="9"/>
  <c r="BP69" i="9"/>
  <c r="BC69" i="9"/>
  <c r="AL69" i="9"/>
  <c r="BV69" i="9" s="1"/>
  <c r="AH69" i="9"/>
  <c r="AD69" i="9"/>
  <c r="BR69" i="9" s="1"/>
  <c r="Z69" i="9"/>
  <c r="V69" i="9"/>
  <c r="BN69" i="9" s="1"/>
  <c r="R69" i="9"/>
  <c r="BL69" i="9" s="1"/>
  <c r="N69" i="9"/>
  <c r="BJ69" i="9" s="1"/>
  <c r="J69" i="9"/>
  <c r="BH69" i="9" s="1"/>
  <c r="F69" i="9"/>
  <c r="BF69" i="9" s="1"/>
  <c r="B69" i="9"/>
  <c r="BX68" i="9"/>
  <c r="BT68" i="9"/>
  <c r="BR68" i="9"/>
  <c r="BP68" i="9"/>
  <c r="BN68" i="9"/>
  <c r="BJ68" i="9"/>
  <c r="BH68" i="9"/>
  <c r="BC68" i="9"/>
  <c r="AL68" i="9"/>
  <c r="BV68" i="9" s="1"/>
  <c r="AH68" i="9"/>
  <c r="AD68" i="9"/>
  <c r="Z68" i="9"/>
  <c r="V68" i="9"/>
  <c r="R68" i="9"/>
  <c r="BL68" i="9" s="1"/>
  <c r="N68" i="9"/>
  <c r="J68" i="9"/>
  <c r="F68" i="9"/>
  <c r="B68" i="9"/>
  <c r="BX67" i="9"/>
  <c r="BR67" i="9"/>
  <c r="BC67" i="9"/>
  <c r="AL67" i="9"/>
  <c r="BV67" i="9" s="1"/>
  <c r="AH67" i="9"/>
  <c r="BT67" i="9" s="1"/>
  <c r="AD67" i="9"/>
  <c r="Z67" i="9"/>
  <c r="BP67" i="9" s="1"/>
  <c r="V67" i="9"/>
  <c r="BN67" i="9" s="1"/>
  <c r="R67" i="9"/>
  <c r="BL67" i="9" s="1"/>
  <c r="J67" i="9"/>
  <c r="BH67" i="9" s="1"/>
  <c r="F67" i="9"/>
  <c r="BB67" i="9" s="1"/>
  <c r="B67" i="9"/>
  <c r="BN66" i="9"/>
  <c r="BJ66" i="9"/>
  <c r="BF66" i="9"/>
  <c r="BC66" i="9"/>
  <c r="AH66" i="9"/>
  <c r="BT66" i="9" s="1"/>
  <c r="AD66" i="9"/>
  <c r="BR66" i="9" s="1"/>
  <c r="Z66" i="9"/>
  <c r="BP66" i="9" s="1"/>
  <c r="V66" i="9"/>
  <c r="R66" i="9"/>
  <c r="BL66" i="9" s="1"/>
  <c r="N66" i="9"/>
  <c r="J66" i="9"/>
  <c r="BH66" i="9" s="1"/>
  <c r="F66" i="9"/>
  <c r="B66" i="9"/>
  <c r="BC65" i="9"/>
  <c r="BB65" i="9"/>
  <c r="B65" i="9"/>
  <c r="BX64" i="9"/>
  <c r="BR64" i="9"/>
  <c r="BJ64" i="9"/>
  <c r="BC64" i="9"/>
  <c r="AL64" i="9"/>
  <c r="BV64" i="9" s="1"/>
  <c r="AH64" i="9"/>
  <c r="BT64" i="9" s="1"/>
  <c r="AD64" i="9"/>
  <c r="Z64" i="9"/>
  <c r="BP64" i="9" s="1"/>
  <c r="V64" i="9"/>
  <c r="BN64" i="9" s="1"/>
  <c r="R64" i="9"/>
  <c r="BL64" i="9" s="1"/>
  <c r="N64" i="9"/>
  <c r="J64" i="9"/>
  <c r="BH64" i="9" s="1"/>
  <c r="F64" i="9"/>
  <c r="BB64" i="9" s="1"/>
  <c r="B64" i="9"/>
  <c r="BX63" i="9"/>
  <c r="BV63" i="9"/>
  <c r="BT63" i="9"/>
  <c r="BP63" i="9"/>
  <c r="BN63" i="9"/>
  <c r="BL63" i="9"/>
  <c r="BH63" i="9"/>
  <c r="BF63" i="9"/>
  <c r="BC63" i="9"/>
  <c r="AL63" i="9"/>
  <c r="AH63" i="9"/>
  <c r="AD63" i="9"/>
  <c r="BR63" i="9" s="1"/>
  <c r="Z63" i="9"/>
  <c r="V63" i="9"/>
  <c r="R63" i="9"/>
  <c r="N63" i="9"/>
  <c r="BJ63" i="9" s="1"/>
  <c r="J63" i="9"/>
  <c r="BB63" i="9" s="1"/>
  <c r="F63" i="9"/>
  <c r="B63" i="9"/>
  <c r="BX62" i="9"/>
  <c r="BT62" i="9"/>
  <c r="BL62" i="9"/>
  <c r="BH62" i="9"/>
  <c r="BC62" i="9"/>
  <c r="AL62" i="9"/>
  <c r="BV62" i="9" s="1"/>
  <c r="AH62" i="9"/>
  <c r="AD62" i="9"/>
  <c r="BR62" i="9" s="1"/>
  <c r="Z62" i="9"/>
  <c r="BP62" i="9" s="1"/>
  <c r="V62" i="9"/>
  <c r="BN62" i="9" s="1"/>
  <c r="R62" i="9"/>
  <c r="N62" i="9"/>
  <c r="BJ62" i="9" s="1"/>
  <c r="J62" i="9"/>
  <c r="BB62" i="9" s="1"/>
  <c r="F62" i="9"/>
  <c r="BF62" i="9" s="1"/>
  <c r="B62" i="9"/>
  <c r="BX61" i="9"/>
  <c r="BP61" i="9"/>
  <c r="BL61" i="9"/>
  <c r="BH61" i="9"/>
  <c r="BC61" i="9"/>
  <c r="AL61" i="9"/>
  <c r="BV61" i="9" s="1"/>
  <c r="AH61" i="9"/>
  <c r="BT61" i="9" s="1"/>
  <c r="AD61" i="9"/>
  <c r="BR61" i="9" s="1"/>
  <c r="Z61" i="9"/>
  <c r="V61" i="9"/>
  <c r="BN61" i="9" s="1"/>
  <c r="R61" i="9"/>
  <c r="N61" i="9"/>
  <c r="BJ61" i="9" s="1"/>
  <c r="J61" i="9"/>
  <c r="F61" i="9"/>
  <c r="B61" i="9"/>
  <c r="BX60" i="9"/>
  <c r="BC60" i="9"/>
  <c r="AL60" i="9"/>
  <c r="BV60" i="9" s="1"/>
  <c r="AH60" i="9"/>
  <c r="B60" i="9"/>
  <c r="BX59" i="9"/>
  <c r="BP59" i="9"/>
  <c r="BC59" i="9"/>
  <c r="AL59" i="9"/>
  <c r="BV59" i="9" s="1"/>
  <c r="AH59" i="9"/>
  <c r="BT59" i="9" s="1"/>
  <c r="AD59" i="9"/>
  <c r="BR59" i="9" s="1"/>
  <c r="Z59" i="9"/>
  <c r="V59" i="9"/>
  <c r="BN59" i="9" s="1"/>
  <c r="R59" i="9"/>
  <c r="BL59" i="9" s="1"/>
  <c r="N59" i="9"/>
  <c r="BJ59" i="9" s="1"/>
  <c r="J59" i="9"/>
  <c r="BH59" i="9" s="1"/>
  <c r="F59" i="9"/>
  <c r="BF59" i="9" s="1"/>
  <c r="B59" i="9"/>
  <c r="BJ58" i="9"/>
  <c r="BC58" i="9"/>
  <c r="AL58" i="9"/>
  <c r="BV58" i="9" s="1"/>
  <c r="N58" i="9"/>
  <c r="B58" i="9"/>
  <c r="BX57" i="9"/>
  <c r="BP57" i="9"/>
  <c r="BN57" i="9"/>
  <c r="BF57" i="9"/>
  <c r="BC57" i="9"/>
  <c r="AD57" i="9"/>
  <c r="BR57" i="9" s="1"/>
  <c r="Z57" i="9"/>
  <c r="V57" i="9"/>
  <c r="R57" i="9"/>
  <c r="BL57" i="9" s="1"/>
  <c r="F57" i="9"/>
  <c r="B57" i="9"/>
  <c r="BX56" i="9"/>
  <c r="BP56" i="9"/>
  <c r="BC56" i="9"/>
  <c r="AL56" i="9"/>
  <c r="BV56" i="9" s="1"/>
  <c r="AH56" i="9"/>
  <c r="BT56" i="9" s="1"/>
  <c r="AD56" i="9"/>
  <c r="BR56" i="9" s="1"/>
  <c r="Z56" i="9"/>
  <c r="V56" i="9"/>
  <c r="BN56" i="9" s="1"/>
  <c r="R56" i="9"/>
  <c r="BL56" i="9" s="1"/>
  <c r="N56" i="9"/>
  <c r="BJ56" i="9" s="1"/>
  <c r="J56" i="9"/>
  <c r="BH56" i="9" s="1"/>
  <c r="F56" i="9"/>
  <c r="BF56" i="9" s="1"/>
  <c r="B56" i="9"/>
  <c r="BC55" i="9"/>
  <c r="BB55" i="9"/>
  <c r="B55" i="9"/>
  <c r="BX54" i="9"/>
  <c r="BP54" i="9"/>
  <c r="BL54" i="9"/>
  <c r="BH54" i="9"/>
  <c r="BC54" i="9"/>
  <c r="AL54" i="9"/>
  <c r="BV54" i="9" s="1"/>
  <c r="AH54" i="9"/>
  <c r="BT54" i="9" s="1"/>
  <c r="AD54" i="9"/>
  <c r="BR54" i="9" s="1"/>
  <c r="Z54" i="9"/>
  <c r="V54" i="9"/>
  <c r="BN54" i="9" s="1"/>
  <c r="R54" i="9"/>
  <c r="N54" i="9"/>
  <c r="BJ54" i="9" s="1"/>
  <c r="J54" i="9"/>
  <c r="F54" i="9"/>
  <c r="BF54" i="9" s="1"/>
  <c r="B54" i="9"/>
  <c r="BX53" i="9"/>
  <c r="BV53" i="9"/>
  <c r="BR53" i="9"/>
  <c r="BN53" i="9"/>
  <c r="BJ53" i="9"/>
  <c r="BF53" i="9"/>
  <c r="BC53" i="9"/>
  <c r="AL53" i="9"/>
  <c r="AH53" i="9"/>
  <c r="BT53" i="9" s="1"/>
  <c r="AD53" i="9"/>
  <c r="Z53" i="9"/>
  <c r="BP53" i="9" s="1"/>
  <c r="V53" i="9"/>
  <c r="R53" i="9"/>
  <c r="BL53" i="9" s="1"/>
  <c r="N53" i="9"/>
  <c r="J53" i="9"/>
  <c r="BH53" i="9" s="1"/>
  <c r="F53" i="9"/>
  <c r="B53" i="9"/>
  <c r="BX52" i="9"/>
  <c r="BR52" i="9"/>
  <c r="BP52" i="9"/>
  <c r="BN52" i="9"/>
  <c r="BC52" i="9"/>
  <c r="AD52" i="9"/>
  <c r="Z52" i="9"/>
  <c r="V52" i="9"/>
  <c r="R52" i="9"/>
  <c r="BL52" i="9" s="1"/>
  <c r="F52" i="9"/>
  <c r="BF52" i="9" s="1"/>
  <c r="B52" i="9"/>
  <c r="BX51" i="9"/>
  <c r="BC51" i="9"/>
  <c r="AL51" i="9"/>
  <c r="BV51" i="9" s="1"/>
  <c r="AH51" i="9"/>
  <c r="BT51" i="9" s="1"/>
  <c r="AD51" i="9"/>
  <c r="BR51" i="9" s="1"/>
  <c r="Z51" i="9"/>
  <c r="BP51" i="9" s="1"/>
  <c r="V51" i="9"/>
  <c r="BN51" i="9" s="1"/>
  <c r="R51" i="9"/>
  <c r="BL51" i="9" s="1"/>
  <c r="N51" i="9"/>
  <c r="BJ51" i="9" s="1"/>
  <c r="J51" i="9"/>
  <c r="BH51" i="9" s="1"/>
  <c r="F51" i="9"/>
  <c r="BF51" i="9" s="1"/>
  <c r="B51" i="9"/>
  <c r="BV50" i="9"/>
  <c r="BP50" i="9"/>
  <c r="BN50" i="9"/>
  <c r="BH50" i="9"/>
  <c r="BF50" i="9"/>
  <c r="BC50" i="9"/>
  <c r="AL50" i="9"/>
  <c r="AH50" i="9"/>
  <c r="BT50" i="9" s="1"/>
  <c r="AD50" i="9"/>
  <c r="BR50" i="9" s="1"/>
  <c r="Z50" i="9"/>
  <c r="V50" i="9"/>
  <c r="R50" i="9"/>
  <c r="BL50" i="9" s="1"/>
  <c r="N50" i="9"/>
  <c r="BJ50" i="9" s="1"/>
  <c r="J50" i="9"/>
  <c r="F50" i="9"/>
  <c r="B50" i="9"/>
  <c r="BR49" i="9"/>
  <c r="BC49" i="9"/>
  <c r="AL49" i="9"/>
  <c r="BV49" i="9" s="1"/>
  <c r="AH49" i="9"/>
  <c r="BT49" i="9" s="1"/>
  <c r="AD49" i="9"/>
  <c r="Z49" i="9"/>
  <c r="BP49" i="9" s="1"/>
  <c r="V49" i="9"/>
  <c r="BB49" i="9" s="1"/>
  <c r="R49" i="9"/>
  <c r="BL49" i="9" s="1"/>
  <c r="B49" i="9"/>
  <c r="BT48" i="9"/>
  <c r="BH48" i="9"/>
  <c r="BC48" i="9"/>
  <c r="AH48" i="9"/>
  <c r="AD48" i="9"/>
  <c r="BR48" i="9" s="1"/>
  <c r="Z48" i="9"/>
  <c r="BP48" i="9" s="1"/>
  <c r="V48" i="9"/>
  <c r="BN48" i="9" s="1"/>
  <c r="N48" i="9"/>
  <c r="BJ48" i="9" s="1"/>
  <c r="J48" i="9"/>
  <c r="B48" i="9"/>
  <c r="BF47" i="9"/>
  <c r="BC47" i="9"/>
  <c r="J47" i="9"/>
  <c r="F47" i="9"/>
  <c r="B47" i="9"/>
  <c r="BT46" i="9"/>
  <c r="BC46" i="9"/>
  <c r="AH46" i="9"/>
  <c r="AD46" i="9"/>
  <c r="BR46" i="9" s="1"/>
  <c r="N46" i="9"/>
  <c r="BJ46" i="9" s="1"/>
  <c r="J46" i="9"/>
  <c r="BB46" i="9" s="1"/>
  <c r="F46" i="9"/>
  <c r="BF46" i="9" s="1"/>
  <c r="B46" i="9"/>
  <c r="BX45" i="9"/>
  <c r="BP45" i="9"/>
  <c r="BJ45" i="9"/>
  <c r="BH45" i="9"/>
  <c r="BC45" i="9"/>
  <c r="AL45" i="9"/>
  <c r="BV45" i="9" s="1"/>
  <c r="AH45" i="9"/>
  <c r="BT45" i="9" s="1"/>
  <c r="AD45" i="9"/>
  <c r="BR45" i="9" s="1"/>
  <c r="Z45" i="9"/>
  <c r="V45" i="9"/>
  <c r="BN45" i="9" s="1"/>
  <c r="R45" i="9"/>
  <c r="BL45" i="9" s="1"/>
  <c r="N45" i="9"/>
  <c r="J45" i="9"/>
  <c r="F45" i="9"/>
  <c r="BB45" i="9" s="1"/>
  <c r="B45" i="9"/>
  <c r="BX44" i="9"/>
  <c r="BL44" i="9"/>
  <c r="BC44" i="9"/>
  <c r="BB44" i="9"/>
  <c r="AL44" i="9"/>
  <c r="BV44" i="9" s="1"/>
  <c r="AH44" i="9"/>
  <c r="BT44" i="9" s="1"/>
  <c r="Z44" i="9"/>
  <c r="BP44" i="9" s="1"/>
  <c r="B44" i="9"/>
  <c r="BX43" i="9"/>
  <c r="BR43" i="9"/>
  <c r="BP43" i="9"/>
  <c r="BL43" i="9"/>
  <c r="BH43" i="9"/>
  <c r="BC43" i="9"/>
  <c r="AL43" i="9"/>
  <c r="BV43" i="9" s="1"/>
  <c r="AH43" i="9"/>
  <c r="BT43" i="9" s="1"/>
  <c r="AD43" i="9"/>
  <c r="Z43" i="9"/>
  <c r="V43" i="9"/>
  <c r="BN43" i="9" s="1"/>
  <c r="R43" i="9"/>
  <c r="N43" i="9"/>
  <c r="BJ43" i="9" s="1"/>
  <c r="J43" i="9"/>
  <c r="F43" i="9"/>
  <c r="BB43" i="9" s="1"/>
  <c r="B43" i="9"/>
  <c r="BJ42" i="9"/>
  <c r="BF42" i="9"/>
  <c r="BC42" i="9"/>
  <c r="N42" i="9"/>
  <c r="J42" i="9"/>
  <c r="F42" i="9"/>
  <c r="B42" i="9"/>
  <c r="BX41" i="9"/>
  <c r="BP41" i="9"/>
  <c r="BL41" i="9"/>
  <c r="BH41" i="9"/>
  <c r="BC41" i="9"/>
  <c r="AL41" i="9"/>
  <c r="BV41" i="9" s="1"/>
  <c r="AH41" i="9"/>
  <c r="BT41" i="9" s="1"/>
  <c r="AD41" i="9"/>
  <c r="BR41" i="9" s="1"/>
  <c r="Z41" i="9"/>
  <c r="V41" i="9"/>
  <c r="BN41" i="9" s="1"/>
  <c r="R41" i="9"/>
  <c r="N41" i="9"/>
  <c r="BJ41" i="9" s="1"/>
  <c r="J41" i="9"/>
  <c r="F41" i="9"/>
  <c r="BF41" i="9" s="1"/>
  <c r="B41" i="9"/>
  <c r="BX40" i="9"/>
  <c r="BV40" i="9"/>
  <c r="BR40" i="9"/>
  <c r="BN40" i="9"/>
  <c r="BJ40" i="9"/>
  <c r="BF40" i="9"/>
  <c r="BC40" i="9"/>
  <c r="AL40" i="9"/>
  <c r="AH40" i="9"/>
  <c r="BT40" i="9" s="1"/>
  <c r="AD40" i="9"/>
  <c r="Z40" i="9"/>
  <c r="BP40" i="9" s="1"/>
  <c r="V40" i="9"/>
  <c r="R40" i="9"/>
  <c r="BL40" i="9" s="1"/>
  <c r="N40" i="9"/>
  <c r="J40" i="9"/>
  <c r="BH40" i="9" s="1"/>
  <c r="F40" i="9"/>
  <c r="B40" i="9"/>
  <c r="BX39" i="9"/>
  <c r="BT39" i="9"/>
  <c r="BL39" i="9"/>
  <c r="BH39" i="9"/>
  <c r="BC39" i="9"/>
  <c r="AL39" i="9"/>
  <c r="BV39" i="9" s="1"/>
  <c r="AH39" i="9"/>
  <c r="AD39" i="9"/>
  <c r="BR39" i="9" s="1"/>
  <c r="Z39" i="9"/>
  <c r="BP39" i="9" s="1"/>
  <c r="V39" i="9"/>
  <c r="BN39" i="9" s="1"/>
  <c r="R39" i="9"/>
  <c r="N39" i="9"/>
  <c r="BJ39" i="9" s="1"/>
  <c r="J39" i="9"/>
  <c r="F39" i="9"/>
  <c r="B39" i="9"/>
  <c r="BX38" i="9"/>
  <c r="BC38" i="9"/>
  <c r="AL38" i="9"/>
  <c r="BV38" i="9" s="1"/>
  <c r="AH38" i="9"/>
  <c r="BT38" i="9" s="1"/>
  <c r="AD38" i="9"/>
  <c r="BR38" i="9" s="1"/>
  <c r="Z38" i="9"/>
  <c r="BP38" i="9" s="1"/>
  <c r="V38" i="9"/>
  <c r="BN38" i="9" s="1"/>
  <c r="R38" i="9"/>
  <c r="BL38" i="9" s="1"/>
  <c r="N38" i="9"/>
  <c r="BJ38" i="9" s="1"/>
  <c r="J38" i="9"/>
  <c r="F38" i="9"/>
  <c r="BF38" i="9" s="1"/>
  <c r="B38" i="9"/>
  <c r="BX37" i="9"/>
  <c r="BV37" i="9"/>
  <c r="BP37" i="9"/>
  <c r="BN37" i="9"/>
  <c r="BJ37" i="9"/>
  <c r="BH37" i="9"/>
  <c r="BF37" i="9"/>
  <c r="BC37" i="9"/>
  <c r="AL37" i="9"/>
  <c r="AH37" i="9"/>
  <c r="BT37" i="9" s="1"/>
  <c r="AD37" i="9"/>
  <c r="BR37" i="9" s="1"/>
  <c r="Z37" i="9"/>
  <c r="V37" i="9"/>
  <c r="R37" i="9"/>
  <c r="BL37" i="9" s="1"/>
  <c r="N37" i="9"/>
  <c r="J37" i="9"/>
  <c r="F37" i="9"/>
  <c r="B37" i="9"/>
  <c r="BR36" i="9"/>
  <c r="BN36" i="9"/>
  <c r="BF36" i="9"/>
  <c r="BC36" i="9"/>
  <c r="AH36" i="9"/>
  <c r="BT36" i="9" s="1"/>
  <c r="AD36" i="9"/>
  <c r="V36" i="9"/>
  <c r="N36" i="9"/>
  <c r="BJ36" i="9" s="1"/>
  <c r="J36" i="9"/>
  <c r="F36" i="9"/>
  <c r="B36" i="9"/>
  <c r="BX35" i="9"/>
  <c r="BT35" i="9"/>
  <c r="BL35" i="9"/>
  <c r="BH35" i="9"/>
  <c r="BC35" i="9"/>
  <c r="AL35" i="9"/>
  <c r="BV35" i="9" s="1"/>
  <c r="AH35" i="9"/>
  <c r="AD35" i="9"/>
  <c r="BR35" i="9" s="1"/>
  <c r="Z35" i="9"/>
  <c r="BP35" i="9" s="1"/>
  <c r="V35" i="9"/>
  <c r="BN35" i="9" s="1"/>
  <c r="R35" i="9"/>
  <c r="N35" i="9"/>
  <c r="BJ35" i="9" s="1"/>
  <c r="J35" i="9"/>
  <c r="BB35" i="9" s="1"/>
  <c r="F35" i="9"/>
  <c r="BF35" i="9" s="1"/>
  <c r="B35" i="9"/>
  <c r="BX34" i="9"/>
  <c r="BR34" i="9"/>
  <c r="BP34" i="9"/>
  <c r="BL34" i="9"/>
  <c r="BH34" i="9"/>
  <c r="BF34" i="9"/>
  <c r="BC34" i="9"/>
  <c r="AL34" i="9"/>
  <c r="BV34" i="9" s="1"/>
  <c r="AH34" i="9"/>
  <c r="BT34" i="9" s="1"/>
  <c r="AD34" i="9"/>
  <c r="Z34" i="9"/>
  <c r="V34" i="9"/>
  <c r="BN34" i="9" s="1"/>
  <c r="R34" i="9"/>
  <c r="N34" i="9"/>
  <c r="BJ34" i="9" s="1"/>
  <c r="J34" i="9"/>
  <c r="F34" i="9"/>
  <c r="B34" i="9"/>
  <c r="BX33" i="9"/>
  <c r="BR33" i="9"/>
  <c r="BN33" i="9"/>
  <c r="BJ33" i="9"/>
  <c r="BF33" i="9"/>
  <c r="BC33" i="9"/>
  <c r="AL33" i="9"/>
  <c r="BV33" i="9" s="1"/>
  <c r="AH33" i="9"/>
  <c r="BT33" i="9" s="1"/>
  <c r="AD33" i="9"/>
  <c r="Z33" i="9"/>
  <c r="BP33" i="9" s="1"/>
  <c r="V33" i="9"/>
  <c r="R33" i="9"/>
  <c r="BL33" i="9" s="1"/>
  <c r="N33" i="9"/>
  <c r="J33" i="9"/>
  <c r="BH33" i="9" s="1"/>
  <c r="F33" i="9"/>
  <c r="B33" i="9"/>
  <c r="BX32" i="9"/>
  <c r="BT32" i="9"/>
  <c r="BL32" i="9"/>
  <c r="BH32" i="9"/>
  <c r="BC32" i="9"/>
  <c r="AL32" i="9"/>
  <c r="BV32" i="9" s="1"/>
  <c r="AH32" i="9"/>
  <c r="AD32" i="9"/>
  <c r="BR32" i="9" s="1"/>
  <c r="Z32" i="9"/>
  <c r="BP32" i="9" s="1"/>
  <c r="V32" i="9"/>
  <c r="BN32" i="9" s="1"/>
  <c r="R32" i="9"/>
  <c r="N32" i="9"/>
  <c r="BJ32" i="9" s="1"/>
  <c r="J32" i="9"/>
  <c r="F32" i="9"/>
  <c r="B32" i="9"/>
  <c r="BX31" i="9"/>
  <c r="BC31" i="9"/>
  <c r="AL31" i="9"/>
  <c r="BV31" i="9" s="1"/>
  <c r="AH31" i="9"/>
  <c r="BT31" i="9" s="1"/>
  <c r="AD31" i="9"/>
  <c r="BR31" i="9" s="1"/>
  <c r="Z31" i="9"/>
  <c r="BP31" i="9" s="1"/>
  <c r="V31" i="9"/>
  <c r="BN31" i="9" s="1"/>
  <c r="R31" i="9"/>
  <c r="BL31" i="9" s="1"/>
  <c r="N31" i="9"/>
  <c r="BJ31" i="9" s="1"/>
  <c r="J31" i="9"/>
  <c r="BH31" i="9" s="1"/>
  <c r="F31" i="9"/>
  <c r="BF31" i="9" s="1"/>
  <c r="B31" i="9"/>
  <c r="BX30" i="9"/>
  <c r="BV30" i="9"/>
  <c r="BP30" i="9"/>
  <c r="BN30" i="9"/>
  <c r="BH30" i="9"/>
  <c r="BF30" i="9"/>
  <c r="BC30" i="9"/>
  <c r="AL30" i="9"/>
  <c r="AH30" i="9"/>
  <c r="BT30" i="9" s="1"/>
  <c r="AD30" i="9"/>
  <c r="BR30" i="9" s="1"/>
  <c r="Z30" i="9"/>
  <c r="V30" i="9"/>
  <c r="R30" i="9"/>
  <c r="BL30" i="9" s="1"/>
  <c r="N30" i="9"/>
  <c r="BJ30" i="9" s="1"/>
  <c r="J30" i="9"/>
  <c r="F30" i="9"/>
  <c r="B30" i="9"/>
  <c r="BR29" i="9"/>
  <c r="BC29" i="9"/>
  <c r="AL29" i="9"/>
  <c r="BV29" i="9" s="1"/>
  <c r="AH29" i="9"/>
  <c r="BT29" i="9" s="1"/>
  <c r="AD29" i="9"/>
  <c r="Z29" i="9"/>
  <c r="BP29" i="9" s="1"/>
  <c r="R29" i="9"/>
  <c r="BL29" i="9" s="1"/>
  <c r="N29" i="9"/>
  <c r="BJ29" i="9" s="1"/>
  <c r="J29" i="9"/>
  <c r="BH29" i="9" s="1"/>
  <c r="F29" i="9"/>
  <c r="BF29" i="9" s="1"/>
  <c r="B29" i="9"/>
  <c r="BV28" i="9"/>
  <c r="BJ28" i="9"/>
  <c r="BC28" i="9"/>
  <c r="AL28" i="9"/>
  <c r="Z28" i="9"/>
  <c r="BP28" i="9" s="1"/>
  <c r="R28" i="9"/>
  <c r="BL28" i="9" s="1"/>
  <c r="N28" i="9"/>
  <c r="J28" i="9"/>
  <c r="BH28" i="9" s="1"/>
  <c r="F28" i="9"/>
  <c r="B28" i="9"/>
  <c r="BC27" i="9"/>
  <c r="BB27" i="9"/>
  <c r="F27" i="9"/>
  <c r="BF27" i="9" s="1"/>
  <c r="B27" i="9"/>
  <c r="BF26" i="9"/>
  <c r="BC26" i="9"/>
  <c r="V26" i="9"/>
  <c r="BN26" i="9" s="1"/>
  <c r="R26" i="9"/>
  <c r="BL26" i="9" s="1"/>
  <c r="N26" i="9"/>
  <c r="BJ26" i="9" s="1"/>
  <c r="F26" i="9"/>
  <c r="BB26" i="9" s="1"/>
  <c r="B26" i="9"/>
  <c r="BV25" i="9"/>
  <c r="BP25" i="9"/>
  <c r="BL25" i="9"/>
  <c r="BF25" i="9"/>
  <c r="BC25" i="9"/>
  <c r="AL25" i="9"/>
  <c r="AH25" i="9"/>
  <c r="BT25" i="9" s="1"/>
  <c r="AD25" i="9"/>
  <c r="BR25" i="9" s="1"/>
  <c r="Z25" i="9"/>
  <c r="R25" i="9"/>
  <c r="J25" i="9"/>
  <c r="BH25" i="9" s="1"/>
  <c r="F25" i="9"/>
  <c r="B25" i="9"/>
  <c r="BX24" i="9"/>
  <c r="BP24" i="9"/>
  <c r="BC24" i="9"/>
  <c r="AL24" i="9"/>
  <c r="BV24" i="9" s="1"/>
  <c r="AH24" i="9"/>
  <c r="BT24" i="9" s="1"/>
  <c r="AD24" i="9"/>
  <c r="BR24" i="9" s="1"/>
  <c r="Z24" i="9"/>
  <c r="V24" i="9"/>
  <c r="BN24" i="9" s="1"/>
  <c r="R24" i="9"/>
  <c r="BL24" i="9" s="1"/>
  <c r="N24" i="9"/>
  <c r="BJ24" i="9" s="1"/>
  <c r="J24" i="9"/>
  <c r="BH24" i="9" s="1"/>
  <c r="B24" i="9"/>
  <c r="BX23" i="9"/>
  <c r="BT23" i="9"/>
  <c r="BL23" i="9"/>
  <c r="BH23" i="9"/>
  <c r="BC23" i="9"/>
  <c r="AL23" i="9"/>
  <c r="BV23" i="9" s="1"/>
  <c r="AH23" i="9"/>
  <c r="AD23" i="9"/>
  <c r="BR23" i="9" s="1"/>
  <c r="Z23" i="9"/>
  <c r="BP23" i="9" s="1"/>
  <c r="V23" i="9"/>
  <c r="BN23" i="9" s="1"/>
  <c r="R23" i="9"/>
  <c r="N23" i="9"/>
  <c r="BJ23" i="9" s="1"/>
  <c r="J23" i="9"/>
  <c r="F23" i="9"/>
  <c r="BF23" i="9" s="1"/>
  <c r="B23" i="9"/>
  <c r="BX22" i="9"/>
  <c r="BV22" i="9"/>
  <c r="BP22" i="9"/>
  <c r="BL22" i="9"/>
  <c r="BH22" i="9"/>
  <c r="BC22" i="9"/>
  <c r="AL22" i="9"/>
  <c r="AH22" i="9"/>
  <c r="BT22" i="9" s="1"/>
  <c r="AD22" i="9"/>
  <c r="BR22" i="9" s="1"/>
  <c r="Z22" i="9"/>
  <c r="V22" i="9"/>
  <c r="BN22" i="9" s="1"/>
  <c r="R22" i="9"/>
  <c r="N22" i="9"/>
  <c r="BJ22" i="9" s="1"/>
  <c r="J22" i="9"/>
  <c r="F22" i="9"/>
  <c r="B22" i="9"/>
  <c r="BR21" i="9"/>
  <c r="BN21" i="9"/>
  <c r="BJ21" i="9"/>
  <c r="BC21" i="9"/>
  <c r="AH21" i="9"/>
  <c r="BT21" i="9" s="1"/>
  <c r="AD21" i="9"/>
  <c r="Z21" i="9"/>
  <c r="BP21" i="9" s="1"/>
  <c r="V21" i="9"/>
  <c r="R21" i="9"/>
  <c r="BL21" i="9" s="1"/>
  <c r="N21" i="9"/>
  <c r="J21" i="9"/>
  <c r="BH21" i="9" s="1"/>
  <c r="F21" i="9"/>
  <c r="BF21" i="9" s="1"/>
  <c r="B21" i="9"/>
  <c r="BX20" i="9"/>
  <c r="BV20" i="9"/>
  <c r="BR20" i="9"/>
  <c r="BN20" i="9"/>
  <c r="BJ20" i="9"/>
  <c r="BF20" i="9"/>
  <c r="BC20" i="9"/>
  <c r="AL20" i="9"/>
  <c r="AH20" i="9"/>
  <c r="BT20" i="9" s="1"/>
  <c r="AD20" i="9"/>
  <c r="Z20" i="9"/>
  <c r="BP20" i="9" s="1"/>
  <c r="V20" i="9"/>
  <c r="R20" i="9"/>
  <c r="BL20" i="9" s="1"/>
  <c r="N20" i="9"/>
  <c r="J20" i="9"/>
  <c r="BH20" i="9" s="1"/>
  <c r="F20" i="9"/>
  <c r="B20" i="9"/>
  <c r="BT19" i="9"/>
  <c r="BP19" i="9"/>
  <c r="BL19" i="9"/>
  <c r="BF19" i="9"/>
  <c r="BC19" i="9"/>
  <c r="AL19" i="9"/>
  <c r="BV19" i="9" s="1"/>
  <c r="AH19" i="9"/>
  <c r="AD19" i="9"/>
  <c r="BR19" i="9" s="1"/>
  <c r="Z19" i="9"/>
  <c r="V19" i="9"/>
  <c r="BN19" i="9" s="1"/>
  <c r="R19" i="9"/>
  <c r="N19" i="9"/>
  <c r="BJ19" i="9" s="1"/>
  <c r="J19" i="9"/>
  <c r="BH19" i="9" s="1"/>
  <c r="F19" i="9"/>
  <c r="B19" i="9"/>
  <c r="BX18" i="9"/>
  <c r="BH18" i="9"/>
  <c r="BC18" i="9"/>
  <c r="AL18" i="9"/>
  <c r="BV18" i="9" s="1"/>
  <c r="AH18" i="9"/>
  <c r="BT18" i="9" s="1"/>
  <c r="AD18" i="9"/>
  <c r="BR18" i="9" s="1"/>
  <c r="Z18" i="9"/>
  <c r="BP18" i="9" s="1"/>
  <c r="V18" i="9"/>
  <c r="BN18" i="9" s="1"/>
  <c r="R18" i="9"/>
  <c r="BL18" i="9" s="1"/>
  <c r="N18" i="9"/>
  <c r="BJ18" i="9" s="1"/>
  <c r="J18" i="9"/>
  <c r="BB18" i="9" s="1"/>
  <c r="F18" i="9"/>
  <c r="BF18" i="9" s="1"/>
  <c r="B18" i="9"/>
  <c r="BX17" i="9"/>
  <c r="BR17" i="9"/>
  <c r="BP17" i="9"/>
  <c r="BH17" i="9"/>
  <c r="BF17" i="9"/>
  <c r="BC17" i="9"/>
  <c r="AL17" i="9"/>
  <c r="BV17" i="9" s="1"/>
  <c r="AH17" i="9"/>
  <c r="BT17" i="9" s="1"/>
  <c r="AD17" i="9"/>
  <c r="Z17" i="9"/>
  <c r="V17" i="9"/>
  <c r="BN17" i="9" s="1"/>
  <c r="R17" i="9"/>
  <c r="BL17" i="9" s="1"/>
  <c r="N17" i="9"/>
  <c r="BJ17" i="9" s="1"/>
  <c r="J17" i="9"/>
  <c r="F17" i="9"/>
  <c r="BB17" i="9" s="1"/>
  <c r="B17" i="9"/>
  <c r="BX16" i="9"/>
  <c r="BR16" i="9"/>
  <c r="BJ16" i="9"/>
  <c r="BC16" i="9"/>
  <c r="AL16" i="9"/>
  <c r="BV16" i="9" s="1"/>
  <c r="AH16" i="9"/>
  <c r="BT16" i="9" s="1"/>
  <c r="AD16" i="9"/>
  <c r="Z16" i="9"/>
  <c r="BP16" i="9" s="1"/>
  <c r="V16" i="9"/>
  <c r="BN16" i="9" s="1"/>
  <c r="R16" i="9"/>
  <c r="BL16" i="9" s="1"/>
  <c r="N16" i="9"/>
  <c r="J16" i="9"/>
  <c r="BH16" i="9" s="1"/>
  <c r="F16" i="9"/>
  <c r="BB16" i="9" s="1"/>
  <c r="B16" i="9"/>
  <c r="BX15" i="9"/>
  <c r="BV15" i="9"/>
  <c r="BT15" i="9"/>
  <c r="BN15" i="9"/>
  <c r="BJ15" i="9"/>
  <c r="BH15" i="9"/>
  <c r="BF15" i="9"/>
  <c r="BC15" i="9"/>
  <c r="AL15" i="9"/>
  <c r="AH15" i="9"/>
  <c r="AD15" i="9"/>
  <c r="BR15" i="9" s="1"/>
  <c r="Z15" i="9"/>
  <c r="BP15" i="9" s="1"/>
  <c r="V15" i="9"/>
  <c r="N15" i="9"/>
  <c r="J15" i="9"/>
  <c r="F15" i="9"/>
  <c r="BB15" i="9" s="1"/>
  <c r="B15" i="9"/>
  <c r="BX14" i="9"/>
  <c r="BT14" i="9"/>
  <c r="BP14" i="9"/>
  <c r="BL14" i="9"/>
  <c r="BJ14" i="9"/>
  <c r="BC14" i="9"/>
  <c r="AL14" i="9"/>
  <c r="BV14" i="9" s="1"/>
  <c r="AH14" i="9"/>
  <c r="AD14" i="9"/>
  <c r="BR14" i="9" s="1"/>
  <c r="Z14" i="9"/>
  <c r="V14" i="9"/>
  <c r="BN14" i="9" s="1"/>
  <c r="R14" i="9"/>
  <c r="N14" i="9"/>
  <c r="J14" i="9"/>
  <c r="BH14" i="9" s="1"/>
  <c r="F14" i="9"/>
  <c r="B14" i="9"/>
  <c r="BC13" i="9"/>
  <c r="AL13" i="9"/>
  <c r="BV13" i="9" s="1"/>
  <c r="AH13" i="9"/>
  <c r="BT13" i="9" s="1"/>
  <c r="AD13" i="9"/>
  <c r="BR13" i="9" s="1"/>
  <c r="Z13" i="9"/>
  <c r="BP13" i="9" s="1"/>
  <c r="V13" i="9"/>
  <c r="BN13" i="9" s="1"/>
  <c r="R13" i="9"/>
  <c r="BL13" i="9" s="1"/>
  <c r="N13" i="9"/>
  <c r="BJ13" i="9" s="1"/>
  <c r="F13" i="9"/>
  <c r="BF13" i="9" s="1"/>
  <c r="B13" i="9"/>
  <c r="BX12" i="9"/>
  <c r="BC12" i="9"/>
  <c r="AL12" i="9"/>
  <c r="BV12" i="9" s="1"/>
  <c r="AH12" i="9"/>
  <c r="BT12" i="9" s="1"/>
  <c r="AD12" i="9"/>
  <c r="BR12" i="9" s="1"/>
  <c r="Z12" i="9"/>
  <c r="BP12" i="9" s="1"/>
  <c r="V12" i="9"/>
  <c r="BN12" i="9" s="1"/>
  <c r="R12" i="9"/>
  <c r="BL12" i="9" s="1"/>
  <c r="N12" i="9"/>
  <c r="BJ12" i="9" s="1"/>
  <c r="J12" i="9"/>
  <c r="BH12" i="9" s="1"/>
  <c r="F12" i="9"/>
  <c r="BF12" i="9" s="1"/>
  <c r="B12" i="9"/>
  <c r="BX11" i="9"/>
  <c r="BV11" i="9"/>
  <c r="BP11" i="9"/>
  <c r="BN11" i="9"/>
  <c r="BH11" i="9"/>
  <c r="BF11" i="9"/>
  <c r="BC11" i="9"/>
  <c r="AL11" i="9"/>
  <c r="AH11" i="9"/>
  <c r="BT11" i="9" s="1"/>
  <c r="AD11" i="9"/>
  <c r="BR11" i="9" s="1"/>
  <c r="Z11" i="9"/>
  <c r="V11" i="9"/>
  <c r="R11" i="9"/>
  <c r="BL11" i="9" s="1"/>
  <c r="N11" i="9"/>
  <c r="BJ11" i="9" s="1"/>
  <c r="J11" i="9"/>
  <c r="F11" i="9"/>
  <c r="B11" i="9"/>
  <c r="BX10" i="9"/>
  <c r="BR10" i="9"/>
  <c r="BN10" i="9"/>
  <c r="BJ10" i="9"/>
  <c r="BC10" i="9"/>
  <c r="AL10" i="9"/>
  <c r="BV10" i="9" s="1"/>
  <c r="AH10" i="9"/>
  <c r="BT10" i="9" s="1"/>
  <c r="AD10" i="9"/>
  <c r="Z10" i="9"/>
  <c r="BP10" i="9" s="1"/>
  <c r="V10" i="9"/>
  <c r="R10" i="9"/>
  <c r="BL10" i="9" s="1"/>
  <c r="N10" i="9"/>
  <c r="J10" i="9"/>
  <c r="BH10" i="9" s="1"/>
  <c r="F10" i="9"/>
  <c r="BF10" i="9" s="1"/>
  <c r="B10" i="9"/>
  <c r="BX9" i="9"/>
  <c r="BV9" i="9"/>
  <c r="BT9" i="9"/>
  <c r="BL9" i="9"/>
  <c r="BC9" i="9"/>
  <c r="AL9" i="9"/>
  <c r="AH9" i="9"/>
  <c r="R9" i="9"/>
  <c r="F9" i="9"/>
  <c r="BF9" i="9" s="1"/>
  <c r="B9" i="9"/>
  <c r="BX8" i="9"/>
  <c r="BT8" i="9"/>
  <c r="BR8" i="9"/>
  <c r="BN8" i="9"/>
  <c r="BL8" i="9"/>
  <c r="BJ8" i="9"/>
  <c r="BC8" i="9"/>
  <c r="AL8" i="9"/>
  <c r="BV8" i="9" s="1"/>
  <c r="AH8" i="9"/>
  <c r="AD8" i="9"/>
  <c r="Z8" i="9"/>
  <c r="BP8" i="9" s="1"/>
  <c r="V8" i="9"/>
  <c r="R8" i="9"/>
  <c r="N8" i="9"/>
  <c r="J8" i="9"/>
  <c r="BH8" i="9" s="1"/>
  <c r="F8" i="9"/>
  <c r="BF8" i="9" s="1"/>
  <c r="B8" i="9"/>
  <c r="BX7" i="9"/>
  <c r="BC7" i="9"/>
  <c r="AL7" i="9"/>
  <c r="BV7" i="9" s="1"/>
  <c r="AH7" i="9"/>
  <c r="BT7" i="9" s="1"/>
  <c r="AD7" i="9"/>
  <c r="BR7" i="9" s="1"/>
  <c r="Z7" i="9"/>
  <c r="BP7" i="9" s="1"/>
  <c r="V7" i="9"/>
  <c r="BN7" i="9" s="1"/>
  <c r="R7" i="9"/>
  <c r="BL7" i="9" s="1"/>
  <c r="N7" i="9"/>
  <c r="BJ7" i="9" s="1"/>
  <c r="J7" i="9"/>
  <c r="BH7" i="9" s="1"/>
  <c r="F7" i="9"/>
  <c r="BF7" i="9" s="1"/>
  <c r="B7" i="9"/>
  <c r="BX6" i="9"/>
  <c r="BV6" i="9"/>
  <c r="BP6" i="9"/>
  <c r="BN6" i="9"/>
  <c r="BL6" i="9"/>
  <c r="BH6" i="9"/>
  <c r="BF6" i="9"/>
  <c r="BC6" i="9"/>
  <c r="AL6" i="9"/>
  <c r="AH6" i="9"/>
  <c r="BT6" i="9" s="1"/>
  <c r="AD6" i="9"/>
  <c r="BR6" i="9" s="1"/>
  <c r="Z6" i="9"/>
  <c r="V6" i="9"/>
  <c r="R6" i="9"/>
  <c r="N6" i="9"/>
  <c r="BJ6" i="9" s="1"/>
  <c r="J6" i="9"/>
  <c r="F6" i="9"/>
  <c r="B6" i="9"/>
  <c r="BX5" i="9"/>
  <c r="BR5" i="9"/>
  <c r="BN5" i="9"/>
  <c r="BJ5" i="9"/>
  <c r="BC5" i="9"/>
  <c r="AH5" i="9"/>
  <c r="BT5" i="9" s="1"/>
  <c r="AD5" i="9"/>
  <c r="Z5" i="9"/>
  <c r="BP5" i="9" s="1"/>
  <c r="V5" i="9"/>
  <c r="R5" i="9"/>
  <c r="BL5" i="9" s="1"/>
  <c r="N5" i="9"/>
  <c r="J5" i="9"/>
  <c r="BH5" i="9" s="1"/>
  <c r="F5" i="9"/>
  <c r="BF5" i="9" s="1"/>
  <c r="B5" i="9"/>
  <c r="BX4" i="9"/>
  <c r="BV4" i="9"/>
  <c r="BT4" i="9"/>
  <c r="BR4" i="9"/>
  <c r="BP4" i="9"/>
  <c r="BL4" i="9"/>
  <c r="BF4" i="9"/>
  <c r="BC4" i="9"/>
  <c r="AL4" i="9"/>
  <c r="AH4" i="9"/>
  <c r="AD4" i="9"/>
  <c r="Z4" i="9"/>
  <c r="Z81" i="9" s="1"/>
  <c r="Z82" i="9" s="1"/>
  <c r="V4" i="9"/>
  <c r="R4" i="9"/>
  <c r="N4" i="9"/>
  <c r="J4" i="9"/>
  <c r="J81" i="9" s="1"/>
  <c r="J82" i="9" s="1"/>
  <c r="F4" i="9"/>
  <c r="B4" i="9"/>
  <c r="BX2" i="9"/>
  <c r="BP2" i="9"/>
  <c r="BJ2" i="9"/>
  <c r="BF2" i="9"/>
  <c r="AX2" i="9"/>
  <c r="CB2" i="9" s="1"/>
  <c r="AT2" i="9"/>
  <c r="BZ2" i="9" s="1"/>
  <c r="AP2" i="9"/>
  <c r="AL2" i="9"/>
  <c r="BV2" i="9" s="1"/>
  <c r="AH2" i="9"/>
  <c r="BT2" i="9" s="1"/>
  <c r="AD2" i="9"/>
  <c r="BR2" i="9" s="1"/>
  <c r="Z2" i="9"/>
  <c r="V2" i="9"/>
  <c r="BN2" i="9" s="1"/>
  <c r="R2" i="9"/>
  <c r="BL2" i="9" s="1"/>
  <c r="N2" i="9"/>
  <c r="J2" i="9"/>
  <c r="BH2" i="9" s="1"/>
  <c r="A1" i="9"/>
  <c r="BA81" i="8"/>
  <c r="AZ81" i="8"/>
  <c r="AY81" i="8"/>
  <c r="AW81" i="8"/>
  <c r="AV81" i="8"/>
  <c r="AU81" i="8"/>
  <c r="AS81" i="8"/>
  <c r="AR81" i="8"/>
  <c r="AQ81" i="8"/>
  <c r="AO81" i="8"/>
  <c r="AN81" i="8"/>
  <c r="AM81" i="8"/>
  <c r="AK81" i="8"/>
  <c r="AJ81" i="8"/>
  <c r="AI81" i="8"/>
  <c r="AG81" i="8"/>
  <c r="AF81" i="8"/>
  <c r="AE81" i="8"/>
  <c r="AC81" i="8"/>
  <c r="AB81" i="8"/>
  <c r="AA81" i="8"/>
  <c r="Y81" i="8"/>
  <c r="X81" i="8"/>
  <c r="W81" i="8"/>
  <c r="U81" i="8"/>
  <c r="T81" i="8"/>
  <c r="S81" i="8"/>
  <c r="Q81" i="8"/>
  <c r="P81" i="8"/>
  <c r="O81" i="8"/>
  <c r="M81" i="8"/>
  <c r="L81" i="8"/>
  <c r="K81" i="8"/>
  <c r="I81" i="8"/>
  <c r="H81" i="8"/>
  <c r="G81" i="8"/>
  <c r="BN80" i="8"/>
  <c r="BJ80" i="8"/>
  <c r="BF80" i="8"/>
  <c r="BC80" i="8"/>
  <c r="AP80" i="8"/>
  <c r="BX80" i="8" s="1"/>
  <c r="AD80" i="8"/>
  <c r="BR80" i="8" s="1"/>
  <c r="V80" i="8"/>
  <c r="R80" i="8"/>
  <c r="BL80" i="8" s="1"/>
  <c r="N80" i="8"/>
  <c r="J80" i="8"/>
  <c r="F80" i="8"/>
  <c r="B80" i="8"/>
  <c r="CB79" i="8"/>
  <c r="BP79" i="8"/>
  <c r="BC79" i="8"/>
  <c r="AX79" i="8"/>
  <c r="AT79" i="8"/>
  <c r="BZ79" i="8" s="1"/>
  <c r="AH79" i="8"/>
  <c r="BT79" i="8" s="1"/>
  <c r="Z79" i="8"/>
  <c r="J79" i="8"/>
  <c r="B79" i="8"/>
  <c r="BZ78" i="8"/>
  <c r="BF78" i="8"/>
  <c r="BC78" i="8"/>
  <c r="AT78" i="8"/>
  <c r="Z78" i="8"/>
  <c r="BP78" i="8" s="1"/>
  <c r="F78" i="8"/>
  <c r="B78" i="8"/>
  <c r="BZ77" i="8"/>
  <c r="BC77" i="8"/>
  <c r="AT77" i="8"/>
  <c r="AP77" i="8"/>
  <c r="BX77" i="8" s="1"/>
  <c r="R77" i="8"/>
  <c r="B77" i="8"/>
  <c r="BC76" i="8"/>
  <c r="AT76" i="8"/>
  <c r="BZ76" i="8" s="1"/>
  <c r="AP76" i="8"/>
  <c r="BX76" i="8" s="1"/>
  <c r="AL76" i="8"/>
  <c r="BV76" i="8" s="1"/>
  <c r="AD76" i="8"/>
  <c r="BR76" i="8" s="1"/>
  <c r="N76" i="8"/>
  <c r="BJ76" i="8" s="1"/>
  <c r="J76" i="8"/>
  <c r="BH76" i="8" s="1"/>
  <c r="F76" i="8"/>
  <c r="B76" i="8"/>
  <c r="CB75" i="8"/>
  <c r="BZ75" i="8"/>
  <c r="BV75" i="8"/>
  <c r="BR75" i="8"/>
  <c r="BP75" i="8"/>
  <c r="BJ75" i="8"/>
  <c r="BF75" i="8"/>
  <c r="BC75" i="8"/>
  <c r="AX75" i="8"/>
  <c r="AT75" i="8"/>
  <c r="AP75" i="8"/>
  <c r="BX75" i="8" s="1"/>
  <c r="AL75" i="8"/>
  <c r="AH75" i="8"/>
  <c r="BT75" i="8" s="1"/>
  <c r="AD75" i="8"/>
  <c r="Z75" i="8"/>
  <c r="V75" i="8"/>
  <c r="BN75" i="8" s="1"/>
  <c r="R75" i="8"/>
  <c r="BL75" i="8" s="1"/>
  <c r="N75" i="8"/>
  <c r="J75" i="8"/>
  <c r="BH75" i="8" s="1"/>
  <c r="F75" i="8"/>
  <c r="BB75" i="8" s="1"/>
  <c r="B75" i="8"/>
  <c r="CB74" i="8"/>
  <c r="BT74" i="8"/>
  <c r="BH74" i="8"/>
  <c r="BC74" i="8"/>
  <c r="AX74" i="8"/>
  <c r="AT74" i="8"/>
  <c r="BZ74" i="8" s="1"/>
  <c r="AP74" i="8"/>
  <c r="BX74" i="8" s="1"/>
  <c r="AL74" i="8"/>
  <c r="BV74" i="8" s="1"/>
  <c r="AH74" i="8"/>
  <c r="AD74" i="8"/>
  <c r="BR74" i="8" s="1"/>
  <c r="Z74" i="8"/>
  <c r="BP74" i="8" s="1"/>
  <c r="V74" i="8"/>
  <c r="BN74" i="8" s="1"/>
  <c r="N74" i="8"/>
  <c r="BJ74" i="8" s="1"/>
  <c r="J74" i="8"/>
  <c r="F74" i="8"/>
  <c r="BF74" i="8" s="1"/>
  <c r="B74" i="8"/>
  <c r="CB73" i="8"/>
  <c r="BZ73" i="8"/>
  <c r="BR73" i="8"/>
  <c r="BJ73" i="8"/>
  <c r="BC73" i="8"/>
  <c r="AX73" i="8"/>
  <c r="AT73" i="8"/>
  <c r="AP73" i="8"/>
  <c r="BX73" i="8" s="1"/>
  <c r="AL73" i="8"/>
  <c r="BV73" i="8" s="1"/>
  <c r="AH73" i="8"/>
  <c r="BT73" i="8" s="1"/>
  <c r="AD73" i="8"/>
  <c r="Z73" i="8"/>
  <c r="BP73" i="8" s="1"/>
  <c r="V73" i="8"/>
  <c r="BN73" i="8" s="1"/>
  <c r="R73" i="8"/>
  <c r="BL73" i="8" s="1"/>
  <c r="N73" i="8"/>
  <c r="J73" i="8"/>
  <c r="BH73" i="8" s="1"/>
  <c r="F73" i="8"/>
  <c r="BF73" i="8" s="1"/>
  <c r="B73" i="8"/>
  <c r="BZ72" i="8"/>
  <c r="BX72" i="8"/>
  <c r="BT72" i="8"/>
  <c r="BR72" i="8"/>
  <c r="BP72" i="8"/>
  <c r="BJ72" i="8"/>
  <c r="BH72" i="8"/>
  <c r="BC72" i="8"/>
  <c r="AX72" i="8"/>
  <c r="CB72" i="8" s="1"/>
  <c r="AT72" i="8"/>
  <c r="AP72" i="8"/>
  <c r="AL72" i="8"/>
  <c r="BV72" i="8" s="1"/>
  <c r="AH72" i="8"/>
  <c r="AD72" i="8"/>
  <c r="Z72" i="8"/>
  <c r="V72" i="8"/>
  <c r="BN72" i="8" s="1"/>
  <c r="R72" i="8"/>
  <c r="BL72" i="8" s="1"/>
  <c r="N72" i="8"/>
  <c r="J72" i="8"/>
  <c r="F72" i="8"/>
  <c r="BF72" i="8" s="1"/>
  <c r="B72" i="8"/>
  <c r="BZ71" i="8"/>
  <c r="BV71" i="8"/>
  <c r="BT71" i="8"/>
  <c r="BP71" i="8"/>
  <c r="BL71" i="8"/>
  <c r="BJ71" i="8"/>
  <c r="BH71" i="8"/>
  <c r="BC71" i="8"/>
  <c r="AX71" i="8"/>
  <c r="CB71" i="8" s="1"/>
  <c r="AT71" i="8"/>
  <c r="AP71" i="8"/>
  <c r="BX71" i="8" s="1"/>
  <c r="AL71" i="8"/>
  <c r="AH71" i="8"/>
  <c r="Z71" i="8"/>
  <c r="V71" i="8"/>
  <c r="BN71" i="8" s="1"/>
  <c r="R71" i="8"/>
  <c r="N71" i="8"/>
  <c r="J71" i="8"/>
  <c r="F71" i="8"/>
  <c r="B71" i="8"/>
  <c r="BZ70" i="8"/>
  <c r="BN70" i="8"/>
  <c r="BJ70" i="8"/>
  <c r="BF70" i="8"/>
  <c r="BC70" i="8"/>
  <c r="AX70" i="8"/>
  <c r="CB70" i="8" s="1"/>
  <c r="AT70" i="8"/>
  <c r="AP70" i="8"/>
  <c r="BX70" i="8" s="1"/>
  <c r="AL70" i="8"/>
  <c r="BV70" i="8" s="1"/>
  <c r="AH70" i="8"/>
  <c r="BT70" i="8" s="1"/>
  <c r="Z70" i="8"/>
  <c r="BP70" i="8" s="1"/>
  <c r="V70" i="8"/>
  <c r="R70" i="8"/>
  <c r="BL70" i="8" s="1"/>
  <c r="N70" i="8"/>
  <c r="J70" i="8"/>
  <c r="F70" i="8"/>
  <c r="B70" i="8"/>
  <c r="CB69" i="8"/>
  <c r="BX69" i="8"/>
  <c r="BV69" i="8"/>
  <c r="BT69" i="8"/>
  <c r="BN69" i="8"/>
  <c r="BL69" i="8"/>
  <c r="BF69" i="8"/>
  <c r="BC69" i="8"/>
  <c r="AX69" i="8"/>
  <c r="AT69" i="8"/>
  <c r="BZ69" i="8" s="1"/>
  <c r="AP69" i="8"/>
  <c r="AL69" i="8"/>
  <c r="AH69" i="8"/>
  <c r="AD69" i="8"/>
  <c r="BR69" i="8" s="1"/>
  <c r="Z69" i="8"/>
  <c r="BP69" i="8" s="1"/>
  <c r="V69" i="8"/>
  <c r="R69" i="8"/>
  <c r="J69" i="8"/>
  <c r="BH69" i="8" s="1"/>
  <c r="F69" i="8"/>
  <c r="B69" i="8"/>
  <c r="CB68" i="8"/>
  <c r="BT68" i="8"/>
  <c r="BL68" i="8"/>
  <c r="BH68" i="8"/>
  <c r="BC68" i="8"/>
  <c r="AX68" i="8"/>
  <c r="AT68" i="8"/>
  <c r="BZ68" i="8" s="1"/>
  <c r="AP68" i="8"/>
  <c r="BX68" i="8" s="1"/>
  <c r="AL68" i="8"/>
  <c r="BV68" i="8" s="1"/>
  <c r="AH68" i="8"/>
  <c r="AD68" i="8"/>
  <c r="BR68" i="8" s="1"/>
  <c r="Z68" i="8"/>
  <c r="BP68" i="8" s="1"/>
  <c r="V68" i="8"/>
  <c r="BN68" i="8" s="1"/>
  <c r="R68" i="8"/>
  <c r="J68" i="8"/>
  <c r="F68" i="8"/>
  <c r="BF68" i="8" s="1"/>
  <c r="B68" i="8"/>
  <c r="BZ67" i="8"/>
  <c r="BR67" i="8"/>
  <c r="BH67" i="8"/>
  <c r="BC67" i="8"/>
  <c r="AX67" i="8"/>
  <c r="CB67" i="8" s="1"/>
  <c r="AT67" i="8"/>
  <c r="AP67" i="8"/>
  <c r="BX67" i="8" s="1"/>
  <c r="AL67" i="8"/>
  <c r="BV67" i="8" s="1"/>
  <c r="AH67" i="8"/>
  <c r="BT67" i="8" s="1"/>
  <c r="AD67" i="8"/>
  <c r="Z67" i="8"/>
  <c r="BP67" i="8" s="1"/>
  <c r="V67" i="8"/>
  <c r="BN67" i="8" s="1"/>
  <c r="R67" i="8"/>
  <c r="BL67" i="8" s="1"/>
  <c r="J67" i="8"/>
  <c r="F67" i="8"/>
  <c r="BF67" i="8" s="1"/>
  <c r="B67" i="8"/>
  <c r="BR66" i="8"/>
  <c r="BC66" i="8"/>
  <c r="AX66" i="8"/>
  <c r="CB66" i="8" s="1"/>
  <c r="AT66" i="8"/>
  <c r="BZ66" i="8" s="1"/>
  <c r="AP66" i="8"/>
  <c r="BX66" i="8" s="1"/>
  <c r="AL66" i="8"/>
  <c r="BV66" i="8" s="1"/>
  <c r="AH66" i="8"/>
  <c r="BT66" i="8" s="1"/>
  <c r="AD66" i="8"/>
  <c r="Z66" i="8"/>
  <c r="BP66" i="8" s="1"/>
  <c r="V66" i="8"/>
  <c r="BN66" i="8" s="1"/>
  <c r="R66" i="8"/>
  <c r="BL66" i="8" s="1"/>
  <c r="N66" i="8"/>
  <c r="BJ66" i="8" s="1"/>
  <c r="J66" i="8"/>
  <c r="BH66" i="8" s="1"/>
  <c r="F66" i="8"/>
  <c r="BF66" i="8" s="1"/>
  <c r="B66" i="8"/>
  <c r="BR65" i="8"/>
  <c r="BC65" i="8"/>
  <c r="BB65" i="8"/>
  <c r="AL65" i="8"/>
  <c r="BV65" i="8" s="1"/>
  <c r="B65" i="8"/>
  <c r="BZ64" i="8"/>
  <c r="BX64" i="8"/>
  <c r="BT64" i="8"/>
  <c r="BR64" i="8"/>
  <c r="BP64" i="8"/>
  <c r="BJ64" i="8"/>
  <c r="BH64" i="8"/>
  <c r="BC64" i="8"/>
  <c r="AX64" i="8"/>
  <c r="CB64" i="8" s="1"/>
  <c r="AT64" i="8"/>
  <c r="AP64" i="8"/>
  <c r="AL64" i="8"/>
  <c r="BV64" i="8" s="1"/>
  <c r="AH64" i="8"/>
  <c r="AD64" i="8"/>
  <c r="Z64" i="8"/>
  <c r="V64" i="8"/>
  <c r="BN64" i="8" s="1"/>
  <c r="R64" i="8"/>
  <c r="BL64" i="8" s="1"/>
  <c r="N64" i="8"/>
  <c r="J64" i="8"/>
  <c r="F64" i="8"/>
  <c r="BF64" i="8" s="1"/>
  <c r="B64" i="8"/>
  <c r="BZ63" i="8"/>
  <c r="BV63" i="8"/>
  <c r="BT63" i="8"/>
  <c r="BR63" i="8"/>
  <c r="BJ63" i="8"/>
  <c r="BF63" i="8"/>
  <c r="BC63" i="8"/>
  <c r="AX63" i="8"/>
  <c r="CB63" i="8" s="1"/>
  <c r="AT63" i="8"/>
  <c r="AP63" i="8"/>
  <c r="BX63" i="8" s="1"/>
  <c r="AL63" i="8"/>
  <c r="AH63" i="8"/>
  <c r="AD63" i="8"/>
  <c r="Z63" i="8"/>
  <c r="BP63" i="8" s="1"/>
  <c r="V63" i="8"/>
  <c r="BN63" i="8" s="1"/>
  <c r="R63" i="8"/>
  <c r="BL63" i="8" s="1"/>
  <c r="N63" i="8"/>
  <c r="J63" i="8"/>
  <c r="BH63" i="8" s="1"/>
  <c r="F63" i="8"/>
  <c r="BB63" i="8" s="1"/>
  <c r="B63" i="8"/>
  <c r="BZ62" i="8"/>
  <c r="BX62" i="8"/>
  <c r="BV62" i="8"/>
  <c r="BR62" i="8"/>
  <c r="BP62" i="8"/>
  <c r="BJ62" i="8"/>
  <c r="BH62" i="8"/>
  <c r="BF62" i="8"/>
  <c r="BC62" i="8"/>
  <c r="AX62" i="8"/>
  <c r="CB62" i="8" s="1"/>
  <c r="AT62" i="8"/>
  <c r="AP62" i="8"/>
  <c r="AL62" i="8"/>
  <c r="AH62" i="8"/>
  <c r="BT62" i="8" s="1"/>
  <c r="AD62" i="8"/>
  <c r="Z62" i="8"/>
  <c r="V62" i="8"/>
  <c r="BN62" i="8" s="1"/>
  <c r="R62" i="8"/>
  <c r="BL62" i="8" s="1"/>
  <c r="N62" i="8"/>
  <c r="J62" i="8"/>
  <c r="F62" i="8"/>
  <c r="BB62" i="8" s="1"/>
  <c r="B62" i="8"/>
  <c r="BZ61" i="8"/>
  <c r="BR61" i="8"/>
  <c r="BJ61" i="8"/>
  <c r="BC61" i="8"/>
  <c r="AX61" i="8"/>
  <c r="CB61" i="8" s="1"/>
  <c r="AT61" i="8"/>
  <c r="AP61" i="8"/>
  <c r="BX61" i="8" s="1"/>
  <c r="AL61" i="8"/>
  <c r="BV61" i="8" s="1"/>
  <c r="AH61" i="8"/>
  <c r="BT61" i="8" s="1"/>
  <c r="AD61" i="8"/>
  <c r="Z61" i="8"/>
  <c r="BP61" i="8" s="1"/>
  <c r="V61" i="8"/>
  <c r="BN61" i="8" s="1"/>
  <c r="R61" i="8"/>
  <c r="BL61" i="8" s="1"/>
  <c r="N61" i="8"/>
  <c r="J61" i="8"/>
  <c r="BH61" i="8" s="1"/>
  <c r="F61" i="8"/>
  <c r="BF61" i="8" s="1"/>
  <c r="B61" i="8"/>
  <c r="BZ60" i="8"/>
  <c r="BV60" i="8"/>
  <c r="BJ60" i="8"/>
  <c r="BH60" i="8"/>
  <c r="BF60" i="8"/>
  <c r="BC60" i="8"/>
  <c r="AT60" i="8"/>
  <c r="AL60" i="8"/>
  <c r="AH60" i="8"/>
  <c r="BT60" i="8" s="1"/>
  <c r="V60" i="8"/>
  <c r="BN60" i="8" s="1"/>
  <c r="N60" i="8"/>
  <c r="J60" i="8"/>
  <c r="F60" i="8"/>
  <c r="B60" i="8"/>
  <c r="BV59" i="8"/>
  <c r="BN59" i="8"/>
  <c r="BF59" i="8"/>
  <c r="BC59" i="8"/>
  <c r="AX59" i="8"/>
  <c r="CB59" i="8" s="1"/>
  <c r="AT59" i="8"/>
  <c r="BZ59" i="8" s="1"/>
  <c r="AP59" i="8"/>
  <c r="BX59" i="8" s="1"/>
  <c r="AL59" i="8"/>
  <c r="AH59" i="8"/>
  <c r="BT59" i="8" s="1"/>
  <c r="AD59" i="8"/>
  <c r="BR59" i="8" s="1"/>
  <c r="Z59" i="8"/>
  <c r="BP59" i="8" s="1"/>
  <c r="V59" i="8"/>
  <c r="R59" i="8"/>
  <c r="BL59" i="8" s="1"/>
  <c r="N59" i="8"/>
  <c r="BJ59" i="8" s="1"/>
  <c r="J59" i="8"/>
  <c r="BH59" i="8" s="1"/>
  <c r="F59" i="8"/>
  <c r="BB59" i="8" s="1"/>
  <c r="B59" i="8"/>
  <c r="BN58" i="8"/>
  <c r="BC58" i="8"/>
  <c r="AL58" i="8"/>
  <c r="BB58" i="8" s="1"/>
  <c r="V58" i="8"/>
  <c r="B58" i="8"/>
  <c r="CB57" i="8"/>
  <c r="BT57" i="8"/>
  <c r="BH57" i="8"/>
  <c r="BC57" i="8"/>
  <c r="AX57" i="8"/>
  <c r="AT57" i="8"/>
  <c r="BZ57" i="8" s="1"/>
  <c r="AP57" i="8"/>
  <c r="BX57" i="8" s="1"/>
  <c r="AL57" i="8"/>
  <c r="BV57" i="8" s="1"/>
  <c r="AH57" i="8"/>
  <c r="AD57" i="8"/>
  <c r="BR57" i="8" s="1"/>
  <c r="Z57" i="8"/>
  <c r="BP57" i="8" s="1"/>
  <c r="V57" i="8"/>
  <c r="BN57" i="8" s="1"/>
  <c r="N57" i="8"/>
  <c r="BJ57" i="8" s="1"/>
  <c r="J57" i="8"/>
  <c r="F57" i="8"/>
  <c r="B57" i="8"/>
  <c r="CB56" i="8"/>
  <c r="BZ56" i="8"/>
  <c r="BR56" i="8"/>
  <c r="BJ56" i="8"/>
  <c r="BC56" i="8"/>
  <c r="AX56" i="8"/>
  <c r="AT56" i="8"/>
  <c r="AP56" i="8"/>
  <c r="BX56" i="8" s="1"/>
  <c r="AL56" i="8"/>
  <c r="BV56" i="8" s="1"/>
  <c r="AH56" i="8"/>
  <c r="BT56" i="8" s="1"/>
  <c r="AD56" i="8"/>
  <c r="Z56" i="8"/>
  <c r="BP56" i="8" s="1"/>
  <c r="V56" i="8"/>
  <c r="BN56" i="8" s="1"/>
  <c r="R56" i="8"/>
  <c r="BL56" i="8" s="1"/>
  <c r="N56" i="8"/>
  <c r="J56" i="8"/>
  <c r="BH56" i="8" s="1"/>
  <c r="F56" i="8"/>
  <c r="BF56" i="8" s="1"/>
  <c r="B56" i="8"/>
  <c r="BZ55" i="8"/>
  <c r="BT55" i="8"/>
  <c r="BP55" i="8"/>
  <c r="BC55" i="8"/>
  <c r="AT55" i="8"/>
  <c r="AH55" i="8"/>
  <c r="Z55" i="8"/>
  <c r="R55" i="8"/>
  <c r="BL55" i="8" s="1"/>
  <c r="B55" i="8"/>
  <c r="BZ54" i="8"/>
  <c r="BV54" i="8"/>
  <c r="BR54" i="8"/>
  <c r="BL54" i="8"/>
  <c r="BJ54" i="8"/>
  <c r="BF54" i="8"/>
  <c r="BC54" i="8"/>
  <c r="AX54" i="8"/>
  <c r="CB54" i="8" s="1"/>
  <c r="AT54" i="8"/>
  <c r="AP54" i="8"/>
  <c r="BX54" i="8" s="1"/>
  <c r="AL54" i="8"/>
  <c r="AH54" i="8"/>
  <c r="BT54" i="8" s="1"/>
  <c r="AD54" i="8"/>
  <c r="Z54" i="8"/>
  <c r="BP54" i="8" s="1"/>
  <c r="V54" i="8"/>
  <c r="BN54" i="8" s="1"/>
  <c r="R54" i="8"/>
  <c r="N54" i="8"/>
  <c r="J54" i="8"/>
  <c r="BH54" i="8" s="1"/>
  <c r="F54" i="8"/>
  <c r="BB54" i="8" s="1"/>
  <c r="B54" i="8"/>
  <c r="BZ53" i="8"/>
  <c r="BX53" i="8"/>
  <c r="BV53" i="8"/>
  <c r="BR53" i="8"/>
  <c r="BP53" i="8"/>
  <c r="BN53" i="8"/>
  <c r="BJ53" i="8"/>
  <c r="BH53" i="8"/>
  <c r="BF53" i="8"/>
  <c r="BC53" i="8"/>
  <c r="AX53" i="8"/>
  <c r="CB53" i="8" s="1"/>
  <c r="AT53" i="8"/>
  <c r="AP53" i="8"/>
  <c r="AL53" i="8"/>
  <c r="AH53" i="8"/>
  <c r="BT53" i="8" s="1"/>
  <c r="AD53" i="8"/>
  <c r="Z53" i="8"/>
  <c r="V53" i="8"/>
  <c r="R53" i="8"/>
  <c r="BL53" i="8" s="1"/>
  <c r="N53" i="8"/>
  <c r="J53" i="8"/>
  <c r="F53" i="8"/>
  <c r="BB53" i="8" s="1"/>
  <c r="B53" i="8"/>
  <c r="BZ52" i="8"/>
  <c r="BR52" i="8"/>
  <c r="BH52" i="8"/>
  <c r="BC52" i="8"/>
  <c r="AX52" i="8"/>
  <c r="CB52" i="8" s="1"/>
  <c r="AT52" i="8"/>
  <c r="AP52" i="8"/>
  <c r="BX52" i="8" s="1"/>
  <c r="AL52" i="8"/>
  <c r="BV52" i="8" s="1"/>
  <c r="AH52" i="8"/>
  <c r="BT52" i="8" s="1"/>
  <c r="AD52" i="8"/>
  <c r="Z52" i="8"/>
  <c r="BP52" i="8" s="1"/>
  <c r="V52" i="8"/>
  <c r="BN52" i="8" s="1"/>
  <c r="N52" i="8"/>
  <c r="BJ52" i="8" s="1"/>
  <c r="J52" i="8"/>
  <c r="F52" i="8"/>
  <c r="B52" i="8"/>
  <c r="BR51" i="8"/>
  <c r="BC51" i="8"/>
  <c r="AX51" i="8"/>
  <c r="CB51" i="8" s="1"/>
  <c r="AT51" i="8"/>
  <c r="BZ51" i="8" s="1"/>
  <c r="AP51" i="8"/>
  <c r="BX51" i="8" s="1"/>
  <c r="AL51" i="8"/>
  <c r="BV51" i="8" s="1"/>
  <c r="AH51" i="8"/>
  <c r="BT51" i="8" s="1"/>
  <c r="AD51" i="8"/>
  <c r="Z51" i="8"/>
  <c r="BP51" i="8" s="1"/>
  <c r="V51" i="8"/>
  <c r="BN51" i="8" s="1"/>
  <c r="R51" i="8"/>
  <c r="BL51" i="8" s="1"/>
  <c r="N51" i="8"/>
  <c r="BJ51" i="8" s="1"/>
  <c r="J51" i="8"/>
  <c r="BH51" i="8" s="1"/>
  <c r="F51" i="8"/>
  <c r="BF51" i="8" s="1"/>
  <c r="B51" i="8"/>
  <c r="BR50" i="8"/>
  <c r="BJ50" i="8"/>
  <c r="BC50" i="8"/>
  <c r="AX50" i="8"/>
  <c r="CB50" i="8" s="1"/>
  <c r="AT50" i="8"/>
  <c r="BZ50" i="8" s="1"/>
  <c r="AP50" i="8"/>
  <c r="BX50" i="8" s="1"/>
  <c r="AL50" i="8"/>
  <c r="BV50" i="8" s="1"/>
  <c r="AH50" i="8"/>
  <c r="BT50" i="8" s="1"/>
  <c r="AD50" i="8"/>
  <c r="Z50" i="8"/>
  <c r="BP50" i="8" s="1"/>
  <c r="V50" i="8"/>
  <c r="BN50" i="8" s="1"/>
  <c r="R50" i="8"/>
  <c r="BL50" i="8" s="1"/>
  <c r="N50" i="8"/>
  <c r="J50" i="8"/>
  <c r="BH50" i="8" s="1"/>
  <c r="F50" i="8"/>
  <c r="BF50" i="8" s="1"/>
  <c r="B50" i="8"/>
  <c r="BC49" i="8"/>
  <c r="BB49" i="8"/>
  <c r="Z49" i="8"/>
  <c r="BP49" i="8" s="1"/>
  <c r="V49" i="8"/>
  <c r="BN49" i="8" s="1"/>
  <c r="B49" i="8"/>
  <c r="BL48" i="8"/>
  <c r="BC48" i="8"/>
  <c r="BB48" i="8"/>
  <c r="R48" i="8"/>
  <c r="N48" i="8"/>
  <c r="BJ48" i="8" s="1"/>
  <c r="B48" i="8"/>
  <c r="BC47" i="8"/>
  <c r="AX47" i="8"/>
  <c r="CB47" i="8" s="1"/>
  <c r="AT47" i="8"/>
  <c r="BZ47" i="8" s="1"/>
  <c r="R47" i="8"/>
  <c r="BL47" i="8" s="1"/>
  <c r="N47" i="8"/>
  <c r="BJ47" i="8" s="1"/>
  <c r="J47" i="8"/>
  <c r="BH47" i="8" s="1"/>
  <c r="F47" i="8"/>
  <c r="BF47" i="8" s="1"/>
  <c r="B47" i="8"/>
  <c r="CB46" i="8"/>
  <c r="BX46" i="8"/>
  <c r="BL46" i="8"/>
  <c r="BH46" i="8"/>
  <c r="BC46" i="8"/>
  <c r="AX46" i="8"/>
  <c r="AT46" i="8"/>
  <c r="BZ46" i="8" s="1"/>
  <c r="AP46" i="8"/>
  <c r="AH46" i="8"/>
  <c r="BT46" i="8" s="1"/>
  <c r="R46" i="8"/>
  <c r="N46" i="8"/>
  <c r="BJ46" i="8" s="1"/>
  <c r="J46" i="8"/>
  <c r="F46" i="8"/>
  <c r="BF46" i="8" s="1"/>
  <c r="B46" i="8"/>
  <c r="CB45" i="8"/>
  <c r="BX45" i="8"/>
  <c r="BT45" i="8"/>
  <c r="BP45" i="8"/>
  <c r="BL45" i="8"/>
  <c r="BH45" i="8"/>
  <c r="BC45" i="8"/>
  <c r="AX45" i="8"/>
  <c r="AT45" i="8"/>
  <c r="BZ45" i="8" s="1"/>
  <c r="AP45" i="8"/>
  <c r="AL45" i="8"/>
  <c r="BV45" i="8" s="1"/>
  <c r="AH45" i="8"/>
  <c r="AD45" i="8"/>
  <c r="BR45" i="8" s="1"/>
  <c r="Z45" i="8"/>
  <c r="V45" i="8"/>
  <c r="BN45" i="8" s="1"/>
  <c r="R45" i="8"/>
  <c r="N45" i="8"/>
  <c r="BJ45" i="8" s="1"/>
  <c r="J45" i="8"/>
  <c r="F45" i="8"/>
  <c r="BF45" i="8" s="1"/>
  <c r="B45" i="8"/>
  <c r="BX44" i="8"/>
  <c r="BP44" i="8"/>
  <c r="BJ44" i="8"/>
  <c r="BC44" i="8"/>
  <c r="AT44" i="8"/>
  <c r="BZ44" i="8" s="1"/>
  <c r="AP44" i="8"/>
  <c r="AH44" i="8"/>
  <c r="BT44" i="8" s="1"/>
  <c r="AD44" i="8"/>
  <c r="BR44" i="8" s="1"/>
  <c r="Z44" i="8"/>
  <c r="J44" i="8"/>
  <c r="BH44" i="8" s="1"/>
  <c r="B44" i="8"/>
  <c r="BV43" i="8"/>
  <c r="BN43" i="8"/>
  <c r="BF43" i="8"/>
  <c r="BC43" i="8"/>
  <c r="AX43" i="8"/>
  <c r="CB43" i="8" s="1"/>
  <c r="AT43" i="8"/>
  <c r="BZ43" i="8" s="1"/>
  <c r="AP43" i="8"/>
  <c r="BX43" i="8" s="1"/>
  <c r="AL43" i="8"/>
  <c r="AH43" i="8"/>
  <c r="BT43" i="8" s="1"/>
  <c r="AD43" i="8"/>
  <c r="BR43" i="8" s="1"/>
  <c r="Z43" i="8"/>
  <c r="BP43" i="8" s="1"/>
  <c r="V43" i="8"/>
  <c r="R43" i="8"/>
  <c r="BL43" i="8" s="1"/>
  <c r="N43" i="8"/>
  <c r="BJ43" i="8" s="1"/>
  <c r="J43" i="8"/>
  <c r="BH43" i="8" s="1"/>
  <c r="F43" i="8"/>
  <c r="B43" i="8"/>
  <c r="BN42" i="8"/>
  <c r="BF42" i="8"/>
  <c r="BC42" i="8"/>
  <c r="AX42" i="8"/>
  <c r="CB42" i="8" s="1"/>
  <c r="V42" i="8"/>
  <c r="J42" i="8"/>
  <c r="BH42" i="8" s="1"/>
  <c r="F42" i="8"/>
  <c r="BB42" i="8" s="1"/>
  <c r="B42" i="8"/>
  <c r="BV41" i="8"/>
  <c r="BN41" i="8"/>
  <c r="BF41" i="8"/>
  <c r="BC41" i="8"/>
  <c r="AX41" i="8"/>
  <c r="CB41" i="8" s="1"/>
  <c r="AT41" i="8"/>
  <c r="BZ41" i="8" s="1"/>
  <c r="AP41" i="8"/>
  <c r="BX41" i="8" s="1"/>
  <c r="AL41" i="8"/>
  <c r="AH41" i="8"/>
  <c r="BT41" i="8" s="1"/>
  <c r="AD41" i="8"/>
  <c r="BR41" i="8" s="1"/>
  <c r="Z41" i="8"/>
  <c r="BP41" i="8" s="1"/>
  <c r="V41" i="8"/>
  <c r="R41" i="8"/>
  <c r="BL41" i="8" s="1"/>
  <c r="N41" i="8"/>
  <c r="BJ41" i="8" s="1"/>
  <c r="J41" i="8"/>
  <c r="BH41" i="8" s="1"/>
  <c r="F41" i="8"/>
  <c r="BB41" i="8" s="1"/>
  <c r="B41" i="8"/>
  <c r="BN40" i="8"/>
  <c r="BF40" i="8"/>
  <c r="BC40" i="8"/>
  <c r="AX40" i="8"/>
  <c r="CB40" i="8" s="1"/>
  <c r="AT40" i="8"/>
  <c r="BZ40" i="8" s="1"/>
  <c r="AP40" i="8"/>
  <c r="BX40" i="8" s="1"/>
  <c r="AH40" i="8"/>
  <c r="BT40" i="8" s="1"/>
  <c r="AD40" i="8"/>
  <c r="BR40" i="8" s="1"/>
  <c r="Z40" i="8"/>
  <c r="BP40" i="8" s="1"/>
  <c r="V40" i="8"/>
  <c r="R40" i="8"/>
  <c r="BL40" i="8" s="1"/>
  <c r="N40" i="8"/>
  <c r="BJ40" i="8" s="1"/>
  <c r="J40" i="8"/>
  <c r="BH40" i="8" s="1"/>
  <c r="F40" i="8"/>
  <c r="B40" i="8"/>
  <c r="BZ39" i="8"/>
  <c r="BV39" i="8"/>
  <c r="BR39" i="8"/>
  <c r="BN39" i="8"/>
  <c r="BJ39" i="8"/>
  <c r="BF39" i="8"/>
  <c r="BC39" i="8"/>
  <c r="AX39" i="8"/>
  <c r="CB39" i="8" s="1"/>
  <c r="AT39" i="8"/>
  <c r="AP39" i="8"/>
  <c r="BX39" i="8" s="1"/>
  <c r="AL39" i="8"/>
  <c r="AH39" i="8"/>
  <c r="BT39" i="8" s="1"/>
  <c r="AD39" i="8"/>
  <c r="Z39" i="8"/>
  <c r="BP39" i="8" s="1"/>
  <c r="V39" i="8"/>
  <c r="R39" i="8"/>
  <c r="BL39" i="8" s="1"/>
  <c r="N39" i="8"/>
  <c r="J39" i="8"/>
  <c r="BH39" i="8" s="1"/>
  <c r="F39" i="8"/>
  <c r="B39" i="8"/>
  <c r="CB38" i="8"/>
  <c r="BV38" i="8"/>
  <c r="BT38" i="8"/>
  <c r="BN38" i="8"/>
  <c r="BL38" i="8"/>
  <c r="BF38" i="8"/>
  <c r="BC38" i="8"/>
  <c r="AX38" i="8"/>
  <c r="AT38" i="8"/>
  <c r="BZ38" i="8" s="1"/>
  <c r="AP38" i="8"/>
  <c r="BX38" i="8" s="1"/>
  <c r="AL38" i="8"/>
  <c r="AH38" i="8"/>
  <c r="AD38" i="8"/>
  <c r="BR38" i="8" s="1"/>
  <c r="Z38" i="8"/>
  <c r="BP38" i="8" s="1"/>
  <c r="V38" i="8"/>
  <c r="R38" i="8"/>
  <c r="N38" i="8"/>
  <c r="BJ38" i="8" s="1"/>
  <c r="J38" i="8"/>
  <c r="BH38" i="8" s="1"/>
  <c r="F38" i="8"/>
  <c r="BB38" i="8" s="1"/>
  <c r="B38" i="8"/>
  <c r="BZ37" i="8"/>
  <c r="BX37" i="8"/>
  <c r="BV37" i="8"/>
  <c r="BR37" i="8"/>
  <c r="BP37" i="8"/>
  <c r="BN37" i="8"/>
  <c r="BJ37" i="8"/>
  <c r="BH37" i="8"/>
  <c r="BF37" i="8"/>
  <c r="BC37" i="8"/>
  <c r="AX37" i="8"/>
  <c r="CB37" i="8" s="1"/>
  <c r="AT37" i="8"/>
  <c r="AP37" i="8"/>
  <c r="AL37" i="8"/>
  <c r="AH37" i="8"/>
  <c r="BT37" i="8" s="1"/>
  <c r="AD37" i="8"/>
  <c r="Z37" i="8"/>
  <c r="V37" i="8"/>
  <c r="R37" i="8"/>
  <c r="BL37" i="8" s="1"/>
  <c r="N37" i="8"/>
  <c r="J37" i="8"/>
  <c r="F37" i="8"/>
  <c r="B37" i="8"/>
  <c r="CB36" i="8"/>
  <c r="BL36" i="8"/>
  <c r="BJ36" i="8"/>
  <c r="BC36" i="8"/>
  <c r="H36" i="3" s="1"/>
  <c r="AX36" i="8"/>
  <c r="AT36" i="8"/>
  <c r="BZ36" i="8" s="1"/>
  <c r="R36" i="8"/>
  <c r="N36" i="8"/>
  <c r="J36" i="8"/>
  <c r="BH36" i="8" s="1"/>
  <c r="F36" i="8"/>
  <c r="BB36" i="8" s="1"/>
  <c r="B36" i="8"/>
  <c r="CB35" i="8"/>
  <c r="BZ35" i="8"/>
  <c r="BR35" i="8"/>
  <c r="BJ35" i="8"/>
  <c r="BC35" i="8"/>
  <c r="AX35" i="8"/>
  <c r="AT35" i="8"/>
  <c r="AP35" i="8"/>
  <c r="BX35" i="8" s="1"/>
  <c r="AL35" i="8"/>
  <c r="BV35" i="8" s="1"/>
  <c r="AH35" i="8"/>
  <c r="BT35" i="8" s="1"/>
  <c r="AD35" i="8"/>
  <c r="Z35" i="8"/>
  <c r="BP35" i="8" s="1"/>
  <c r="V35" i="8"/>
  <c r="BN35" i="8" s="1"/>
  <c r="R35" i="8"/>
  <c r="BL35" i="8" s="1"/>
  <c r="N35" i="8"/>
  <c r="J35" i="8"/>
  <c r="B35" i="8"/>
  <c r="BF34" i="8"/>
  <c r="BC34" i="8"/>
  <c r="AX34" i="8"/>
  <c r="CB34" i="8" s="1"/>
  <c r="AT34" i="8"/>
  <c r="BZ34" i="8" s="1"/>
  <c r="AP34" i="8"/>
  <c r="BX34" i="8" s="1"/>
  <c r="AL34" i="8"/>
  <c r="BV34" i="8" s="1"/>
  <c r="AH34" i="8"/>
  <c r="BT34" i="8" s="1"/>
  <c r="AD34" i="8"/>
  <c r="BR34" i="8" s="1"/>
  <c r="Z34" i="8"/>
  <c r="BP34" i="8" s="1"/>
  <c r="V34" i="8"/>
  <c r="BN34" i="8" s="1"/>
  <c r="R34" i="8"/>
  <c r="BL34" i="8" s="1"/>
  <c r="N34" i="8"/>
  <c r="F34" i="8"/>
  <c r="B34" i="8"/>
  <c r="CB33" i="8"/>
  <c r="BV33" i="8"/>
  <c r="BT33" i="8"/>
  <c r="BN33" i="8"/>
  <c r="BL33" i="8"/>
  <c r="BF33" i="8"/>
  <c r="BC33" i="8"/>
  <c r="AX33" i="8"/>
  <c r="AT33" i="8"/>
  <c r="BZ33" i="8" s="1"/>
  <c r="AP33" i="8"/>
  <c r="BX33" i="8" s="1"/>
  <c r="AL33" i="8"/>
  <c r="AH33" i="8"/>
  <c r="Z33" i="8"/>
  <c r="BP33" i="8" s="1"/>
  <c r="V33" i="8"/>
  <c r="R33" i="8"/>
  <c r="N33" i="8"/>
  <c r="BJ33" i="8" s="1"/>
  <c r="J33" i="8"/>
  <c r="BH33" i="8" s="1"/>
  <c r="F33" i="8"/>
  <c r="B33" i="8"/>
  <c r="CB32" i="8"/>
  <c r="BT32" i="8"/>
  <c r="BP32" i="8"/>
  <c r="BH32" i="8"/>
  <c r="BC32" i="8"/>
  <c r="AX32" i="8"/>
  <c r="AT32" i="8"/>
  <c r="BZ32" i="8" s="1"/>
  <c r="AP32" i="8"/>
  <c r="BX32" i="8" s="1"/>
  <c r="AL32" i="8"/>
  <c r="BV32" i="8" s="1"/>
  <c r="AH32" i="8"/>
  <c r="AD32" i="8"/>
  <c r="BR32" i="8" s="1"/>
  <c r="Z32" i="8"/>
  <c r="V32" i="8"/>
  <c r="BN32" i="8" s="1"/>
  <c r="N32" i="8"/>
  <c r="BJ32" i="8" s="1"/>
  <c r="J32" i="8"/>
  <c r="F32" i="8"/>
  <c r="BF32" i="8" s="1"/>
  <c r="B32" i="8"/>
  <c r="BZ31" i="8"/>
  <c r="BX31" i="8"/>
  <c r="BR31" i="8"/>
  <c r="BP31" i="8"/>
  <c r="BH31" i="8"/>
  <c r="BF31" i="8"/>
  <c r="BC31" i="8"/>
  <c r="AX31" i="8"/>
  <c r="CB31" i="8" s="1"/>
  <c r="AT31" i="8"/>
  <c r="AP31" i="8"/>
  <c r="AL31" i="8"/>
  <c r="BV31" i="8" s="1"/>
  <c r="AH31" i="8"/>
  <c r="BT31" i="8" s="1"/>
  <c r="AD31" i="8"/>
  <c r="Z31" i="8"/>
  <c r="V31" i="8"/>
  <c r="BN31" i="8" s="1"/>
  <c r="N31" i="8"/>
  <c r="BJ31" i="8" s="1"/>
  <c r="J31" i="8"/>
  <c r="F31" i="8"/>
  <c r="B31" i="8"/>
  <c r="BR30" i="8"/>
  <c r="BN30" i="8"/>
  <c r="BC30" i="8"/>
  <c r="AX30" i="8"/>
  <c r="CB30" i="8" s="1"/>
  <c r="AT30" i="8"/>
  <c r="BZ30" i="8" s="1"/>
  <c r="AP30" i="8"/>
  <c r="BX30" i="8" s="1"/>
  <c r="AL30" i="8"/>
  <c r="BV30" i="8" s="1"/>
  <c r="AH30" i="8"/>
  <c r="BT30" i="8" s="1"/>
  <c r="AD30" i="8"/>
  <c r="Z30" i="8"/>
  <c r="BP30" i="8" s="1"/>
  <c r="V30" i="8"/>
  <c r="R30" i="8"/>
  <c r="BL30" i="8" s="1"/>
  <c r="N30" i="8"/>
  <c r="BJ30" i="8" s="1"/>
  <c r="J30" i="8"/>
  <c r="BH30" i="8" s="1"/>
  <c r="F30" i="8"/>
  <c r="BB30" i="8" s="1"/>
  <c r="B30" i="8"/>
  <c r="BV29" i="8"/>
  <c r="BN29" i="8"/>
  <c r="BF29" i="8"/>
  <c r="BC29" i="8"/>
  <c r="AX29" i="8"/>
  <c r="CB29" i="8" s="1"/>
  <c r="AT29" i="8"/>
  <c r="BZ29" i="8" s="1"/>
  <c r="AP29" i="8"/>
  <c r="BX29" i="8" s="1"/>
  <c r="AL29" i="8"/>
  <c r="AH29" i="8"/>
  <c r="BT29" i="8" s="1"/>
  <c r="AD29" i="8"/>
  <c r="BR29" i="8" s="1"/>
  <c r="Z29" i="8"/>
  <c r="BP29" i="8" s="1"/>
  <c r="V29" i="8"/>
  <c r="R29" i="8"/>
  <c r="BL29" i="8" s="1"/>
  <c r="N29" i="8"/>
  <c r="BJ29" i="8" s="1"/>
  <c r="J29" i="8"/>
  <c r="BH29" i="8" s="1"/>
  <c r="F29" i="8"/>
  <c r="B29" i="8"/>
  <c r="BV28" i="8"/>
  <c r="BN28" i="8"/>
  <c r="BJ28" i="8"/>
  <c r="BC28" i="8"/>
  <c r="AX28" i="8"/>
  <c r="CB28" i="8" s="1"/>
  <c r="AP28" i="8"/>
  <c r="BX28" i="8" s="1"/>
  <c r="AL28" i="8"/>
  <c r="AH28" i="8"/>
  <c r="BT28" i="8" s="1"/>
  <c r="V28" i="8"/>
  <c r="R28" i="8"/>
  <c r="BL28" i="8" s="1"/>
  <c r="N28" i="8"/>
  <c r="J28" i="8"/>
  <c r="BH28" i="8" s="1"/>
  <c r="F28" i="8"/>
  <c r="BF28" i="8" s="1"/>
  <c r="B28" i="8"/>
  <c r="BV27" i="8"/>
  <c r="BR27" i="8"/>
  <c r="BP27" i="8"/>
  <c r="BL27" i="8"/>
  <c r="BC27" i="8"/>
  <c r="AT27" i="8"/>
  <c r="BZ27" i="8" s="1"/>
  <c r="AL27" i="8"/>
  <c r="AD27" i="8"/>
  <c r="Z27" i="8"/>
  <c r="V27" i="8"/>
  <c r="BN27" i="8" s="1"/>
  <c r="R27" i="8"/>
  <c r="N27" i="8"/>
  <c r="BJ27" i="8" s="1"/>
  <c r="J27" i="8"/>
  <c r="BH27" i="8" s="1"/>
  <c r="F27" i="8"/>
  <c r="B27" i="8"/>
  <c r="CB26" i="8"/>
  <c r="BT26" i="8"/>
  <c r="BP26" i="8"/>
  <c r="BL26" i="8"/>
  <c r="BC26" i="8"/>
  <c r="AX26" i="8"/>
  <c r="AT26" i="8"/>
  <c r="BZ26" i="8" s="1"/>
  <c r="AP26" i="8"/>
  <c r="BX26" i="8" s="1"/>
  <c r="AL26" i="8"/>
  <c r="BV26" i="8" s="1"/>
  <c r="AH26" i="8"/>
  <c r="AD26" i="8"/>
  <c r="BR26" i="8" s="1"/>
  <c r="Z26" i="8"/>
  <c r="V26" i="8"/>
  <c r="BN26" i="8" s="1"/>
  <c r="R26" i="8"/>
  <c r="N26" i="8"/>
  <c r="BJ26" i="8" s="1"/>
  <c r="J26" i="8"/>
  <c r="BH26" i="8" s="1"/>
  <c r="F26" i="8"/>
  <c r="BF26" i="8" s="1"/>
  <c r="B26" i="8"/>
  <c r="CB25" i="8"/>
  <c r="BX25" i="8"/>
  <c r="BT25" i="8"/>
  <c r="BP25" i="8"/>
  <c r="BH25" i="8"/>
  <c r="BC25" i="8"/>
  <c r="AX25" i="8"/>
  <c r="AT25" i="8"/>
  <c r="BZ25" i="8" s="1"/>
  <c r="AP25" i="8"/>
  <c r="AL25" i="8"/>
  <c r="BV25" i="8" s="1"/>
  <c r="AH25" i="8"/>
  <c r="AD25" i="8"/>
  <c r="BR25" i="8" s="1"/>
  <c r="Z25" i="8"/>
  <c r="R25" i="8"/>
  <c r="BL25" i="8" s="1"/>
  <c r="N25" i="8"/>
  <c r="BJ25" i="8" s="1"/>
  <c r="J25" i="8"/>
  <c r="F25" i="8"/>
  <c r="BF25" i="8" s="1"/>
  <c r="B25" i="8"/>
  <c r="BZ24" i="8"/>
  <c r="BX24" i="8"/>
  <c r="BR24" i="8"/>
  <c r="BP24" i="8"/>
  <c r="BJ24" i="8"/>
  <c r="BH24" i="8"/>
  <c r="BC24" i="8"/>
  <c r="AX24" i="8"/>
  <c r="CB24" i="8" s="1"/>
  <c r="AT24" i="8"/>
  <c r="AP24" i="8"/>
  <c r="AL24" i="8"/>
  <c r="BV24" i="8" s="1"/>
  <c r="AH24" i="8"/>
  <c r="BT24" i="8" s="1"/>
  <c r="AD24" i="8"/>
  <c r="Z24" i="8"/>
  <c r="V24" i="8"/>
  <c r="BN24" i="8" s="1"/>
  <c r="R24" i="8"/>
  <c r="BL24" i="8" s="1"/>
  <c r="N24" i="8"/>
  <c r="J24" i="8"/>
  <c r="F24" i="8"/>
  <c r="BF24" i="8" s="1"/>
  <c r="B24" i="8"/>
  <c r="BZ23" i="8"/>
  <c r="BT23" i="8"/>
  <c r="BR23" i="8"/>
  <c r="BJ23" i="8"/>
  <c r="BC23" i="8"/>
  <c r="AX23" i="8"/>
  <c r="CB23" i="8" s="1"/>
  <c r="AT23" i="8"/>
  <c r="AP23" i="8"/>
  <c r="BX23" i="8" s="1"/>
  <c r="AL23" i="8"/>
  <c r="BV23" i="8" s="1"/>
  <c r="AH23" i="8"/>
  <c r="AD23" i="8"/>
  <c r="Z23" i="8"/>
  <c r="BP23" i="8" s="1"/>
  <c r="V23" i="8"/>
  <c r="BN23" i="8" s="1"/>
  <c r="R23" i="8"/>
  <c r="BL23" i="8" s="1"/>
  <c r="N23" i="8"/>
  <c r="J23" i="8"/>
  <c r="BH23" i="8" s="1"/>
  <c r="F23" i="8"/>
  <c r="BB23" i="8" s="1"/>
  <c r="B23" i="8"/>
  <c r="BZ22" i="8"/>
  <c r="BV22" i="8"/>
  <c r="BT22" i="8"/>
  <c r="BR22" i="8"/>
  <c r="BP22" i="8"/>
  <c r="BJ22" i="8"/>
  <c r="BF22" i="8"/>
  <c r="BC22" i="8"/>
  <c r="AX22" i="8"/>
  <c r="CB22" i="8" s="1"/>
  <c r="AT22" i="8"/>
  <c r="AP22" i="8"/>
  <c r="BX22" i="8" s="1"/>
  <c r="AL22" i="8"/>
  <c r="AH22" i="8"/>
  <c r="AD22" i="8"/>
  <c r="Z22" i="8"/>
  <c r="V22" i="8"/>
  <c r="BN22" i="8" s="1"/>
  <c r="R22" i="8"/>
  <c r="BL22" i="8" s="1"/>
  <c r="N22" i="8"/>
  <c r="J22" i="8"/>
  <c r="BH22" i="8" s="1"/>
  <c r="F22" i="8"/>
  <c r="BB22" i="8" s="1"/>
  <c r="B22" i="8"/>
  <c r="BZ21" i="8"/>
  <c r="BV21" i="8"/>
  <c r="BR21" i="8"/>
  <c r="BP21" i="8"/>
  <c r="BJ21" i="8"/>
  <c r="BF21" i="8"/>
  <c r="BC21" i="8"/>
  <c r="AX21" i="8"/>
  <c r="CB21" i="8" s="1"/>
  <c r="AT21" i="8"/>
  <c r="AP21" i="8"/>
  <c r="BX21" i="8" s="1"/>
  <c r="AL21" i="8"/>
  <c r="AH21" i="8"/>
  <c r="BT21" i="8" s="1"/>
  <c r="AD21" i="8"/>
  <c r="Z21" i="8"/>
  <c r="V21" i="8"/>
  <c r="BN21" i="8" s="1"/>
  <c r="R21" i="8"/>
  <c r="BL21" i="8" s="1"/>
  <c r="N21" i="8"/>
  <c r="J21" i="8"/>
  <c r="BH21" i="8" s="1"/>
  <c r="F21" i="8"/>
  <c r="B21" i="8"/>
  <c r="BZ20" i="8"/>
  <c r="BX20" i="8"/>
  <c r="BR20" i="8"/>
  <c r="BP20" i="8"/>
  <c r="BJ20" i="8"/>
  <c r="BH20" i="8"/>
  <c r="BC20" i="8"/>
  <c r="AX20" i="8"/>
  <c r="CB20" i="8" s="1"/>
  <c r="AT20" i="8"/>
  <c r="AP20" i="8"/>
  <c r="AL20" i="8"/>
  <c r="BV20" i="8" s="1"/>
  <c r="AH20" i="8"/>
  <c r="BT20" i="8" s="1"/>
  <c r="AD20" i="8"/>
  <c r="Z20" i="8"/>
  <c r="V20" i="8"/>
  <c r="BN20" i="8" s="1"/>
  <c r="R20" i="8"/>
  <c r="BL20" i="8" s="1"/>
  <c r="N20" i="8"/>
  <c r="J20" i="8"/>
  <c r="F20" i="8"/>
  <c r="BF20" i="8" s="1"/>
  <c r="B20" i="8"/>
  <c r="BZ19" i="8"/>
  <c r="BT19" i="8"/>
  <c r="BR19" i="8"/>
  <c r="BH19" i="8"/>
  <c r="BC19" i="8"/>
  <c r="H19" i="3" s="1"/>
  <c r="AX19" i="8"/>
  <c r="CB19" i="8" s="1"/>
  <c r="AT19" i="8"/>
  <c r="AP19" i="8"/>
  <c r="BX19" i="8" s="1"/>
  <c r="AL19" i="8"/>
  <c r="BV19" i="8" s="1"/>
  <c r="AH19" i="8"/>
  <c r="AD19" i="8"/>
  <c r="Z19" i="8"/>
  <c r="BP19" i="8" s="1"/>
  <c r="V19" i="8"/>
  <c r="BN19" i="8" s="1"/>
  <c r="R19" i="8"/>
  <c r="BL19" i="8" s="1"/>
  <c r="J19" i="8"/>
  <c r="F19" i="8"/>
  <c r="B19" i="8"/>
  <c r="BN18" i="8"/>
  <c r="BC18" i="8"/>
  <c r="AX18" i="8"/>
  <c r="CB18" i="8" s="1"/>
  <c r="AT18" i="8"/>
  <c r="BZ18" i="8" s="1"/>
  <c r="AP18" i="8"/>
  <c r="BX18" i="8" s="1"/>
  <c r="AL18" i="8"/>
  <c r="BV18" i="8" s="1"/>
  <c r="AH18" i="8"/>
  <c r="BT18" i="8" s="1"/>
  <c r="AD18" i="8"/>
  <c r="BR18" i="8" s="1"/>
  <c r="Z18" i="8"/>
  <c r="BP18" i="8" s="1"/>
  <c r="V18" i="8"/>
  <c r="R18" i="8"/>
  <c r="BL18" i="8" s="1"/>
  <c r="N18" i="8"/>
  <c r="BJ18" i="8" s="1"/>
  <c r="J18" i="8"/>
  <c r="BH18" i="8" s="1"/>
  <c r="F18" i="8"/>
  <c r="B18" i="8"/>
  <c r="BR17" i="8"/>
  <c r="BC17" i="8"/>
  <c r="AX17" i="8"/>
  <c r="CB17" i="8" s="1"/>
  <c r="AT17" i="8"/>
  <c r="BZ17" i="8" s="1"/>
  <c r="AP17" i="8"/>
  <c r="BX17" i="8" s="1"/>
  <c r="AL17" i="8"/>
  <c r="BV17" i="8" s="1"/>
  <c r="AH17" i="8"/>
  <c r="BT17" i="8" s="1"/>
  <c r="AD17" i="8"/>
  <c r="Z17" i="8"/>
  <c r="BP17" i="8" s="1"/>
  <c r="V17" i="8"/>
  <c r="BN17" i="8" s="1"/>
  <c r="R17" i="8"/>
  <c r="BL17" i="8" s="1"/>
  <c r="N17" i="8"/>
  <c r="BJ17" i="8" s="1"/>
  <c r="J17" i="8"/>
  <c r="BH17" i="8" s="1"/>
  <c r="F17" i="8"/>
  <c r="BF17" i="8" s="1"/>
  <c r="B17" i="8"/>
  <c r="BN16" i="8"/>
  <c r="BC16" i="8"/>
  <c r="AX16" i="8"/>
  <c r="CB16" i="8" s="1"/>
  <c r="AT16" i="8"/>
  <c r="BZ16" i="8" s="1"/>
  <c r="AP16" i="8"/>
  <c r="BX16" i="8" s="1"/>
  <c r="AL16" i="8"/>
  <c r="BV16" i="8" s="1"/>
  <c r="AH16" i="8"/>
  <c r="BT16" i="8" s="1"/>
  <c r="AD16" i="8"/>
  <c r="BR16" i="8" s="1"/>
  <c r="Z16" i="8"/>
  <c r="BP16" i="8" s="1"/>
  <c r="V16" i="8"/>
  <c r="R16" i="8"/>
  <c r="BL16" i="8" s="1"/>
  <c r="N16" i="8"/>
  <c r="BJ16" i="8" s="1"/>
  <c r="J16" i="8"/>
  <c r="BH16" i="8" s="1"/>
  <c r="F16" i="8"/>
  <c r="B16" i="8"/>
  <c r="BR15" i="8"/>
  <c r="BC15" i="8"/>
  <c r="AX15" i="8"/>
  <c r="CB15" i="8" s="1"/>
  <c r="AT15" i="8"/>
  <c r="BZ15" i="8" s="1"/>
  <c r="AP15" i="8"/>
  <c r="BX15" i="8" s="1"/>
  <c r="AL15" i="8"/>
  <c r="BV15" i="8" s="1"/>
  <c r="AH15" i="8"/>
  <c r="BT15" i="8" s="1"/>
  <c r="AD15" i="8"/>
  <c r="Z15" i="8"/>
  <c r="BP15" i="8" s="1"/>
  <c r="V15" i="8"/>
  <c r="BN15" i="8" s="1"/>
  <c r="R15" i="8"/>
  <c r="BL15" i="8" s="1"/>
  <c r="N15" i="8"/>
  <c r="BJ15" i="8" s="1"/>
  <c r="J15" i="8"/>
  <c r="BH15" i="8" s="1"/>
  <c r="F15" i="8"/>
  <c r="BF15" i="8" s="1"/>
  <c r="B15" i="8"/>
  <c r="BN14" i="8"/>
  <c r="BC14" i="8"/>
  <c r="AX14" i="8"/>
  <c r="CB14" i="8" s="1"/>
  <c r="AT14" i="8"/>
  <c r="BZ14" i="8" s="1"/>
  <c r="AP14" i="8"/>
  <c r="BX14" i="8" s="1"/>
  <c r="AL14" i="8"/>
  <c r="BV14" i="8" s="1"/>
  <c r="AH14" i="8"/>
  <c r="BT14" i="8" s="1"/>
  <c r="AD14" i="8"/>
  <c r="BR14" i="8" s="1"/>
  <c r="Z14" i="8"/>
  <c r="BP14" i="8" s="1"/>
  <c r="V14" i="8"/>
  <c r="R14" i="8"/>
  <c r="BL14" i="8" s="1"/>
  <c r="N14" i="8"/>
  <c r="BJ14" i="8" s="1"/>
  <c r="J14" i="8"/>
  <c r="BH14" i="8" s="1"/>
  <c r="F14" i="8"/>
  <c r="B14" i="8"/>
  <c r="BR13" i="8"/>
  <c r="BC13" i="8"/>
  <c r="AX13" i="8"/>
  <c r="CB13" i="8" s="1"/>
  <c r="AT13" i="8"/>
  <c r="BZ13" i="8" s="1"/>
  <c r="AP13" i="8"/>
  <c r="BX13" i="8" s="1"/>
  <c r="AL13" i="8"/>
  <c r="BV13" i="8" s="1"/>
  <c r="AH13" i="8"/>
  <c r="BT13" i="8" s="1"/>
  <c r="AD13" i="8"/>
  <c r="Z13" i="8"/>
  <c r="BP13" i="8" s="1"/>
  <c r="V13" i="8"/>
  <c r="BN13" i="8" s="1"/>
  <c r="R13" i="8"/>
  <c r="BL13" i="8" s="1"/>
  <c r="N13" i="8"/>
  <c r="BJ13" i="8" s="1"/>
  <c r="J13" i="8"/>
  <c r="BH13" i="8" s="1"/>
  <c r="F13" i="8"/>
  <c r="BF13" i="8" s="1"/>
  <c r="B13" i="8"/>
  <c r="BN12" i="8"/>
  <c r="BC12" i="8"/>
  <c r="AX12" i="8"/>
  <c r="CB12" i="8" s="1"/>
  <c r="AT12" i="8"/>
  <c r="BZ12" i="8" s="1"/>
  <c r="AP12" i="8"/>
  <c r="BX12" i="8" s="1"/>
  <c r="AL12" i="8"/>
  <c r="BV12" i="8" s="1"/>
  <c r="AH12" i="8"/>
  <c r="BT12" i="8" s="1"/>
  <c r="AD12" i="8"/>
  <c r="BR12" i="8" s="1"/>
  <c r="Z12" i="8"/>
  <c r="BP12" i="8" s="1"/>
  <c r="V12" i="8"/>
  <c r="R12" i="8"/>
  <c r="BL12" i="8" s="1"/>
  <c r="N12" i="8"/>
  <c r="BJ12" i="8" s="1"/>
  <c r="J12" i="8"/>
  <c r="BH12" i="8" s="1"/>
  <c r="F12" i="8"/>
  <c r="B12" i="8"/>
  <c r="BR11" i="8"/>
  <c r="BC11" i="8"/>
  <c r="AX11" i="8"/>
  <c r="CB11" i="8" s="1"/>
  <c r="AT11" i="8"/>
  <c r="BZ11" i="8" s="1"/>
  <c r="AP11" i="8"/>
  <c r="BX11" i="8" s="1"/>
  <c r="AL11" i="8"/>
  <c r="BV11" i="8" s="1"/>
  <c r="AH11" i="8"/>
  <c r="BT11" i="8" s="1"/>
  <c r="AD11" i="8"/>
  <c r="Z11" i="8"/>
  <c r="BP11" i="8" s="1"/>
  <c r="V11" i="8"/>
  <c r="BN11" i="8" s="1"/>
  <c r="R11" i="8"/>
  <c r="BL11" i="8" s="1"/>
  <c r="N11" i="8"/>
  <c r="BJ11" i="8" s="1"/>
  <c r="J11" i="8"/>
  <c r="BH11" i="8" s="1"/>
  <c r="F11" i="8"/>
  <c r="BF11" i="8" s="1"/>
  <c r="B11" i="8"/>
  <c r="BN10" i="8"/>
  <c r="BC10" i="8"/>
  <c r="AX10" i="8"/>
  <c r="AT10" i="8"/>
  <c r="BZ10" i="8" s="1"/>
  <c r="AP10" i="8"/>
  <c r="BX10" i="8" s="1"/>
  <c r="AL10" i="8"/>
  <c r="BV10" i="8" s="1"/>
  <c r="AH10" i="8"/>
  <c r="AD10" i="8"/>
  <c r="BR10" i="8" s="1"/>
  <c r="Z10" i="8"/>
  <c r="BP10" i="8" s="1"/>
  <c r="V10" i="8"/>
  <c r="R10" i="8"/>
  <c r="N10" i="8"/>
  <c r="BJ10" i="8" s="1"/>
  <c r="J10" i="8"/>
  <c r="BH10" i="8" s="1"/>
  <c r="F10" i="8"/>
  <c r="B10" i="8"/>
  <c r="BR9" i="8"/>
  <c r="BF9" i="8"/>
  <c r="BC9" i="8"/>
  <c r="BB9" i="8"/>
  <c r="AD9" i="8"/>
  <c r="F9" i="8"/>
  <c r="B9" i="8"/>
  <c r="CB8" i="8"/>
  <c r="BX8" i="8"/>
  <c r="BT8" i="8"/>
  <c r="BP8" i="8"/>
  <c r="BN8" i="8"/>
  <c r="BC8" i="8"/>
  <c r="H8" i="3" s="1"/>
  <c r="AX8" i="8"/>
  <c r="AT8" i="8"/>
  <c r="BZ8" i="8" s="1"/>
  <c r="AP8" i="8"/>
  <c r="AL8" i="8"/>
  <c r="BV8" i="8" s="1"/>
  <c r="Z8" i="8"/>
  <c r="N8" i="8"/>
  <c r="BJ8" i="8" s="1"/>
  <c r="J8" i="8"/>
  <c r="BH8" i="8" s="1"/>
  <c r="F8" i="8"/>
  <c r="BF8" i="8" s="1"/>
  <c r="B8" i="8"/>
  <c r="CB7" i="8"/>
  <c r="BT7" i="8"/>
  <c r="BP7" i="8"/>
  <c r="BL7" i="8"/>
  <c r="BC7" i="8"/>
  <c r="AX7" i="8"/>
  <c r="AT7" i="8"/>
  <c r="BZ7" i="8" s="1"/>
  <c r="AP7" i="8"/>
  <c r="BX7" i="8" s="1"/>
  <c r="AL7" i="8"/>
  <c r="BV7" i="8" s="1"/>
  <c r="AH7" i="8"/>
  <c r="AD7" i="8"/>
  <c r="BR7" i="8" s="1"/>
  <c r="Z7" i="8"/>
  <c r="V7" i="8"/>
  <c r="BN7" i="8" s="1"/>
  <c r="R7" i="8"/>
  <c r="N7" i="8"/>
  <c r="BJ7" i="8" s="1"/>
  <c r="J7" i="8"/>
  <c r="BH7" i="8" s="1"/>
  <c r="F7" i="8"/>
  <c r="BF7" i="8" s="1"/>
  <c r="B7" i="8"/>
  <c r="CB6" i="8"/>
  <c r="BT6" i="8"/>
  <c r="BL6" i="8"/>
  <c r="BC6" i="8"/>
  <c r="AX6" i="8"/>
  <c r="AT6" i="8"/>
  <c r="BZ6" i="8" s="1"/>
  <c r="AP6" i="8"/>
  <c r="BX6" i="8" s="1"/>
  <c r="AL6" i="8"/>
  <c r="BV6" i="8" s="1"/>
  <c r="AH6" i="8"/>
  <c r="AD6" i="8"/>
  <c r="BR6" i="8" s="1"/>
  <c r="Z6" i="8"/>
  <c r="BP6" i="8" s="1"/>
  <c r="V6" i="8"/>
  <c r="BN6" i="8" s="1"/>
  <c r="R6" i="8"/>
  <c r="N6" i="8"/>
  <c r="BJ6" i="8" s="1"/>
  <c r="J6" i="8"/>
  <c r="BH6" i="8" s="1"/>
  <c r="F6" i="8"/>
  <c r="BF6" i="8" s="1"/>
  <c r="B6" i="8"/>
  <c r="CB5" i="8"/>
  <c r="BT5" i="8"/>
  <c r="BP5" i="8"/>
  <c r="BL5" i="8"/>
  <c r="BC5" i="8"/>
  <c r="AX5" i="8"/>
  <c r="AT5" i="8"/>
  <c r="BZ5" i="8" s="1"/>
  <c r="AP5" i="8"/>
  <c r="BX5" i="8" s="1"/>
  <c r="AL5" i="8"/>
  <c r="BV5" i="8" s="1"/>
  <c r="AH5" i="8"/>
  <c r="AD5" i="8"/>
  <c r="BR5" i="8" s="1"/>
  <c r="Z5" i="8"/>
  <c r="V5" i="8"/>
  <c r="BN5" i="8" s="1"/>
  <c r="R5" i="8"/>
  <c r="N5" i="8"/>
  <c r="BJ5" i="8" s="1"/>
  <c r="J5" i="8"/>
  <c r="BH5" i="8" s="1"/>
  <c r="F5" i="8"/>
  <c r="BF5" i="8" s="1"/>
  <c r="B5" i="8"/>
  <c r="CB4" i="8"/>
  <c r="BT4" i="8"/>
  <c r="BL4" i="8"/>
  <c r="BC4" i="8"/>
  <c r="AX4" i="8"/>
  <c r="AT4" i="8"/>
  <c r="AP4" i="8"/>
  <c r="AL4" i="8"/>
  <c r="AH4" i="8"/>
  <c r="AD4" i="8"/>
  <c r="Z4" i="8"/>
  <c r="V4" i="8"/>
  <c r="R4" i="8"/>
  <c r="N4" i="8"/>
  <c r="J4" i="8"/>
  <c r="F4" i="8"/>
  <c r="B4" i="8"/>
  <c r="BZ2" i="8"/>
  <c r="BX2" i="8"/>
  <c r="BP2" i="8"/>
  <c r="BF2" i="8"/>
  <c r="AX2" i="8"/>
  <c r="CB2" i="8" s="1"/>
  <c r="AT2" i="8"/>
  <c r="AP2" i="8"/>
  <c r="AL2" i="8"/>
  <c r="BV2" i="8" s="1"/>
  <c r="AH2" i="8"/>
  <c r="BT2" i="8" s="1"/>
  <c r="AD2" i="8"/>
  <c r="BR2" i="8" s="1"/>
  <c r="Z2" i="8"/>
  <c r="V2" i="8"/>
  <c r="BN2" i="8" s="1"/>
  <c r="R2" i="8"/>
  <c r="BL2" i="8" s="1"/>
  <c r="N2" i="8"/>
  <c r="BJ2" i="8" s="1"/>
  <c r="J2" i="8"/>
  <c r="BH2" i="8" s="1"/>
  <c r="A1" i="8"/>
  <c r="BA81" i="7"/>
  <c r="AZ81" i="7"/>
  <c r="AY81" i="7"/>
  <c r="AW81" i="7"/>
  <c r="AV81" i="7"/>
  <c r="AU81" i="7"/>
  <c r="AS81" i="7"/>
  <c r="AR81" i="7"/>
  <c r="AQ81" i="7"/>
  <c r="AO81" i="7"/>
  <c r="AN81" i="7"/>
  <c r="AM81" i="7"/>
  <c r="AK81" i="7"/>
  <c r="AJ81" i="7"/>
  <c r="AI81" i="7"/>
  <c r="AG81" i="7"/>
  <c r="AF81" i="7"/>
  <c r="AE81" i="7"/>
  <c r="AC81" i="7"/>
  <c r="AB81" i="7"/>
  <c r="AA81" i="7"/>
  <c r="Y81" i="7"/>
  <c r="X81" i="7"/>
  <c r="W81" i="7"/>
  <c r="U81" i="7"/>
  <c r="T81" i="7"/>
  <c r="S81" i="7"/>
  <c r="Q81" i="7"/>
  <c r="P81" i="7"/>
  <c r="O81" i="7"/>
  <c r="M81" i="7"/>
  <c r="L81" i="7"/>
  <c r="K81" i="7"/>
  <c r="I81" i="7"/>
  <c r="H81" i="7"/>
  <c r="G81" i="7"/>
  <c r="BV80" i="7"/>
  <c r="BC80" i="7"/>
  <c r="AX80" i="7"/>
  <c r="CB80" i="7" s="1"/>
  <c r="AP80" i="7"/>
  <c r="BX80" i="7" s="1"/>
  <c r="AL80" i="7"/>
  <c r="AD80" i="7"/>
  <c r="BR80" i="7" s="1"/>
  <c r="Z80" i="7"/>
  <c r="BP80" i="7" s="1"/>
  <c r="V80" i="7"/>
  <c r="BN80" i="7" s="1"/>
  <c r="B80" i="7"/>
  <c r="BC79" i="7"/>
  <c r="AT79" i="7"/>
  <c r="BZ79" i="7" s="1"/>
  <c r="Z79" i="7"/>
  <c r="BP79" i="7" s="1"/>
  <c r="N79" i="7"/>
  <c r="BJ79" i="7" s="1"/>
  <c r="B79" i="7"/>
  <c r="BJ78" i="7"/>
  <c r="BC78" i="7"/>
  <c r="V78" i="7"/>
  <c r="N78" i="7"/>
  <c r="B78" i="7"/>
  <c r="BP77" i="7"/>
  <c r="BC77" i="7"/>
  <c r="AP77" i="7"/>
  <c r="BX77" i="7" s="1"/>
  <c r="AL77" i="7"/>
  <c r="BV77" i="7" s="1"/>
  <c r="AD77" i="7"/>
  <c r="BR77" i="7" s="1"/>
  <c r="Z77" i="7"/>
  <c r="B77" i="7"/>
  <c r="BX76" i="7"/>
  <c r="BV76" i="7"/>
  <c r="BR76" i="7"/>
  <c r="BN76" i="7"/>
  <c r="BH76" i="7"/>
  <c r="BF76" i="7"/>
  <c r="BC76" i="7"/>
  <c r="AX76" i="7"/>
  <c r="CB76" i="7" s="1"/>
  <c r="AT76" i="7"/>
  <c r="BZ76" i="7" s="1"/>
  <c r="AP76" i="7"/>
  <c r="AL76" i="7"/>
  <c r="AH76" i="7"/>
  <c r="BT76" i="7" s="1"/>
  <c r="AD76" i="7"/>
  <c r="Z76" i="7"/>
  <c r="BP76" i="7" s="1"/>
  <c r="V76" i="7"/>
  <c r="R76" i="7"/>
  <c r="BL76" i="7" s="1"/>
  <c r="N76" i="7"/>
  <c r="BJ76" i="7" s="1"/>
  <c r="J76" i="7"/>
  <c r="F76" i="7"/>
  <c r="B76" i="7"/>
  <c r="BX75" i="7"/>
  <c r="BV75" i="7"/>
  <c r="BT75" i="7"/>
  <c r="BR75" i="7"/>
  <c r="BN75" i="7"/>
  <c r="BH75" i="7"/>
  <c r="BF75" i="7"/>
  <c r="BC75" i="7"/>
  <c r="H75" i="3" s="1"/>
  <c r="AX75" i="7"/>
  <c r="CB75" i="7" s="1"/>
  <c r="AT75" i="7"/>
  <c r="BZ75" i="7" s="1"/>
  <c r="AP75" i="7"/>
  <c r="AL75" i="7"/>
  <c r="AH75" i="7"/>
  <c r="AD75" i="7"/>
  <c r="Z75" i="7"/>
  <c r="BP75" i="7" s="1"/>
  <c r="V75" i="7"/>
  <c r="R75" i="7"/>
  <c r="BL75" i="7" s="1"/>
  <c r="N75" i="7"/>
  <c r="BJ75" i="7" s="1"/>
  <c r="J75" i="7"/>
  <c r="F75" i="7"/>
  <c r="BB75" i="7" s="1"/>
  <c r="G75" i="3" s="1"/>
  <c r="B75" i="7"/>
  <c r="BZ74" i="7"/>
  <c r="BV74" i="7"/>
  <c r="BT74" i="7"/>
  <c r="BR74" i="7"/>
  <c r="BN74" i="7"/>
  <c r="BJ74" i="7"/>
  <c r="BF74" i="7"/>
  <c r="BC74" i="7"/>
  <c r="AX74" i="7"/>
  <c r="CB74" i="7" s="1"/>
  <c r="AT74" i="7"/>
  <c r="AP74" i="7"/>
  <c r="BX74" i="7" s="1"/>
  <c r="AL74" i="7"/>
  <c r="AH74" i="7"/>
  <c r="AD74" i="7"/>
  <c r="Z74" i="7"/>
  <c r="BP74" i="7" s="1"/>
  <c r="V74" i="7"/>
  <c r="R74" i="7"/>
  <c r="BL74" i="7" s="1"/>
  <c r="N74" i="7"/>
  <c r="J74" i="7"/>
  <c r="BH74" i="7" s="1"/>
  <c r="F74" i="7"/>
  <c r="B74" i="7"/>
  <c r="CB73" i="7"/>
  <c r="BV73" i="7"/>
  <c r="BT73" i="7"/>
  <c r="BN73" i="7"/>
  <c r="BL73" i="7"/>
  <c r="BF73" i="7"/>
  <c r="BC73" i="7"/>
  <c r="AX73" i="7"/>
  <c r="AT73" i="7"/>
  <c r="BZ73" i="7" s="1"/>
  <c r="AP73" i="7"/>
  <c r="BX73" i="7" s="1"/>
  <c r="AL73" i="7"/>
  <c r="AH73" i="7"/>
  <c r="AD73" i="7"/>
  <c r="BR73" i="7" s="1"/>
  <c r="Z73" i="7"/>
  <c r="BP73" i="7" s="1"/>
  <c r="V73" i="7"/>
  <c r="R73" i="7"/>
  <c r="N73" i="7"/>
  <c r="BJ73" i="7" s="1"/>
  <c r="J73" i="7"/>
  <c r="BH73" i="7" s="1"/>
  <c r="F73" i="7"/>
  <c r="B73" i="7"/>
  <c r="BX72" i="7"/>
  <c r="BV72" i="7"/>
  <c r="BR72" i="7"/>
  <c r="BN72" i="7"/>
  <c r="BH72" i="7"/>
  <c r="BF72" i="7"/>
  <c r="BC72" i="7"/>
  <c r="AX72" i="7"/>
  <c r="CB72" i="7" s="1"/>
  <c r="AT72" i="7"/>
  <c r="BZ72" i="7" s="1"/>
  <c r="AP72" i="7"/>
  <c r="AL72" i="7"/>
  <c r="AH72" i="7"/>
  <c r="BT72" i="7" s="1"/>
  <c r="AD72" i="7"/>
  <c r="Z72" i="7"/>
  <c r="BP72" i="7" s="1"/>
  <c r="V72" i="7"/>
  <c r="R72" i="7"/>
  <c r="BL72" i="7" s="1"/>
  <c r="N72" i="7"/>
  <c r="BJ72" i="7" s="1"/>
  <c r="J72" i="7"/>
  <c r="F72" i="7"/>
  <c r="B72" i="7"/>
  <c r="BX71" i="7"/>
  <c r="BV71" i="7"/>
  <c r="BT71" i="7"/>
  <c r="BR71" i="7"/>
  <c r="BN71" i="7"/>
  <c r="BH71" i="7"/>
  <c r="BC71" i="7"/>
  <c r="AX71" i="7"/>
  <c r="CB71" i="7" s="1"/>
  <c r="AT71" i="7"/>
  <c r="BZ71" i="7" s="1"/>
  <c r="AP71" i="7"/>
  <c r="AL71" i="7"/>
  <c r="AH71" i="7"/>
  <c r="AD71" i="7"/>
  <c r="Z71" i="7"/>
  <c r="BP71" i="7" s="1"/>
  <c r="V71" i="7"/>
  <c r="R71" i="7"/>
  <c r="BL71" i="7" s="1"/>
  <c r="N71" i="7"/>
  <c r="BJ71" i="7" s="1"/>
  <c r="J71" i="7"/>
  <c r="B71" i="7"/>
  <c r="CB70" i="7"/>
  <c r="BL70" i="7"/>
  <c r="BC70" i="7"/>
  <c r="H70" i="3" s="1"/>
  <c r="AX70" i="7"/>
  <c r="AT70" i="7"/>
  <c r="BZ70" i="7" s="1"/>
  <c r="AP70" i="7"/>
  <c r="BX70" i="7" s="1"/>
  <c r="AL70" i="7"/>
  <c r="BV70" i="7" s="1"/>
  <c r="V70" i="7"/>
  <c r="BN70" i="7" s="1"/>
  <c r="R70" i="7"/>
  <c r="N70" i="7"/>
  <c r="BJ70" i="7" s="1"/>
  <c r="J70" i="7"/>
  <c r="BH70" i="7" s="1"/>
  <c r="B70" i="7"/>
  <c r="BP69" i="7"/>
  <c r="BL69" i="7"/>
  <c r="BC69" i="7"/>
  <c r="AT69" i="7"/>
  <c r="BZ69" i="7" s="1"/>
  <c r="AH69" i="7"/>
  <c r="BT69" i="7" s="1"/>
  <c r="AD69" i="7"/>
  <c r="BR69" i="7" s="1"/>
  <c r="Z69" i="7"/>
  <c r="V69" i="7"/>
  <c r="BN69" i="7" s="1"/>
  <c r="R69" i="7"/>
  <c r="N69" i="7"/>
  <c r="BJ69" i="7" s="1"/>
  <c r="J69" i="7"/>
  <c r="BH69" i="7" s="1"/>
  <c r="F69" i="7"/>
  <c r="BF69" i="7" s="1"/>
  <c r="B69" i="7"/>
  <c r="BZ68" i="7"/>
  <c r="BT68" i="7"/>
  <c r="BP68" i="7"/>
  <c r="BN68" i="7"/>
  <c r="BJ68" i="7"/>
  <c r="BH68" i="7"/>
  <c r="BC68" i="7"/>
  <c r="AT68" i="7"/>
  <c r="AH68" i="7"/>
  <c r="AD68" i="7"/>
  <c r="BR68" i="7" s="1"/>
  <c r="Z68" i="7"/>
  <c r="V68" i="7"/>
  <c r="R68" i="7"/>
  <c r="BL68" i="7" s="1"/>
  <c r="N68" i="7"/>
  <c r="J68" i="7"/>
  <c r="F68" i="7"/>
  <c r="BF68" i="7" s="1"/>
  <c r="B68" i="7"/>
  <c r="BR67" i="7"/>
  <c r="BJ67" i="7"/>
  <c r="BC67" i="7"/>
  <c r="AT67" i="7"/>
  <c r="BZ67" i="7" s="1"/>
  <c r="AH67" i="7"/>
  <c r="BT67" i="7" s="1"/>
  <c r="AD67" i="7"/>
  <c r="Z67" i="7"/>
  <c r="BP67" i="7" s="1"/>
  <c r="V67" i="7"/>
  <c r="BN67" i="7" s="1"/>
  <c r="R67" i="7"/>
  <c r="BL67" i="7" s="1"/>
  <c r="N67" i="7"/>
  <c r="J67" i="7"/>
  <c r="BH67" i="7" s="1"/>
  <c r="F67" i="7"/>
  <c r="BF67" i="7" s="1"/>
  <c r="B67" i="7"/>
  <c r="BZ66" i="7"/>
  <c r="BV66" i="7"/>
  <c r="BT66" i="7"/>
  <c r="BR66" i="7"/>
  <c r="BP66" i="7"/>
  <c r="BJ66" i="7"/>
  <c r="BF66" i="7"/>
  <c r="BC66" i="7"/>
  <c r="AX66" i="7"/>
  <c r="CB66" i="7" s="1"/>
  <c r="AT66" i="7"/>
  <c r="AP66" i="7"/>
  <c r="BX66" i="7" s="1"/>
  <c r="AL66" i="7"/>
  <c r="AH66" i="7"/>
  <c r="AD66" i="7"/>
  <c r="Z66" i="7"/>
  <c r="V66" i="7"/>
  <c r="BN66" i="7" s="1"/>
  <c r="R66" i="7"/>
  <c r="BL66" i="7" s="1"/>
  <c r="N66" i="7"/>
  <c r="J66" i="7"/>
  <c r="BH66" i="7" s="1"/>
  <c r="F66" i="7"/>
  <c r="BB66" i="7" s="1"/>
  <c r="B66" i="7"/>
  <c r="BR65" i="7"/>
  <c r="BP65" i="7"/>
  <c r="BL65" i="7"/>
  <c r="BF65" i="7"/>
  <c r="BC65" i="7"/>
  <c r="AL65" i="7"/>
  <c r="BV65" i="7" s="1"/>
  <c r="AD65" i="7"/>
  <c r="Z65" i="7"/>
  <c r="R65" i="7"/>
  <c r="N65" i="7"/>
  <c r="F65" i="7"/>
  <c r="B65" i="7"/>
  <c r="BZ64" i="7"/>
  <c r="BV64" i="7"/>
  <c r="BT64" i="7"/>
  <c r="BL64" i="7"/>
  <c r="BJ64" i="7"/>
  <c r="BF64" i="7"/>
  <c r="BC64" i="7"/>
  <c r="AT64" i="7"/>
  <c r="AP64" i="7"/>
  <c r="BX64" i="7" s="1"/>
  <c r="AL64" i="7"/>
  <c r="AH64" i="7"/>
  <c r="AD64" i="7"/>
  <c r="BR64" i="7" s="1"/>
  <c r="Z64" i="7"/>
  <c r="BP64" i="7" s="1"/>
  <c r="V64" i="7"/>
  <c r="BN64" i="7" s="1"/>
  <c r="R64" i="7"/>
  <c r="N64" i="7"/>
  <c r="J64" i="7"/>
  <c r="BH64" i="7" s="1"/>
  <c r="F64" i="7"/>
  <c r="B64" i="7"/>
  <c r="CB63" i="7"/>
  <c r="BT63" i="7"/>
  <c r="BP63" i="7"/>
  <c r="BL63" i="7"/>
  <c r="BC63" i="7"/>
  <c r="AX63" i="7"/>
  <c r="AT63" i="7"/>
  <c r="BZ63" i="7" s="1"/>
  <c r="AP63" i="7"/>
  <c r="BX63" i="7" s="1"/>
  <c r="AL63" i="7"/>
  <c r="BV63" i="7" s="1"/>
  <c r="AH63" i="7"/>
  <c r="AD63" i="7"/>
  <c r="BR63" i="7" s="1"/>
  <c r="Z63" i="7"/>
  <c r="V63" i="7"/>
  <c r="BN63" i="7" s="1"/>
  <c r="R63" i="7"/>
  <c r="N63" i="7"/>
  <c r="BJ63" i="7" s="1"/>
  <c r="J63" i="7"/>
  <c r="BH63" i="7" s="1"/>
  <c r="F63" i="7"/>
  <c r="BF63" i="7" s="1"/>
  <c r="B63" i="7"/>
  <c r="CB62" i="7"/>
  <c r="BT62" i="7"/>
  <c r="BL62" i="7"/>
  <c r="BC62" i="7"/>
  <c r="AX62" i="7"/>
  <c r="AT62" i="7"/>
  <c r="BZ62" i="7" s="1"/>
  <c r="AP62" i="7"/>
  <c r="BX62" i="7" s="1"/>
  <c r="AL62" i="7"/>
  <c r="BV62" i="7" s="1"/>
  <c r="AH62" i="7"/>
  <c r="AD62" i="7"/>
  <c r="BR62" i="7" s="1"/>
  <c r="Z62" i="7"/>
  <c r="BP62" i="7" s="1"/>
  <c r="V62" i="7"/>
  <c r="BN62" i="7" s="1"/>
  <c r="R62" i="7"/>
  <c r="N62" i="7"/>
  <c r="BJ62" i="7" s="1"/>
  <c r="J62" i="7"/>
  <c r="BH62" i="7" s="1"/>
  <c r="F62" i="7"/>
  <c r="BF62" i="7" s="1"/>
  <c r="B62" i="7"/>
  <c r="CB61" i="7"/>
  <c r="BT61" i="7"/>
  <c r="BP61" i="7"/>
  <c r="BL61" i="7"/>
  <c r="BC61" i="7"/>
  <c r="AX61" i="7"/>
  <c r="AT61" i="7"/>
  <c r="BZ61" i="7" s="1"/>
  <c r="AP61" i="7"/>
  <c r="BX61" i="7" s="1"/>
  <c r="AL61" i="7"/>
  <c r="BV61" i="7" s="1"/>
  <c r="AH61" i="7"/>
  <c r="AD61" i="7"/>
  <c r="BR61" i="7" s="1"/>
  <c r="Z61" i="7"/>
  <c r="V61" i="7"/>
  <c r="BN61" i="7" s="1"/>
  <c r="R61" i="7"/>
  <c r="N61" i="7"/>
  <c r="BJ61" i="7" s="1"/>
  <c r="J61" i="7"/>
  <c r="BH61" i="7" s="1"/>
  <c r="F61" i="7"/>
  <c r="BF61" i="7" s="1"/>
  <c r="B61" i="7"/>
  <c r="BH60" i="7"/>
  <c r="BC60" i="7"/>
  <c r="AT60" i="7"/>
  <c r="BZ60" i="7" s="1"/>
  <c r="Z60" i="7"/>
  <c r="BP60" i="7" s="1"/>
  <c r="V60" i="7"/>
  <c r="BN60" i="7" s="1"/>
  <c r="N60" i="7"/>
  <c r="BJ60" i="7" s="1"/>
  <c r="J60" i="7"/>
  <c r="F60" i="7"/>
  <c r="BF60" i="7" s="1"/>
  <c r="B60" i="7"/>
  <c r="BR59" i="7"/>
  <c r="BN59" i="7"/>
  <c r="BC59" i="7"/>
  <c r="AX59" i="7"/>
  <c r="CB59" i="7" s="1"/>
  <c r="AT59" i="7"/>
  <c r="BZ59" i="7" s="1"/>
  <c r="AP59" i="7"/>
  <c r="BX59" i="7" s="1"/>
  <c r="AL59" i="7"/>
  <c r="BV59" i="7" s="1"/>
  <c r="AH59" i="7"/>
  <c r="BT59" i="7" s="1"/>
  <c r="AD59" i="7"/>
  <c r="Z59" i="7"/>
  <c r="BP59" i="7" s="1"/>
  <c r="V59" i="7"/>
  <c r="R59" i="7"/>
  <c r="BL59" i="7" s="1"/>
  <c r="N59" i="7"/>
  <c r="BJ59" i="7" s="1"/>
  <c r="J59" i="7"/>
  <c r="BH59" i="7" s="1"/>
  <c r="F59" i="7"/>
  <c r="BB59" i="7" s="1"/>
  <c r="B59" i="7"/>
  <c r="BN58" i="7"/>
  <c r="BC58" i="7"/>
  <c r="AX58" i="7"/>
  <c r="CB58" i="7" s="1"/>
  <c r="AD58" i="7"/>
  <c r="BR58" i="7" s="1"/>
  <c r="Z58" i="7"/>
  <c r="BP58" i="7" s="1"/>
  <c r="V58" i="7"/>
  <c r="B58" i="7"/>
  <c r="BR57" i="7"/>
  <c r="BN57" i="7"/>
  <c r="BC57" i="7"/>
  <c r="AX57" i="7"/>
  <c r="CB57" i="7" s="1"/>
  <c r="AT57" i="7"/>
  <c r="BZ57" i="7" s="1"/>
  <c r="AP57" i="7"/>
  <c r="BX57" i="7" s="1"/>
  <c r="AL57" i="7"/>
  <c r="BV57" i="7" s="1"/>
  <c r="AH57" i="7"/>
  <c r="BT57" i="7" s="1"/>
  <c r="AD57" i="7"/>
  <c r="Z57" i="7"/>
  <c r="BP57" i="7" s="1"/>
  <c r="V57" i="7"/>
  <c r="R57" i="7"/>
  <c r="BL57" i="7" s="1"/>
  <c r="N57" i="7"/>
  <c r="BJ57" i="7" s="1"/>
  <c r="J57" i="7"/>
  <c r="BH57" i="7" s="1"/>
  <c r="F57" i="7"/>
  <c r="BB57" i="7" s="1"/>
  <c r="B57" i="7"/>
  <c r="BV56" i="7"/>
  <c r="BN56" i="7"/>
  <c r="BF56" i="7"/>
  <c r="BC56" i="7"/>
  <c r="AX56" i="7"/>
  <c r="CB56" i="7" s="1"/>
  <c r="AT56" i="7"/>
  <c r="BZ56" i="7" s="1"/>
  <c r="AP56" i="7"/>
  <c r="BX56" i="7" s="1"/>
  <c r="AL56" i="7"/>
  <c r="AH56" i="7"/>
  <c r="BT56" i="7" s="1"/>
  <c r="AD56" i="7"/>
  <c r="BR56" i="7" s="1"/>
  <c r="Z56" i="7"/>
  <c r="BP56" i="7" s="1"/>
  <c r="V56" i="7"/>
  <c r="N56" i="7"/>
  <c r="BJ56" i="7" s="1"/>
  <c r="J56" i="7"/>
  <c r="BH56" i="7" s="1"/>
  <c r="F56" i="7"/>
  <c r="B56" i="7"/>
  <c r="BR55" i="7"/>
  <c r="BP55" i="7"/>
  <c r="BH55" i="7"/>
  <c r="BF55" i="7"/>
  <c r="BC55" i="7"/>
  <c r="AX55" i="7"/>
  <c r="CB55" i="7" s="1"/>
  <c r="AH55" i="7"/>
  <c r="BT55" i="7" s="1"/>
  <c r="AD55" i="7"/>
  <c r="Z55" i="7"/>
  <c r="V55" i="7"/>
  <c r="BN55" i="7" s="1"/>
  <c r="N55" i="7"/>
  <c r="BJ55" i="7" s="1"/>
  <c r="J55" i="7"/>
  <c r="F55" i="7"/>
  <c r="B55" i="7"/>
  <c r="BX54" i="7"/>
  <c r="BV54" i="7"/>
  <c r="BT54" i="7"/>
  <c r="BR54" i="7"/>
  <c r="BN54" i="7"/>
  <c r="BH54" i="7"/>
  <c r="BF54" i="7"/>
  <c r="BC54" i="7"/>
  <c r="AX54" i="7"/>
  <c r="CB54" i="7" s="1"/>
  <c r="AT54" i="7"/>
  <c r="BZ54" i="7" s="1"/>
  <c r="AP54" i="7"/>
  <c r="AL54" i="7"/>
  <c r="AH54" i="7"/>
  <c r="AD54" i="7"/>
  <c r="Z54" i="7"/>
  <c r="BP54" i="7" s="1"/>
  <c r="V54" i="7"/>
  <c r="R54" i="7"/>
  <c r="BL54" i="7" s="1"/>
  <c r="N54" i="7"/>
  <c r="BJ54" i="7" s="1"/>
  <c r="J54" i="7"/>
  <c r="F54" i="7"/>
  <c r="BB54" i="7" s="1"/>
  <c r="B54" i="7"/>
  <c r="BZ53" i="7"/>
  <c r="BV53" i="7"/>
  <c r="BT53" i="7"/>
  <c r="BR53" i="7"/>
  <c r="BN53" i="7"/>
  <c r="BJ53" i="7"/>
  <c r="BF53" i="7"/>
  <c r="BC53" i="7"/>
  <c r="AX53" i="7"/>
  <c r="CB53" i="7" s="1"/>
  <c r="AT53" i="7"/>
  <c r="AP53" i="7"/>
  <c r="BX53" i="7" s="1"/>
  <c r="AL53" i="7"/>
  <c r="AH53" i="7"/>
  <c r="AD53" i="7"/>
  <c r="Z53" i="7"/>
  <c r="BP53" i="7" s="1"/>
  <c r="V53" i="7"/>
  <c r="R53" i="7"/>
  <c r="BL53" i="7" s="1"/>
  <c r="N53" i="7"/>
  <c r="J53" i="7"/>
  <c r="BH53" i="7" s="1"/>
  <c r="F53" i="7"/>
  <c r="B53" i="7"/>
  <c r="CB52" i="7"/>
  <c r="BV52" i="7"/>
  <c r="BT52" i="7"/>
  <c r="BN52" i="7"/>
  <c r="BL52" i="7"/>
  <c r="BF52" i="7"/>
  <c r="BC52" i="7"/>
  <c r="AX52" i="7"/>
  <c r="AT52" i="7"/>
  <c r="BZ52" i="7" s="1"/>
  <c r="AP52" i="7"/>
  <c r="BX52" i="7" s="1"/>
  <c r="AL52" i="7"/>
  <c r="AH52" i="7"/>
  <c r="AD52" i="7"/>
  <c r="BR52" i="7" s="1"/>
  <c r="Z52" i="7"/>
  <c r="BP52" i="7" s="1"/>
  <c r="V52" i="7"/>
  <c r="R52" i="7"/>
  <c r="N52" i="7"/>
  <c r="BJ52" i="7" s="1"/>
  <c r="J52" i="7"/>
  <c r="BH52" i="7" s="1"/>
  <c r="F52" i="7"/>
  <c r="B52" i="7"/>
  <c r="BX51" i="7"/>
  <c r="BV51" i="7"/>
  <c r="BR51" i="7"/>
  <c r="BN51" i="7"/>
  <c r="BH51" i="7"/>
  <c r="BF51" i="7"/>
  <c r="BC51" i="7"/>
  <c r="AX51" i="7"/>
  <c r="CB51" i="7" s="1"/>
  <c r="AT51" i="7"/>
  <c r="BZ51" i="7" s="1"/>
  <c r="AP51" i="7"/>
  <c r="AL51" i="7"/>
  <c r="AH51" i="7"/>
  <c r="BT51" i="7" s="1"/>
  <c r="AD51" i="7"/>
  <c r="Z51" i="7"/>
  <c r="BP51" i="7" s="1"/>
  <c r="V51" i="7"/>
  <c r="R51" i="7"/>
  <c r="BL51" i="7" s="1"/>
  <c r="N51" i="7"/>
  <c r="BJ51" i="7" s="1"/>
  <c r="J51" i="7"/>
  <c r="F51" i="7"/>
  <c r="B51" i="7"/>
  <c r="BX50" i="7"/>
  <c r="BV50" i="7"/>
  <c r="BT50" i="7"/>
  <c r="BR50" i="7"/>
  <c r="BN50" i="7"/>
  <c r="BH50" i="7"/>
  <c r="BF50" i="7"/>
  <c r="BC50" i="7"/>
  <c r="AX50" i="7"/>
  <c r="CB50" i="7" s="1"/>
  <c r="AT50" i="7"/>
  <c r="BZ50" i="7" s="1"/>
  <c r="AP50" i="7"/>
  <c r="AL50" i="7"/>
  <c r="AH50" i="7"/>
  <c r="AD50" i="7"/>
  <c r="Z50" i="7"/>
  <c r="BP50" i="7" s="1"/>
  <c r="V50" i="7"/>
  <c r="R50" i="7"/>
  <c r="BL50" i="7" s="1"/>
  <c r="N50" i="7"/>
  <c r="BJ50" i="7" s="1"/>
  <c r="J50" i="7"/>
  <c r="F50" i="7"/>
  <c r="BB50" i="7" s="1"/>
  <c r="B50" i="7"/>
  <c r="BC49" i="7"/>
  <c r="BB49" i="7"/>
  <c r="B49" i="7"/>
  <c r="BX48" i="7"/>
  <c r="BR48" i="7"/>
  <c r="BH48" i="7"/>
  <c r="BC48" i="7"/>
  <c r="AP48" i="7"/>
  <c r="AL48" i="7"/>
  <c r="BV48" i="7" s="1"/>
  <c r="AH48" i="7"/>
  <c r="BT48" i="7" s="1"/>
  <c r="AD48" i="7"/>
  <c r="Z48" i="7"/>
  <c r="BP48" i="7" s="1"/>
  <c r="R48" i="7"/>
  <c r="BL48" i="7" s="1"/>
  <c r="N48" i="7"/>
  <c r="BJ48" i="7" s="1"/>
  <c r="J48" i="7"/>
  <c r="F48" i="7"/>
  <c r="B48" i="7"/>
  <c r="BJ47" i="7"/>
  <c r="BF47" i="7"/>
  <c r="BC47" i="7"/>
  <c r="AX47" i="7"/>
  <c r="CB47" i="7" s="1"/>
  <c r="AT47" i="7"/>
  <c r="BZ47" i="7" s="1"/>
  <c r="AP47" i="7"/>
  <c r="BX47" i="7" s="1"/>
  <c r="AL47" i="7"/>
  <c r="BV47" i="7" s="1"/>
  <c r="AH47" i="7"/>
  <c r="BT47" i="7" s="1"/>
  <c r="AD47" i="7"/>
  <c r="BR47" i="7" s="1"/>
  <c r="Z47" i="7"/>
  <c r="BP47" i="7" s="1"/>
  <c r="R47" i="7"/>
  <c r="BL47" i="7" s="1"/>
  <c r="N47" i="7"/>
  <c r="J47" i="7"/>
  <c r="F47" i="7"/>
  <c r="B47" i="7"/>
  <c r="CB46" i="7"/>
  <c r="BV46" i="7"/>
  <c r="BT46" i="7"/>
  <c r="BL46" i="7"/>
  <c r="BJ46" i="7"/>
  <c r="BF46" i="7"/>
  <c r="BC46" i="7"/>
  <c r="AX46" i="7"/>
  <c r="AT46" i="7"/>
  <c r="BZ46" i="7" s="1"/>
  <c r="AP46" i="7"/>
  <c r="BX46" i="7" s="1"/>
  <c r="AL46" i="7"/>
  <c r="AH46" i="7"/>
  <c r="AD46" i="7"/>
  <c r="BR46" i="7" s="1"/>
  <c r="Z46" i="7"/>
  <c r="BP46" i="7" s="1"/>
  <c r="R46" i="7"/>
  <c r="N46" i="7"/>
  <c r="J46" i="7"/>
  <c r="BH46" i="7" s="1"/>
  <c r="F46" i="7"/>
  <c r="B46" i="7"/>
  <c r="CB45" i="7"/>
  <c r="BT45" i="7"/>
  <c r="BP45" i="7"/>
  <c r="BL45" i="7"/>
  <c r="BC45" i="7"/>
  <c r="AX45" i="7"/>
  <c r="AT45" i="7"/>
  <c r="BZ45" i="7" s="1"/>
  <c r="AP45" i="7"/>
  <c r="BX45" i="7" s="1"/>
  <c r="AL45" i="7"/>
  <c r="BV45" i="7" s="1"/>
  <c r="AH45" i="7"/>
  <c r="AD45" i="7"/>
  <c r="BR45" i="7" s="1"/>
  <c r="Z45" i="7"/>
  <c r="V45" i="7"/>
  <c r="BN45" i="7" s="1"/>
  <c r="R45" i="7"/>
  <c r="N45" i="7"/>
  <c r="BJ45" i="7" s="1"/>
  <c r="J45" i="7"/>
  <c r="BH45" i="7" s="1"/>
  <c r="F45" i="7"/>
  <c r="BF45" i="7" s="1"/>
  <c r="B45" i="7"/>
  <c r="BX44" i="7"/>
  <c r="BP44" i="7"/>
  <c r="BL44" i="7"/>
  <c r="BC44" i="7"/>
  <c r="AT44" i="7"/>
  <c r="BZ44" i="7" s="1"/>
  <c r="AP44" i="7"/>
  <c r="AH44" i="7"/>
  <c r="BT44" i="7" s="1"/>
  <c r="AD44" i="7"/>
  <c r="BR44" i="7" s="1"/>
  <c r="Z44" i="7"/>
  <c r="R44" i="7"/>
  <c r="N44" i="7"/>
  <c r="BJ44" i="7" s="1"/>
  <c r="J44" i="7"/>
  <c r="BH44" i="7" s="1"/>
  <c r="F44" i="7"/>
  <c r="BF44" i="7" s="1"/>
  <c r="B44" i="7"/>
  <c r="BX43" i="7"/>
  <c r="BV43" i="7"/>
  <c r="BR43" i="7"/>
  <c r="BN43" i="7"/>
  <c r="BH43" i="7"/>
  <c r="BF43" i="7"/>
  <c r="BC43" i="7"/>
  <c r="AX43" i="7"/>
  <c r="CB43" i="7" s="1"/>
  <c r="AT43" i="7"/>
  <c r="BZ43" i="7" s="1"/>
  <c r="AP43" i="7"/>
  <c r="AL43" i="7"/>
  <c r="AH43" i="7"/>
  <c r="BT43" i="7" s="1"/>
  <c r="AD43" i="7"/>
  <c r="Z43" i="7"/>
  <c r="BP43" i="7" s="1"/>
  <c r="V43" i="7"/>
  <c r="R43" i="7"/>
  <c r="BL43" i="7" s="1"/>
  <c r="N43" i="7"/>
  <c r="BJ43" i="7" s="1"/>
  <c r="J43" i="7"/>
  <c r="F43" i="7"/>
  <c r="B43" i="7"/>
  <c r="BX42" i="7"/>
  <c r="BV42" i="7"/>
  <c r="BT42" i="7"/>
  <c r="BR42" i="7"/>
  <c r="BN42" i="7"/>
  <c r="BH42" i="7"/>
  <c r="BF42" i="7"/>
  <c r="BC42" i="7"/>
  <c r="AX42" i="7"/>
  <c r="CB42" i="7" s="1"/>
  <c r="AT42" i="7"/>
  <c r="BZ42" i="7" s="1"/>
  <c r="AP42" i="7"/>
  <c r="AL42" i="7"/>
  <c r="AH42" i="7"/>
  <c r="AD42" i="7"/>
  <c r="Z42" i="7"/>
  <c r="BP42" i="7" s="1"/>
  <c r="V42" i="7"/>
  <c r="N42" i="7"/>
  <c r="BJ42" i="7" s="1"/>
  <c r="J42" i="7"/>
  <c r="F42" i="7"/>
  <c r="B42" i="7"/>
  <c r="CB41" i="7"/>
  <c r="BT41" i="7"/>
  <c r="BL41" i="7"/>
  <c r="BC41" i="7"/>
  <c r="AX41" i="7"/>
  <c r="AT41" i="7"/>
  <c r="BZ41" i="7" s="1"/>
  <c r="AP41" i="7"/>
  <c r="BX41" i="7" s="1"/>
  <c r="AL41" i="7"/>
  <c r="BV41" i="7" s="1"/>
  <c r="AH41" i="7"/>
  <c r="AD41" i="7"/>
  <c r="BR41" i="7" s="1"/>
  <c r="Z41" i="7"/>
  <c r="BP41" i="7" s="1"/>
  <c r="V41" i="7"/>
  <c r="BN41" i="7" s="1"/>
  <c r="R41" i="7"/>
  <c r="N41" i="7"/>
  <c r="BJ41" i="7" s="1"/>
  <c r="J41" i="7"/>
  <c r="BH41" i="7" s="1"/>
  <c r="F41" i="7"/>
  <c r="BF41" i="7" s="1"/>
  <c r="B41" i="7"/>
  <c r="CB40" i="7"/>
  <c r="BT40" i="7"/>
  <c r="BP40" i="7"/>
  <c r="BL40" i="7"/>
  <c r="BC40" i="7"/>
  <c r="AX40" i="7"/>
  <c r="AT40" i="7"/>
  <c r="BZ40" i="7" s="1"/>
  <c r="AP40" i="7"/>
  <c r="BX40" i="7" s="1"/>
  <c r="AL40" i="7"/>
  <c r="BV40" i="7" s="1"/>
  <c r="AH40" i="7"/>
  <c r="AD40" i="7"/>
  <c r="BR40" i="7" s="1"/>
  <c r="Z40" i="7"/>
  <c r="V40" i="7"/>
  <c r="BN40" i="7" s="1"/>
  <c r="R40" i="7"/>
  <c r="N40" i="7"/>
  <c r="BJ40" i="7" s="1"/>
  <c r="J40" i="7"/>
  <c r="BH40" i="7" s="1"/>
  <c r="F40" i="7"/>
  <c r="BF40" i="7" s="1"/>
  <c r="B40" i="7"/>
  <c r="CB39" i="7"/>
  <c r="BT39" i="7"/>
  <c r="BL39" i="7"/>
  <c r="BC39" i="7"/>
  <c r="AX39" i="7"/>
  <c r="AT39" i="7"/>
  <c r="BZ39" i="7" s="1"/>
  <c r="AP39" i="7"/>
  <c r="BX39" i="7" s="1"/>
  <c r="AL39" i="7"/>
  <c r="BV39" i="7" s="1"/>
  <c r="AH39" i="7"/>
  <c r="AD39" i="7"/>
  <c r="BR39" i="7" s="1"/>
  <c r="Z39" i="7"/>
  <c r="BP39" i="7" s="1"/>
  <c r="V39" i="7"/>
  <c r="BN39" i="7" s="1"/>
  <c r="R39" i="7"/>
  <c r="N39" i="7"/>
  <c r="BJ39" i="7" s="1"/>
  <c r="J39" i="7"/>
  <c r="BH39" i="7" s="1"/>
  <c r="F39" i="7"/>
  <c r="BF39" i="7" s="1"/>
  <c r="B39" i="7"/>
  <c r="CB38" i="7"/>
  <c r="BT38" i="7"/>
  <c r="BP38" i="7"/>
  <c r="BL38" i="7"/>
  <c r="BC38" i="7"/>
  <c r="AX38" i="7"/>
  <c r="AT38" i="7"/>
  <c r="BZ38" i="7" s="1"/>
  <c r="AP38" i="7"/>
  <c r="BX38" i="7" s="1"/>
  <c r="AL38" i="7"/>
  <c r="BV38" i="7" s="1"/>
  <c r="AH38" i="7"/>
  <c r="AD38" i="7"/>
  <c r="BR38" i="7" s="1"/>
  <c r="Z38" i="7"/>
  <c r="V38" i="7"/>
  <c r="BN38" i="7" s="1"/>
  <c r="N38" i="7"/>
  <c r="BJ38" i="7" s="1"/>
  <c r="J38" i="7"/>
  <c r="BH38" i="7" s="1"/>
  <c r="F38" i="7"/>
  <c r="BF38" i="7" s="1"/>
  <c r="B38" i="7"/>
  <c r="CB37" i="7"/>
  <c r="BZ37" i="7"/>
  <c r="BV37" i="7"/>
  <c r="BR37" i="7"/>
  <c r="BP37" i="7"/>
  <c r="BL37" i="7"/>
  <c r="BJ37" i="7"/>
  <c r="BF37" i="7"/>
  <c r="BC37" i="7"/>
  <c r="AX37" i="7"/>
  <c r="AT37" i="7"/>
  <c r="AP37" i="7"/>
  <c r="BX37" i="7" s="1"/>
  <c r="AL37" i="7"/>
  <c r="AH37" i="7"/>
  <c r="BT37" i="7" s="1"/>
  <c r="AD37" i="7"/>
  <c r="Z37" i="7"/>
  <c r="V37" i="7"/>
  <c r="BN37" i="7" s="1"/>
  <c r="R37" i="7"/>
  <c r="N37" i="7"/>
  <c r="J37" i="7"/>
  <c r="BH37" i="7" s="1"/>
  <c r="F37" i="7"/>
  <c r="BB37" i="7" s="1"/>
  <c r="B37" i="7"/>
  <c r="BZ36" i="7"/>
  <c r="BX36" i="7"/>
  <c r="BR36" i="7"/>
  <c r="BL36" i="7"/>
  <c r="BH36" i="7"/>
  <c r="BF36" i="7"/>
  <c r="BC36" i="7"/>
  <c r="AX36" i="7"/>
  <c r="CB36" i="7" s="1"/>
  <c r="AT36" i="7"/>
  <c r="AP36" i="7"/>
  <c r="AL36" i="7"/>
  <c r="BV36" i="7" s="1"/>
  <c r="AH36" i="7"/>
  <c r="BT36" i="7" s="1"/>
  <c r="AD36" i="7"/>
  <c r="R36" i="7"/>
  <c r="N36" i="7"/>
  <c r="BJ36" i="7" s="1"/>
  <c r="J36" i="7"/>
  <c r="F36" i="7"/>
  <c r="B36" i="7"/>
  <c r="BR35" i="7"/>
  <c r="BL35" i="7"/>
  <c r="BJ35" i="7"/>
  <c r="BC35" i="7"/>
  <c r="AH35" i="7"/>
  <c r="BT35" i="7" s="1"/>
  <c r="AD35" i="7"/>
  <c r="R35" i="7"/>
  <c r="N35" i="7"/>
  <c r="J35" i="7"/>
  <c r="BH35" i="7" s="1"/>
  <c r="F35" i="7"/>
  <c r="B35" i="7"/>
  <c r="CB34" i="7"/>
  <c r="BZ34" i="7"/>
  <c r="BX34" i="7"/>
  <c r="BV34" i="7"/>
  <c r="BT34" i="7"/>
  <c r="BR34" i="7"/>
  <c r="BP34" i="7"/>
  <c r="BN34" i="7"/>
  <c r="BJ34" i="7"/>
  <c r="BH34" i="7"/>
  <c r="BF34" i="7"/>
  <c r="BC34" i="7"/>
  <c r="AH34" i="7"/>
  <c r="AD34" i="7"/>
  <c r="R34" i="7"/>
  <c r="BL34" i="7" s="1"/>
  <c r="N34" i="7"/>
  <c r="BB34" i="7" s="1"/>
  <c r="J34" i="7"/>
  <c r="F34" i="7"/>
  <c r="B34" i="7"/>
  <c r="BZ33" i="7"/>
  <c r="BV33" i="7"/>
  <c r="BP33" i="7"/>
  <c r="BN33" i="7"/>
  <c r="BJ33" i="7"/>
  <c r="BC33" i="7"/>
  <c r="AX33" i="7"/>
  <c r="CB33" i="7" s="1"/>
  <c r="AT33" i="7"/>
  <c r="AP33" i="7"/>
  <c r="BX33" i="7" s="1"/>
  <c r="AL33" i="7"/>
  <c r="Z33" i="7"/>
  <c r="V33" i="7"/>
  <c r="R33" i="7"/>
  <c r="BL33" i="7" s="1"/>
  <c r="N33" i="7"/>
  <c r="J33" i="7"/>
  <c r="BH33" i="7" s="1"/>
  <c r="F33" i="7"/>
  <c r="B33" i="7"/>
  <c r="BZ32" i="7"/>
  <c r="BX32" i="7"/>
  <c r="BR32" i="7"/>
  <c r="BP32" i="7"/>
  <c r="BJ32" i="7"/>
  <c r="BH32" i="7"/>
  <c r="BC32" i="7"/>
  <c r="AX32" i="7"/>
  <c r="CB32" i="7" s="1"/>
  <c r="AT32" i="7"/>
  <c r="AP32" i="7"/>
  <c r="AL32" i="7"/>
  <c r="BV32" i="7" s="1"/>
  <c r="AH32" i="7"/>
  <c r="BT32" i="7" s="1"/>
  <c r="AD32" i="7"/>
  <c r="Z32" i="7"/>
  <c r="V32" i="7"/>
  <c r="BN32" i="7" s="1"/>
  <c r="R32" i="7"/>
  <c r="BL32" i="7" s="1"/>
  <c r="N32" i="7"/>
  <c r="J32" i="7"/>
  <c r="F32" i="7"/>
  <c r="BF32" i="7" s="1"/>
  <c r="B32" i="7"/>
  <c r="BZ31" i="7"/>
  <c r="BT31" i="7"/>
  <c r="BR31" i="7"/>
  <c r="BJ31" i="7"/>
  <c r="BC31" i="7"/>
  <c r="H31" i="3" s="1"/>
  <c r="AX31" i="7"/>
  <c r="CB31" i="7" s="1"/>
  <c r="AT31" i="7"/>
  <c r="AP31" i="7"/>
  <c r="BX31" i="7" s="1"/>
  <c r="AL31" i="7"/>
  <c r="BV31" i="7" s="1"/>
  <c r="AH31" i="7"/>
  <c r="AD31" i="7"/>
  <c r="Z31" i="7"/>
  <c r="BP31" i="7" s="1"/>
  <c r="V31" i="7"/>
  <c r="BN31" i="7" s="1"/>
  <c r="R31" i="7"/>
  <c r="BL31" i="7" s="1"/>
  <c r="N31" i="7"/>
  <c r="J31" i="7"/>
  <c r="BH31" i="7" s="1"/>
  <c r="F31" i="7"/>
  <c r="BB31" i="7" s="1"/>
  <c r="B31" i="7"/>
  <c r="BZ30" i="7"/>
  <c r="BV30" i="7"/>
  <c r="BT30" i="7"/>
  <c r="BR30" i="7"/>
  <c r="BP30" i="7"/>
  <c r="BJ30" i="7"/>
  <c r="BH30" i="7"/>
  <c r="BF30" i="7"/>
  <c r="BC30" i="7"/>
  <c r="AX30" i="7"/>
  <c r="CB30" i="7" s="1"/>
  <c r="AT30" i="7"/>
  <c r="AP30" i="7"/>
  <c r="BX30" i="7" s="1"/>
  <c r="AL30" i="7"/>
  <c r="AH30" i="7"/>
  <c r="AD30" i="7"/>
  <c r="Z30" i="7"/>
  <c r="V30" i="7"/>
  <c r="BN30" i="7" s="1"/>
  <c r="N30" i="7"/>
  <c r="J30" i="7"/>
  <c r="F30" i="7"/>
  <c r="BB30" i="7" s="1"/>
  <c r="B30" i="7"/>
  <c r="BV29" i="7"/>
  <c r="BN29" i="7"/>
  <c r="BF29" i="7"/>
  <c r="BC29" i="7"/>
  <c r="AX29" i="7"/>
  <c r="CB29" i="7" s="1"/>
  <c r="AT29" i="7"/>
  <c r="BZ29" i="7" s="1"/>
  <c r="AP29" i="7"/>
  <c r="BX29" i="7" s="1"/>
  <c r="AL29" i="7"/>
  <c r="AH29" i="7"/>
  <c r="BT29" i="7" s="1"/>
  <c r="AD29" i="7"/>
  <c r="BR29" i="7" s="1"/>
  <c r="Z29" i="7"/>
  <c r="BP29" i="7" s="1"/>
  <c r="V29" i="7"/>
  <c r="R29" i="7"/>
  <c r="BL29" i="7" s="1"/>
  <c r="N29" i="7"/>
  <c r="BJ29" i="7" s="1"/>
  <c r="J29" i="7"/>
  <c r="BH29" i="7" s="1"/>
  <c r="F29" i="7"/>
  <c r="B29" i="7"/>
  <c r="BR28" i="7"/>
  <c r="BN28" i="7"/>
  <c r="BF28" i="7"/>
  <c r="BC28" i="7"/>
  <c r="AX28" i="7"/>
  <c r="CB28" i="7" s="1"/>
  <c r="AT28" i="7"/>
  <c r="BZ28" i="7" s="1"/>
  <c r="AP28" i="7"/>
  <c r="BX28" i="7" s="1"/>
  <c r="AL28" i="7"/>
  <c r="BV28" i="7" s="1"/>
  <c r="AD28" i="7"/>
  <c r="Z28" i="7"/>
  <c r="BP28" i="7" s="1"/>
  <c r="V28" i="7"/>
  <c r="R28" i="7"/>
  <c r="BL28" i="7" s="1"/>
  <c r="N28" i="7"/>
  <c r="BJ28" i="7" s="1"/>
  <c r="J28" i="7"/>
  <c r="BH28" i="7" s="1"/>
  <c r="F28" i="7"/>
  <c r="B28" i="7"/>
  <c r="BZ27" i="7"/>
  <c r="BV27" i="7"/>
  <c r="BT27" i="7"/>
  <c r="BC27" i="7"/>
  <c r="AX27" i="7"/>
  <c r="CB27" i="7" s="1"/>
  <c r="AT27" i="7"/>
  <c r="AP27" i="7"/>
  <c r="BX27" i="7" s="1"/>
  <c r="AL27" i="7"/>
  <c r="AH27" i="7"/>
  <c r="F27" i="7"/>
  <c r="B27" i="7"/>
  <c r="BH26" i="7"/>
  <c r="BF26" i="7"/>
  <c r="BC26" i="7"/>
  <c r="BB26" i="7"/>
  <c r="N26" i="7"/>
  <c r="BJ26" i="7" s="1"/>
  <c r="J26" i="7"/>
  <c r="F26" i="7"/>
  <c r="B26" i="7"/>
  <c r="BR25" i="7"/>
  <c r="BN25" i="7"/>
  <c r="BC25" i="7"/>
  <c r="AX25" i="7"/>
  <c r="CB25" i="7" s="1"/>
  <c r="AT25" i="7"/>
  <c r="BZ25" i="7" s="1"/>
  <c r="AP25" i="7"/>
  <c r="BX25" i="7" s="1"/>
  <c r="AL25" i="7"/>
  <c r="BV25" i="7" s="1"/>
  <c r="AH25" i="7"/>
  <c r="BT25" i="7" s="1"/>
  <c r="AD25" i="7"/>
  <c r="Z25" i="7"/>
  <c r="BP25" i="7" s="1"/>
  <c r="V25" i="7"/>
  <c r="R25" i="7"/>
  <c r="BL25" i="7" s="1"/>
  <c r="N25" i="7"/>
  <c r="BJ25" i="7" s="1"/>
  <c r="J25" i="7"/>
  <c r="BH25" i="7" s="1"/>
  <c r="F25" i="7"/>
  <c r="BB25" i="7" s="1"/>
  <c r="B25" i="7"/>
  <c r="BV24" i="7"/>
  <c r="BN24" i="7"/>
  <c r="BF24" i="7"/>
  <c r="BC24" i="7"/>
  <c r="AX24" i="7"/>
  <c r="CB24" i="7" s="1"/>
  <c r="AT24" i="7"/>
  <c r="BZ24" i="7" s="1"/>
  <c r="AP24" i="7"/>
  <c r="BX24" i="7" s="1"/>
  <c r="AL24" i="7"/>
  <c r="AH24" i="7"/>
  <c r="BT24" i="7" s="1"/>
  <c r="AD24" i="7"/>
  <c r="BR24" i="7" s="1"/>
  <c r="Z24" i="7"/>
  <c r="BP24" i="7" s="1"/>
  <c r="V24" i="7"/>
  <c r="R24" i="7"/>
  <c r="BL24" i="7" s="1"/>
  <c r="N24" i="7"/>
  <c r="BJ24" i="7" s="1"/>
  <c r="J24" i="7"/>
  <c r="BH24" i="7" s="1"/>
  <c r="F24" i="7"/>
  <c r="B24" i="7"/>
  <c r="BR23" i="7"/>
  <c r="BN23" i="7"/>
  <c r="BC23" i="7"/>
  <c r="AX23" i="7"/>
  <c r="CB23" i="7" s="1"/>
  <c r="AT23" i="7"/>
  <c r="BZ23" i="7" s="1"/>
  <c r="AP23" i="7"/>
  <c r="BX23" i="7" s="1"/>
  <c r="AL23" i="7"/>
  <c r="BV23" i="7" s="1"/>
  <c r="AH23" i="7"/>
  <c r="BT23" i="7" s="1"/>
  <c r="AD23" i="7"/>
  <c r="Z23" i="7"/>
  <c r="BP23" i="7" s="1"/>
  <c r="V23" i="7"/>
  <c r="R23" i="7"/>
  <c r="BL23" i="7" s="1"/>
  <c r="N23" i="7"/>
  <c r="BJ23" i="7" s="1"/>
  <c r="J23" i="7"/>
  <c r="BH23" i="7" s="1"/>
  <c r="F23" i="7"/>
  <c r="BB23" i="7" s="1"/>
  <c r="B23" i="7"/>
  <c r="BV22" i="7"/>
  <c r="BN22" i="7"/>
  <c r="BF22" i="7"/>
  <c r="BC22" i="7"/>
  <c r="AX22" i="7"/>
  <c r="CB22" i="7" s="1"/>
  <c r="AT22" i="7"/>
  <c r="BZ22" i="7" s="1"/>
  <c r="AP22" i="7"/>
  <c r="BX22" i="7" s="1"/>
  <c r="AL22" i="7"/>
  <c r="AH22" i="7"/>
  <c r="BT22" i="7" s="1"/>
  <c r="AD22" i="7"/>
  <c r="BR22" i="7" s="1"/>
  <c r="Z22" i="7"/>
  <c r="BP22" i="7" s="1"/>
  <c r="V22" i="7"/>
  <c r="R22" i="7"/>
  <c r="BL22" i="7" s="1"/>
  <c r="N22" i="7"/>
  <c r="BJ22" i="7" s="1"/>
  <c r="J22" i="7"/>
  <c r="BH22" i="7" s="1"/>
  <c r="F22" i="7"/>
  <c r="BB22" i="7" s="1"/>
  <c r="B22" i="7"/>
  <c r="BR21" i="7"/>
  <c r="BN21" i="7"/>
  <c r="BC21" i="7"/>
  <c r="AX21" i="7"/>
  <c r="CB21" i="7" s="1"/>
  <c r="AT21" i="7"/>
  <c r="BZ21" i="7" s="1"/>
  <c r="AP21" i="7"/>
  <c r="BX21" i="7" s="1"/>
  <c r="AL21" i="7"/>
  <c r="BV21" i="7" s="1"/>
  <c r="AH21" i="7"/>
  <c r="BT21" i="7" s="1"/>
  <c r="AD21" i="7"/>
  <c r="Z21" i="7"/>
  <c r="BP21" i="7" s="1"/>
  <c r="V21" i="7"/>
  <c r="R21" i="7"/>
  <c r="BL21" i="7" s="1"/>
  <c r="N21" i="7"/>
  <c r="BJ21" i="7" s="1"/>
  <c r="J21" i="7"/>
  <c r="BH21" i="7" s="1"/>
  <c r="F21" i="7"/>
  <c r="BB21" i="7" s="1"/>
  <c r="B21" i="7"/>
  <c r="BV20" i="7"/>
  <c r="BN20" i="7"/>
  <c r="BF20" i="7"/>
  <c r="BC20" i="7"/>
  <c r="AX20" i="7"/>
  <c r="CB20" i="7" s="1"/>
  <c r="AT20" i="7"/>
  <c r="BZ20" i="7" s="1"/>
  <c r="AP20" i="7"/>
  <c r="BX20" i="7" s="1"/>
  <c r="AL20" i="7"/>
  <c r="AH20" i="7"/>
  <c r="BT20" i="7" s="1"/>
  <c r="AD20" i="7"/>
  <c r="BR20" i="7" s="1"/>
  <c r="Z20" i="7"/>
  <c r="BP20" i="7" s="1"/>
  <c r="V20" i="7"/>
  <c r="R20" i="7"/>
  <c r="BL20" i="7" s="1"/>
  <c r="N20" i="7"/>
  <c r="BJ20" i="7" s="1"/>
  <c r="J20" i="7"/>
  <c r="BH20" i="7" s="1"/>
  <c r="F20" i="7"/>
  <c r="BB20" i="7" s="1"/>
  <c r="B20" i="7"/>
  <c r="BV19" i="7"/>
  <c r="BR19" i="7"/>
  <c r="BN19" i="7"/>
  <c r="BC19" i="7"/>
  <c r="AT19" i="7"/>
  <c r="BZ19" i="7" s="1"/>
  <c r="AP19" i="7"/>
  <c r="BX19" i="7" s="1"/>
  <c r="AL19" i="7"/>
  <c r="AH19" i="7"/>
  <c r="BT19" i="7" s="1"/>
  <c r="AD19" i="7"/>
  <c r="Z19" i="7"/>
  <c r="BP19" i="7" s="1"/>
  <c r="V19" i="7"/>
  <c r="R19" i="7"/>
  <c r="BL19" i="7" s="1"/>
  <c r="N19" i="7"/>
  <c r="BJ19" i="7" s="1"/>
  <c r="J19" i="7"/>
  <c r="BH19" i="7" s="1"/>
  <c r="B19" i="7"/>
  <c r="CB18" i="7"/>
  <c r="BT18" i="7"/>
  <c r="BL18" i="7"/>
  <c r="BC18" i="7"/>
  <c r="AX18" i="7"/>
  <c r="AT18" i="7"/>
  <c r="BZ18" i="7" s="1"/>
  <c r="AP18" i="7"/>
  <c r="BX18" i="7" s="1"/>
  <c r="AL18" i="7"/>
  <c r="BV18" i="7" s="1"/>
  <c r="AH18" i="7"/>
  <c r="AD18" i="7"/>
  <c r="BR18" i="7" s="1"/>
  <c r="Z18" i="7"/>
  <c r="BP18" i="7" s="1"/>
  <c r="V18" i="7"/>
  <c r="BN18" i="7" s="1"/>
  <c r="R18" i="7"/>
  <c r="N18" i="7"/>
  <c r="BJ18" i="7" s="1"/>
  <c r="J18" i="7"/>
  <c r="BH18" i="7" s="1"/>
  <c r="F18" i="7"/>
  <c r="BF18" i="7" s="1"/>
  <c r="B18" i="7"/>
  <c r="CB17" i="7"/>
  <c r="BT17" i="7"/>
  <c r="BP17" i="7"/>
  <c r="BL17" i="7"/>
  <c r="BC17" i="7"/>
  <c r="AX17" i="7"/>
  <c r="AT17" i="7"/>
  <c r="BZ17" i="7" s="1"/>
  <c r="AP17" i="7"/>
  <c r="BX17" i="7" s="1"/>
  <c r="AL17" i="7"/>
  <c r="BV17" i="7" s="1"/>
  <c r="AH17" i="7"/>
  <c r="AD17" i="7"/>
  <c r="BR17" i="7" s="1"/>
  <c r="Z17" i="7"/>
  <c r="V17" i="7"/>
  <c r="BN17" i="7" s="1"/>
  <c r="R17" i="7"/>
  <c r="N17" i="7"/>
  <c r="BJ17" i="7" s="1"/>
  <c r="J17" i="7"/>
  <c r="BH17" i="7" s="1"/>
  <c r="F17" i="7"/>
  <c r="BF17" i="7" s="1"/>
  <c r="B17" i="7"/>
  <c r="CB16" i="7"/>
  <c r="BT16" i="7"/>
  <c r="BL16" i="7"/>
  <c r="BC16" i="7"/>
  <c r="AX16" i="7"/>
  <c r="AT16" i="7"/>
  <c r="BZ16" i="7" s="1"/>
  <c r="AP16" i="7"/>
  <c r="BX16" i="7" s="1"/>
  <c r="AL16" i="7"/>
  <c r="BV16" i="7" s="1"/>
  <c r="AH16" i="7"/>
  <c r="AD16" i="7"/>
  <c r="BR16" i="7" s="1"/>
  <c r="Z16" i="7"/>
  <c r="BP16" i="7" s="1"/>
  <c r="V16" i="7"/>
  <c r="BN16" i="7" s="1"/>
  <c r="R16" i="7"/>
  <c r="N16" i="7"/>
  <c r="BJ16" i="7" s="1"/>
  <c r="J16" i="7"/>
  <c r="BH16" i="7" s="1"/>
  <c r="F16" i="7"/>
  <c r="BF16" i="7" s="1"/>
  <c r="B16" i="7"/>
  <c r="CB15" i="7"/>
  <c r="BT15" i="7"/>
  <c r="BP15" i="7"/>
  <c r="BL15" i="7"/>
  <c r="BC15" i="7"/>
  <c r="AX15" i="7"/>
  <c r="AT15" i="7"/>
  <c r="BZ15" i="7" s="1"/>
  <c r="AP15" i="7"/>
  <c r="BX15" i="7" s="1"/>
  <c r="AL15" i="7"/>
  <c r="BV15" i="7" s="1"/>
  <c r="AH15" i="7"/>
  <c r="AD15" i="7"/>
  <c r="BR15" i="7" s="1"/>
  <c r="Z15" i="7"/>
  <c r="V15" i="7"/>
  <c r="BN15" i="7" s="1"/>
  <c r="R15" i="7"/>
  <c r="N15" i="7"/>
  <c r="BJ15" i="7" s="1"/>
  <c r="J15" i="7"/>
  <c r="BH15" i="7" s="1"/>
  <c r="F15" i="7"/>
  <c r="BF15" i="7" s="1"/>
  <c r="B15" i="7"/>
  <c r="CB14" i="7"/>
  <c r="BT14" i="7"/>
  <c r="BL14" i="7"/>
  <c r="BC14" i="7"/>
  <c r="AX14" i="7"/>
  <c r="AT14" i="7"/>
  <c r="BZ14" i="7" s="1"/>
  <c r="AP14" i="7"/>
  <c r="BX14" i="7" s="1"/>
  <c r="AL14" i="7"/>
  <c r="BV14" i="7" s="1"/>
  <c r="AH14" i="7"/>
  <c r="AD14" i="7"/>
  <c r="BR14" i="7" s="1"/>
  <c r="Z14" i="7"/>
  <c r="BP14" i="7" s="1"/>
  <c r="V14" i="7"/>
  <c r="BN14" i="7" s="1"/>
  <c r="R14" i="7"/>
  <c r="N14" i="7"/>
  <c r="BJ14" i="7" s="1"/>
  <c r="J14" i="7"/>
  <c r="BH14" i="7" s="1"/>
  <c r="F14" i="7"/>
  <c r="BF14" i="7" s="1"/>
  <c r="B14" i="7"/>
  <c r="CB13" i="7"/>
  <c r="BR13" i="7"/>
  <c r="BP13" i="7"/>
  <c r="BL13" i="7"/>
  <c r="BH13" i="7"/>
  <c r="BC13" i="7"/>
  <c r="AX13" i="7"/>
  <c r="AT13" i="7"/>
  <c r="BZ13" i="7" s="1"/>
  <c r="AP13" i="7"/>
  <c r="BX13" i="7" s="1"/>
  <c r="AL13" i="7"/>
  <c r="BV13" i="7" s="1"/>
  <c r="Z13" i="7"/>
  <c r="V13" i="7"/>
  <c r="BN13" i="7" s="1"/>
  <c r="R13" i="7"/>
  <c r="N13" i="7"/>
  <c r="BJ13" i="7" s="1"/>
  <c r="J13" i="7"/>
  <c r="F13" i="7"/>
  <c r="BF13" i="7" s="1"/>
  <c r="B13" i="7"/>
  <c r="BR12" i="7"/>
  <c r="BC12" i="7"/>
  <c r="AX12" i="7"/>
  <c r="CB12" i="7" s="1"/>
  <c r="AT12" i="7"/>
  <c r="BZ12" i="7" s="1"/>
  <c r="AP12" i="7"/>
  <c r="BX12" i="7" s="1"/>
  <c r="AL12" i="7"/>
  <c r="BV12" i="7" s="1"/>
  <c r="AH12" i="7"/>
  <c r="BT12" i="7" s="1"/>
  <c r="AD12" i="7"/>
  <c r="Z12" i="7"/>
  <c r="BP12" i="7" s="1"/>
  <c r="V12" i="7"/>
  <c r="BN12" i="7" s="1"/>
  <c r="R12" i="7"/>
  <c r="BL12" i="7" s="1"/>
  <c r="N12" i="7"/>
  <c r="BJ12" i="7" s="1"/>
  <c r="J12" i="7"/>
  <c r="BH12" i="7" s="1"/>
  <c r="F12" i="7"/>
  <c r="BF12" i="7" s="1"/>
  <c r="B12" i="7"/>
  <c r="BV11" i="7"/>
  <c r="BN11" i="7"/>
  <c r="BJ11" i="7"/>
  <c r="BF11" i="7"/>
  <c r="BC11" i="7"/>
  <c r="AX11" i="7"/>
  <c r="CB11" i="7" s="1"/>
  <c r="AT11" i="7"/>
  <c r="BZ11" i="7" s="1"/>
  <c r="AP11" i="7"/>
  <c r="BX11" i="7" s="1"/>
  <c r="AL11" i="7"/>
  <c r="AH11" i="7"/>
  <c r="BT11" i="7" s="1"/>
  <c r="AD11" i="7"/>
  <c r="BR11" i="7" s="1"/>
  <c r="Z11" i="7"/>
  <c r="BP11" i="7" s="1"/>
  <c r="V11" i="7"/>
  <c r="R11" i="7"/>
  <c r="BL11" i="7" s="1"/>
  <c r="N11" i="7"/>
  <c r="J11" i="7"/>
  <c r="BH11" i="7" s="1"/>
  <c r="F11" i="7"/>
  <c r="B11" i="7"/>
  <c r="BR10" i="7"/>
  <c r="BC10" i="7"/>
  <c r="AX10" i="7"/>
  <c r="CB10" i="7" s="1"/>
  <c r="AT10" i="7"/>
  <c r="BZ10" i="7" s="1"/>
  <c r="AP10" i="7"/>
  <c r="BX10" i="7" s="1"/>
  <c r="AL10" i="7"/>
  <c r="BV10" i="7" s="1"/>
  <c r="AH10" i="7"/>
  <c r="BT10" i="7" s="1"/>
  <c r="AD10" i="7"/>
  <c r="Z10" i="7"/>
  <c r="BP10" i="7" s="1"/>
  <c r="V10" i="7"/>
  <c r="BN10" i="7" s="1"/>
  <c r="R10" i="7"/>
  <c r="BL10" i="7" s="1"/>
  <c r="N10" i="7"/>
  <c r="BJ10" i="7" s="1"/>
  <c r="J10" i="7"/>
  <c r="BH10" i="7" s="1"/>
  <c r="F10" i="7"/>
  <c r="BF10" i="7" s="1"/>
  <c r="B10" i="7"/>
  <c r="BC9" i="7"/>
  <c r="AH9" i="7"/>
  <c r="BT9" i="7" s="1"/>
  <c r="N9" i="7"/>
  <c r="BB9" i="7" s="1"/>
  <c r="J9" i="7"/>
  <c r="BH9" i="7" s="1"/>
  <c r="B9" i="7"/>
  <c r="CB8" i="7"/>
  <c r="BV8" i="7"/>
  <c r="BR8" i="7"/>
  <c r="BP8" i="7"/>
  <c r="BL8" i="7"/>
  <c r="BJ8" i="7"/>
  <c r="BC8" i="7"/>
  <c r="AX8" i="7"/>
  <c r="AT8" i="7"/>
  <c r="BZ8" i="7" s="1"/>
  <c r="AP8" i="7"/>
  <c r="BX8" i="7" s="1"/>
  <c r="AD8" i="7"/>
  <c r="Z8" i="7"/>
  <c r="V8" i="7"/>
  <c r="BN8" i="7" s="1"/>
  <c r="R8" i="7"/>
  <c r="N8" i="7"/>
  <c r="J8" i="7"/>
  <c r="BH8" i="7" s="1"/>
  <c r="F8" i="7"/>
  <c r="BB8" i="7" s="1"/>
  <c r="B8" i="7"/>
  <c r="BZ7" i="7"/>
  <c r="BT7" i="7"/>
  <c r="BR7" i="7"/>
  <c r="BJ7" i="7"/>
  <c r="BC7" i="7"/>
  <c r="H7" i="3" s="1"/>
  <c r="AX7" i="7"/>
  <c r="CB7" i="7" s="1"/>
  <c r="AT7" i="7"/>
  <c r="AP7" i="7"/>
  <c r="BX7" i="7" s="1"/>
  <c r="AL7" i="7"/>
  <c r="BV7" i="7" s="1"/>
  <c r="AH7" i="7"/>
  <c r="AD7" i="7"/>
  <c r="Z7" i="7"/>
  <c r="BP7" i="7" s="1"/>
  <c r="V7" i="7"/>
  <c r="BN7" i="7" s="1"/>
  <c r="R7" i="7"/>
  <c r="BL7" i="7" s="1"/>
  <c r="N7" i="7"/>
  <c r="J7" i="7"/>
  <c r="BH7" i="7" s="1"/>
  <c r="F7" i="7"/>
  <c r="BB7" i="7" s="1"/>
  <c r="B7" i="7"/>
  <c r="BZ6" i="7"/>
  <c r="BV6" i="7"/>
  <c r="BT6" i="7"/>
  <c r="BR6" i="7"/>
  <c r="BP6" i="7"/>
  <c r="BJ6" i="7"/>
  <c r="BF6" i="7"/>
  <c r="BC6" i="7"/>
  <c r="AX6" i="7"/>
  <c r="CB6" i="7" s="1"/>
  <c r="AT6" i="7"/>
  <c r="AP6" i="7"/>
  <c r="AL6" i="7"/>
  <c r="AH6" i="7"/>
  <c r="AD6" i="7"/>
  <c r="Z6" i="7"/>
  <c r="V6" i="7"/>
  <c r="BN6" i="7" s="1"/>
  <c r="R6" i="7"/>
  <c r="BL6" i="7" s="1"/>
  <c r="N6" i="7"/>
  <c r="J6" i="7"/>
  <c r="BH6" i="7" s="1"/>
  <c r="B6" i="7"/>
  <c r="BV5" i="7"/>
  <c r="BF5" i="7"/>
  <c r="BC5" i="7"/>
  <c r="AX5" i="7"/>
  <c r="CB5" i="7" s="1"/>
  <c r="AT5" i="7"/>
  <c r="BZ5" i="7" s="1"/>
  <c r="AP5" i="7"/>
  <c r="BX5" i="7" s="1"/>
  <c r="AL5" i="7"/>
  <c r="AH5" i="7"/>
  <c r="BT5" i="7" s="1"/>
  <c r="AD5" i="7"/>
  <c r="BR5" i="7" s="1"/>
  <c r="Z5" i="7"/>
  <c r="BP5" i="7" s="1"/>
  <c r="V5" i="7"/>
  <c r="V81" i="7" s="1"/>
  <c r="R5" i="7"/>
  <c r="N5" i="7"/>
  <c r="BJ5" i="7" s="1"/>
  <c r="J5" i="7"/>
  <c r="BH5" i="7" s="1"/>
  <c r="F5" i="7"/>
  <c r="BB5" i="7" s="1"/>
  <c r="B5" i="7"/>
  <c r="BP4" i="7"/>
  <c r="BJ4" i="7"/>
  <c r="BC4" i="7"/>
  <c r="AX4" i="7"/>
  <c r="CB4" i="7" s="1"/>
  <c r="AT4" i="7"/>
  <c r="AP4" i="7"/>
  <c r="BX4" i="7" s="1"/>
  <c r="AL4" i="7"/>
  <c r="AL81" i="7" s="1"/>
  <c r="AH4" i="7"/>
  <c r="BT4" i="7" s="1"/>
  <c r="AD4" i="7"/>
  <c r="R4" i="7"/>
  <c r="BL4" i="7" s="1"/>
  <c r="N4" i="7"/>
  <c r="J4" i="7"/>
  <c r="BH4" i="7" s="1"/>
  <c r="F4" i="7"/>
  <c r="B4" i="7"/>
  <c r="BX2" i="7"/>
  <c r="BP2" i="7"/>
  <c r="BF2" i="7"/>
  <c r="AX2" i="7"/>
  <c r="CB2" i="7" s="1"/>
  <c r="AT2" i="7"/>
  <c r="BZ2" i="7" s="1"/>
  <c r="AP2" i="7"/>
  <c r="AL2" i="7"/>
  <c r="BV2" i="7" s="1"/>
  <c r="AH2" i="7"/>
  <c r="BT2" i="7" s="1"/>
  <c r="AD2" i="7"/>
  <c r="BR2" i="7" s="1"/>
  <c r="Z2" i="7"/>
  <c r="V2" i="7"/>
  <c r="BN2" i="7" s="1"/>
  <c r="R2" i="7"/>
  <c r="BL2" i="7" s="1"/>
  <c r="N2" i="7"/>
  <c r="BJ2" i="7" s="1"/>
  <c r="J2" i="7"/>
  <c r="BH2" i="7" s="1"/>
  <c r="A1" i="7"/>
  <c r="AG81" i="6"/>
  <c r="AF81" i="6"/>
  <c r="AE81" i="6"/>
  <c r="D10" i="4" s="1"/>
  <c r="AC81" i="6"/>
  <c r="AB81" i="6"/>
  <c r="AA81" i="6"/>
  <c r="Y81" i="6"/>
  <c r="X81" i="6"/>
  <c r="W81" i="6"/>
  <c r="U81" i="6"/>
  <c r="T81" i="6"/>
  <c r="S81" i="6"/>
  <c r="Q81" i="6"/>
  <c r="P81" i="6"/>
  <c r="O81" i="6"/>
  <c r="D6" i="4" s="1"/>
  <c r="M81" i="6"/>
  <c r="L81" i="6"/>
  <c r="K81" i="6"/>
  <c r="I81" i="6"/>
  <c r="H81" i="6"/>
  <c r="G81" i="6"/>
  <c r="AL80" i="6"/>
  <c r="AM80" i="6" s="1"/>
  <c r="AI80" i="6"/>
  <c r="AH80" i="6"/>
  <c r="B80" i="6"/>
  <c r="AX79" i="6"/>
  <c r="AN79" i="6"/>
  <c r="AL79" i="6"/>
  <c r="AM79" i="6" s="1"/>
  <c r="AI79" i="6"/>
  <c r="AD79" i="6"/>
  <c r="R79" i="6"/>
  <c r="AR79" i="6" s="1"/>
  <c r="N79" i="6"/>
  <c r="AP79" i="6" s="1"/>
  <c r="J79" i="6"/>
  <c r="AH79" i="6" s="1"/>
  <c r="F79" i="6"/>
  <c r="B79" i="6"/>
  <c r="AR78" i="6"/>
  <c r="AP78" i="6"/>
  <c r="AN78" i="6"/>
  <c r="AI78" i="6"/>
  <c r="AD78" i="6"/>
  <c r="AX78" i="6" s="1"/>
  <c r="Z78" i="6"/>
  <c r="AV78" i="6" s="1"/>
  <c r="R78" i="6"/>
  <c r="N78" i="6"/>
  <c r="J78" i="6"/>
  <c r="F78" i="6"/>
  <c r="AH78" i="6" s="1"/>
  <c r="B78" i="6"/>
  <c r="AI77" i="6"/>
  <c r="AD77" i="6"/>
  <c r="AX77" i="6" s="1"/>
  <c r="J77" i="6"/>
  <c r="AN77" i="6" s="1"/>
  <c r="F77" i="6"/>
  <c r="AH77" i="6" s="1"/>
  <c r="B77" i="6"/>
  <c r="AP76" i="6"/>
  <c r="AI76" i="6"/>
  <c r="AD76" i="6"/>
  <c r="AX76" i="6" s="1"/>
  <c r="Z76" i="6"/>
  <c r="AV76" i="6" s="1"/>
  <c r="V76" i="6"/>
  <c r="AT76" i="6" s="1"/>
  <c r="R76" i="6"/>
  <c r="AR76" i="6" s="1"/>
  <c r="N76" i="6"/>
  <c r="J76" i="6"/>
  <c r="AN76" i="6" s="1"/>
  <c r="F76" i="6"/>
  <c r="AH76" i="6" s="1"/>
  <c r="B76" i="6"/>
  <c r="AP75" i="6"/>
  <c r="AI75" i="6"/>
  <c r="AD75" i="6"/>
  <c r="AX75" i="6" s="1"/>
  <c r="Z75" i="6"/>
  <c r="AV75" i="6" s="1"/>
  <c r="V75" i="6"/>
  <c r="AT75" i="6" s="1"/>
  <c r="R75" i="6"/>
  <c r="AR75" i="6" s="1"/>
  <c r="N75" i="6"/>
  <c r="J75" i="6"/>
  <c r="AN75" i="6" s="1"/>
  <c r="F75" i="6"/>
  <c r="AH75" i="6" s="1"/>
  <c r="B75" i="6"/>
  <c r="AP74" i="6"/>
  <c r="AI74" i="6"/>
  <c r="AD74" i="6"/>
  <c r="AX74" i="6" s="1"/>
  <c r="Z74" i="6"/>
  <c r="AV74" i="6" s="1"/>
  <c r="V74" i="6"/>
  <c r="AT74" i="6" s="1"/>
  <c r="R74" i="6"/>
  <c r="AR74" i="6" s="1"/>
  <c r="N74" i="6"/>
  <c r="J74" i="6"/>
  <c r="AN74" i="6" s="1"/>
  <c r="F74" i="6"/>
  <c r="AH74" i="6" s="1"/>
  <c r="B74" i="6"/>
  <c r="AP73" i="6"/>
  <c r="AL73" i="6"/>
  <c r="AM73" i="6" s="1"/>
  <c r="AI73" i="6"/>
  <c r="AD73" i="6"/>
  <c r="AX73" i="6" s="1"/>
  <c r="Z73" i="6"/>
  <c r="AV73" i="6" s="1"/>
  <c r="V73" i="6"/>
  <c r="AT73" i="6" s="1"/>
  <c r="N73" i="6"/>
  <c r="J73" i="6"/>
  <c r="AN73" i="6" s="1"/>
  <c r="F73" i="6"/>
  <c r="B73" i="6"/>
  <c r="AX72" i="6"/>
  <c r="AT72" i="6"/>
  <c r="AP72" i="6"/>
  <c r="AN72" i="6"/>
  <c r="AL72" i="6"/>
  <c r="AM72" i="6" s="1"/>
  <c r="AI72" i="6"/>
  <c r="AD72" i="6"/>
  <c r="Z72" i="6"/>
  <c r="AV72" i="6" s="1"/>
  <c r="V72" i="6"/>
  <c r="R72" i="6"/>
  <c r="AR72" i="6" s="1"/>
  <c r="N72" i="6"/>
  <c r="J72" i="6"/>
  <c r="F72" i="6"/>
  <c r="B72" i="6"/>
  <c r="AX71" i="6"/>
  <c r="AT71" i="6"/>
  <c r="AP71" i="6"/>
  <c r="AN71" i="6"/>
  <c r="AL71" i="6"/>
  <c r="AM71" i="6" s="1"/>
  <c r="AI71" i="6"/>
  <c r="AD71" i="6"/>
  <c r="Z71" i="6"/>
  <c r="AV71" i="6" s="1"/>
  <c r="V71" i="6"/>
  <c r="R71" i="6"/>
  <c r="AR71" i="6" s="1"/>
  <c r="N71" i="6"/>
  <c r="J71" i="6"/>
  <c r="F71" i="6"/>
  <c r="B71" i="6"/>
  <c r="AX70" i="6"/>
  <c r="AT70" i="6"/>
  <c r="AP70" i="6"/>
  <c r="AN70" i="6"/>
  <c r="AL70" i="6"/>
  <c r="AM70" i="6" s="1"/>
  <c r="AI70" i="6"/>
  <c r="AD70" i="6"/>
  <c r="Z70" i="6"/>
  <c r="AV70" i="6" s="1"/>
  <c r="V70" i="6"/>
  <c r="R70" i="6"/>
  <c r="AR70" i="6" s="1"/>
  <c r="N70" i="6"/>
  <c r="J70" i="6"/>
  <c r="F70" i="6"/>
  <c r="B70" i="6"/>
  <c r="AX69" i="6"/>
  <c r="AT69" i="6"/>
  <c r="AP69" i="6"/>
  <c r="AN69" i="6"/>
  <c r="AL69" i="6"/>
  <c r="AM69" i="6" s="1"/>
  <c r="AI69" i="6"/>
  <c r="AD69" i="6"/>
  <c r="Z69" i="6"/>
  <c r="AV69" i="6" s="1"/>
  <c r="V69" i="6"/>
  <c r="R69" i="6"/>
  <c r="AR69" i="6" s="1"/>
  <c r="N69" i="6"/>
  <c r="J69" i="6"/>
  <c r="F69" i="6"/>
  <c r="B69" i="6"/>
  <c r="AX68" i="6"/>
  <c r="AT68" i="6"/>
  <c r="AP68" i="6"/>
  <c r="AN68" i="6"/>
  <c r="AL68" i="6"/>
  <c r="AM68" i="6" s="1"/>
  <c r="AI68" i="6"/>
  <c r="AD68" i="6"/>
  <c r="Z68" i="6"/>
  <c r="AV68" i="6" s="1"/>
  <c r="V68" i="6"/>
  <c r="R68" i="6"/>
  <c r="AR68" i="6" s="1"/>
  <c r="N68" i="6"/>
  <c r="J68" i="6"/>
  <c r="F68" i="6"/>
  <c r="B68" i="6"/>
  <c r="AX67" i="6"/>
  <c r="AT67" i="6"/>
  <c r="AP67" i="6"/>
  <c r="AN67" i="6"/>
  <c r="AL67" i="6"/>
  <c r="AM67" i="6" s="1"/>
  <c r="AI67" i="6"/>
  <c r="AD67" i="6"/>
  <c r="Z67" i="6"/>
  <c r="AV67" i="6" s="1"/>
  <c r="V67" i="6"/>
  <c r="R67" i="6"/>
  <c r="AR67" i="6" s="1"/>
  <c r="N67" i="6"/>
  <c r="J67" i="6"/>
  <c r="F67" i="6"/>
  <c r="B67" i="6"/>
  <c r="AX66" i="6"/>
  <c r="AT66" i="6"/>
  <c r="AN66" i="6"/>
  <c r="AI66" i="6"/>
  <c r="AD66" i="6"/>
  <c r="Z66" i="6"/>
  <c r="AV66" i="6" s="1"/>
  <c r="V66" i="6"/>
  <c r="N66" i="6"/>
  <c r="AP66" i="6" s="1"/>
  <c r="J66" i="6"/>
  <c r="F66" i="6"/>
  <c r="AL66" i="6" s="1"/>
  <c r="AM66" i="6" s="1"/>
  <c r="B66" i="6"/>
  <c r="AV65" i="6"/>
  <c r="AR65" i="6"/>
  <c r="AN65" i="6"/>
  <c r="AI65" i="6"/>
  <c r="AD65" i="6"/>
  <c r="AX65" i="6" s="1"/>
  <c r="Z65" i="6"/>
  <c r="R65" i="6"/>
  <c r="J65" i="6"/>
  <c r="F65" i="6"/>
  <c r="B65" i="6"/>
  <c r="AP64" i="6"/>
  <c r="AI64" i="6"/>
  <c r="AD64" i="6"/>
  <c r="AX64" i="6" s="1"/>
  <c r="Z64" i="6"/>
  <c r="AV64" i="6" s="1"/>
  <c r="V64" i="6"/>
  <c r="AT64" i="6" s="1"/>
  <c r="R64" i="6"/>
  <c r="AR64" i="6" s="1"/>
  <c r="N64" i="6"/>
  <c r="J64" i="6"/>
  <c r="AN64" i="6" s="1"/>
  <c r="F64" i="6"/>
  <c r="AH64" i="6" s="1"/>
  <c r="B64" i="6"/>
  <c r="AP63" i="6"/>
  <c r="AI63" i="6"/>
  <c r="AD63" i="6"/>
  <c r="AX63" i="6" s="1"/>
  <c r="Z63" i="6"/>
  <c r="AV63" i="6" s="1"/>
  <c r="V63" i="6"/>
  <c r="AT63" i="6" s="1"/>
  <c r="R63" i="6"/>
  <c r="AR63" i="6" s="1"/>
  <c r="N63" i="6"/>
  <c r="J63" i="6"/>
  <c r="AN63" i="6" s="1"/>
  <c r="F63" i="6"/>
  <c r="AH63" i="6" s="1"/>
  <c r="B63" i="6"/>
  <c r="AP62" i="6"/>
  <c r="AI62" i="6"/>
  <c r="AD62" i="6"/>
  <c r="AX62" i="6" s="1"/>
  <c r="Z62" i="6"/>
  <c r="AV62" i="6" s="1"/>
  <c r="V62" i="6"/>
  <c r="AT62" i="6" s="1"/>
  <c r="R62" i="6"/>
  <c r="AR62" i="6" s="1"/>
  <c r="N62" i="6"/>
  <c r="J62" i="6"/>
  <c r="AN62" i="6" s="1"/>
  <c r="F62" i="6"/>
  <c r="AH62" i="6" s="1"/>
  <c r="B62" i="6"/>
  <c r="AP61" i="6"/>
  <c r="AI61" i="6"/>
  <c r="AD61" i="6"/>
  <c r="AX61" i="6" s="1"/>
  <c r="Z61" i="6"/>
  <c r="AV61" i="6" s="1"/>
  <c r="V61" i="6"/>
  <c r="AT61" i="6" s="1"/>
  <c r="R61" i="6"/>
  <c r="AR61" i="6" s="1"/>
  <c r="N61" i="6"/>
  <c r="J61" i="6"/>
  <c r="AN61" i="6" s="1"/>
  <c r="F61" i="6"/>
  <c r="AH61" i="6" s="1"/>
  <c r="B61" i="6"/>
  <c r="AP60" i="6"/>
  <c r="AI60" i="6"/>
  <c r="AD60" i="6"/>
  <c r="AX60" i="6" s="1"/>
  <c r="Z60" i="6"/>
  <c r="AV60" i="6" s="1"/>
  <c r="V60" i="6"/>
  <c r="AT60" i="6" s="1"/>
  <c r="R60" i="6"/>
  <c r="AR60" i="6" s="1"/>
  <c r="N60" i="6"/>
  <c r="J60" i="6"/>
  <c r="AN60" i="6" s="1"/>
  <c r="F60" i="6"/>
  <c r="AH60" i="6" s="1"/>
  <c r="B60" i="6"/>
  <c r="AP59" i="6"/>
  <c r="AI59" i="6"/>
  <c r="AD59" i="6"/>
  <c r="AX59" i="6" s="1"/>
  <c r="Z59" i="6"/>
  <c r="AV59" i="6" s="1"/>
  <c r="V59" i="6"/>
  <c r="AT59" i="6" s="1"/>
  <c r="R59" i="6"/>
  <c r="AR59" i="6" s="1"/>
  <c r="N59" i="6"/>
  <c r="J59" i="6"/>
  <c r="AN59" i="6" s="1"/>
  <c r="F59" i="6"/>
  <c r="AH59" i="6" s="1"/>
  <c r="B59" i="6"/>
  <c r="AP58" i="6"/>
  <c r="AL58" i="6"/>
  <c r="AM58" i="6" s="1"/>
  <c r="AI58" i="6"/>
  <c r="R58" i="6"/>
  <c r="AR58" i="6" s="1"/>
  <c r="N58" i="6"/>
  <c r="J58" i="6"/>
  <c r="AN58" i="6" s="1"/>
  <c r="F58" i="6"/>
  <c r="B58" i="6"/>
  <c r="AT57" i="6"/>
  <c r="AR57" i="6"/>
  <c r="AL57" i="6"/>
  <c r="AM57" i="6" s="1"/>
  <c r="AI57" i="6"/>
  <c r="AD57" i="6"/>
  <c r="AX57" i="6" s="1"/>
  <c r="Z57" i="6"/>
  <c r="AV57" i="6" s="1"/>
  <c r="V57" i="6"/>
  <c r="R57" i="6"/>
  <c r="N57" i="6"/>
  <c r="AP57" i="6" s="1"/>
  <c r="J57" i="6"/>
  <c r="F57" i="6"/>
  <c r="B57" i="6"/>
  <c r="AT56" i="6"/>
  <c r="AR56" i="6"/>
  <c r="AN56" i="6"/>
  <c r="AL56" i="6"/>
  <c r="AM56" i="6" s="1"/>
  <c r="AI56" i="6"/>
  <c r="AD56" i="6"/>
  <c r="AX56" i="6" s="1"/>
  <c r="Z56" i="6"/>
  <c r="AV56" i="6" s="1"/>
  <c r="V56" i="6"/>
  <c r="R56" i="6"/>
  <c r="AH56" i="6" s="1"/>
  <c r="N56" i="6"/>
  <c r="AP56" i="6" s="1"/>
  <c r="J56" i="6"/>
  <c r="F56" i="6"/>
  <c r="B56" i="6"/>
  <c r="AT55" i="6"/>
  <c r="AP55" i="6"/>
  <c r="AN55" i="6"/>
  <c r="AL55" i="6"/>
  <c r="AM55" i="6" s="1"/>
  <c r="AI55" i="6"/>
  <c r="AD55" i="6"/>
  <c r="AX55" i="6" s="1"/>
  <c r="Z55" i="6"/>
  <c r="AV55" i="6" s="1"/>
  <c r="V55" i="6"/>
  <c r="R55" i="6"/>
  <c r="AR55" i="6" s="1"/>
  <c r="N55" i="6"/>
  <c r="J55" i="6"/>
  <c r="F55" i="6"/>
  <c r="B55" i="6"/>
  <c r="AT54" i="6"/>
  <c r="AP54" i="6"/>
  <c r="AL54" i="6"/>
  <c r="AM54" i="6" s="1"/>
  <c r="AI54" i="6"/>
  <c r="AD54" i="6"/>
  <c r="AX54" i="6" s="1"/>
  <c r="Z54" i="6"/>
  <c r="AV54" i="6" s="1"/>
  <c r="V54" i="6"/>
  <c r="R54" i="6"/>
  <c r="AR54" i="6" s="1"/>
  <c r="N54" i="6"/>
  <c r="J54" i="6"/>
  <c r="F54" i="6"/>
  <c r="B54" i="6"/>
  <c r="AT53" i="6"/>
  <c r="AR53" i="6"/>
  <c r="AL53" i="6"/>
  <c r="AM53" i="6" s="1"/>
  <c r="AI53" i="6"/>
  <c r="AD53" i="6"/>
  <c r="AX53" i="6" s="1"/>
  <c r="Z53" i="6"/>
  <c r="AV53" i="6" s="1"/>
  <c r="V53" i="6"/>
  <c r="R53" i="6"/>
  <c r="N53" i="6"/>
  <c r="AP53" i="6" s="1"/>
  <c r="J53" i="6"/>
  <c r="F53" i="6"/>
  <c r="B53" i="6"/>
  <c r="AT52" i="6"/>
  <c r="AR52" i="6"/>
  <c r="AN52" i="6"/>
  <c r="AL52" i="6"/>
  <c r="AM52" i="6" s="1"/>
  <c r="AI52" i="6"/>
  <c r="AD52" i="6"/>
  <c r="AX52" i="6" s="1"/>
  <c r="Z52" i="6"/>
  <c r="AV52" i="6" s="1"/>
  <c r="V52" i="6"/>
  <c r="R52" i="6"/>
  <c r="AH52" i="6" s="1"/>
  <c r="N52" i="6"/>
  <c r="AP52" i="6" s="1"/>
  <c r="J52" i="6"/>
  <c r="F52" i="6"/>
  <c r="B52" i="6"/>
  <c r="AT51" i="6"/>
  <c r="AP51" i="6"/>
  <c r="AN51" i="6"/>
  <c r="AL51" i="6"/>
  <c r="AM51" i="6" s="1"/>
  <c r="AI51" i="6"/>
  <c r="AD51" i="6"/>
  <c r="AX51" i="6" s="1"/>
  <c r="Z51" i="6"/>
  <c r="AV51" i="6" s="1"/>
  <c r="V51" i="6"/>
  <c r="R51" i="6"/>
  <c r="AR51" i="6" s="1"/>
  <c r="N51" i="6"/>
  <c r="J51" i="6"/>
  <c r="F51" i="6"/>
  <c r="B51" i="6"/>
  <c r="AR50" i="6"/>
  <c r="AP50" i="6"/>
  <c r="AI50" i="6"/>
  <c r="AD50" i="6"/>
  <c r="AX50" i="6" s="1"/>
  <c r="V50" i="6"/>
  <c r="AT50" i="6" s="1"/>
  <c r="R50" i="6"/>
  <c r="N50" i="6"/>
  <c r="J50" i="6"/>
  <c r="AN50" i="6" s="1"/>
  <c r="F50" i="6"/>
  <c r="AL50" i="6" s="1"/>
  <c r="AM50" i="6" s="1"/>
  <c r="B50" i="6"/>
  <c r="AP49" i="6"/>
  <c r="AL49" i="6"/>
  <c r="AM49" i="6" s="1"/>
  <c r="AI49" i="6"/>
  <c r="H49" i="3" s="1"/>
  <c r="R49" i="6"/>
  <c r="AR49" i="6" s="1"/>
  <c r="N49" i="6"/>
  <c r="J49" i="6"/>
  <c r="AN49" i="6" s="1"/>
  <c r="F49" i="6"/>
  <c r="AH49" i="6" s="1"/>
  <c r="G49" i="3" s="1"/>
  <c r="B49" i="6"/>
  <c r="AV48" i="6"/>
  <c r="AP48" i="6"/>
  <c r="AL48" i="6"/>
  <c r="AM48" i="6" s="1"/>
  <c r="AI48" i="6"/>
  <c r="Z48" i="6"/>
  <c r="R48" i="6"/>
  <c r="AR48" i="6" s="1"/>
  <c r="N48" i="6"/>
  <c r="J48" i="6"/>
  <c r="AN48" i="6" s="1"/>
  <c r="F48" i="6"/>
  <c r="B48" i="6"/>
  <c r="AV47" i="6"/>
  <c r="AL47" i="6"/>
  <c r="AM47" i="6" s="1"/>
  <c r="AI47" i="6"/>
  <c r="Z47" i="6"/>
  <c r="R47" i="6"/>
  <c r="AR47" i="6" s="1"/>
  <c r="N47" i="6"/>
  <c r="AP47" i="6" s="1"/>
  <c r="J47" i="6"/>
  <c r="AN47" i="6" s="1"/>
  <c r="F47" i="6"/>
  <c r="B47" i="6"/>
  <c r="AR46" i="6"/>
  <c r="AP46" i="6"/>
  <c r="AI46" i="6"/>
  <c r="Z46" i="6"/>
  <c r="AV46" i="6" s="1"/>
  <c r="R46" i="6"/>
  <c r="N46" i="6"/>
  <c r="J46" i="6"/>
  <c r="AN46" i="6" s="1"/>
  <c r="F46" i="6"/>
  <c r="AL46" i="6" s="1"/>
  <c r="AM46" i="6" s="1"/>
  <c r="B46" i="6"/>
  <c r="AX45" i="6"/>
  <c r="AV45" i="6"/>
  <c r="AP45" i="6"/>
  <c r="AN45" i="6"/>
  <c r="AI45" i="6"/>
  <c r="H45" i="3" s="1"/>
  <c r="AD45" i="6"/>
  <c r="Z45" i="6"/>
  <c r="V45" i="6"/>
  <c r="AT45" i="6" s="1"/>
  <c r="R45" i="6"/>
  <c r="AR45" i="6" s="1"/>
  <c r="N45" i="6"/>
  <c r="J45" i="6"/>
  <c r="F45" i="6"/>
  <c r="AH45" i="6" s="1"/>
  <c r="B45" i="6"/>
  <c r="AX44" i="6"/>
  <c r="AV44" i="6"/>
  <c r="AP44" i="6"/>
  <c r="AN44" i="6"/>
  <c r="AI44" i="6"/>
  <c r="H44" i="3" s="1"/>
  <c r="AD44" i="6"/>
  <c r="Z44" i="6"/>
  <c r="V44" i="6"/>
  <c r="AT44" i="6" s="1"/>
  <c r="R44" i="6"/>
  <c r="AR44" i="6" s="1"/>
  <c r="N44" i="6"/>
  <c r="J44" i="6"/>
  <c r="F44" i="6"/>
  <c r="AH44" i="6" s="1"/>
  <c r="B44" i="6"/>
  <c r="AX43" i="6"/>
  <c r="AV43" i="6"/>
  <c r="AP43" i="6"/>
  <c r="AN43" i="6"/>
  <c r="AI43" i="6"/>
  <c r="H43" i="3" s="1"/>
  <c r="AD43" i="6"/>
  <c r="Z43" i="6"/>
  <c r="V43" i="6"/>
  <c r="AT43" i="6" s="1"/>
  <c r="R43" i="6"/>
  <c r="AR43" i="6" s="1"/>
  <c r="N43" i="6"/>
  <c r="J43" i="6"/>
  <c r="F43" i="6"/>
  <c r="AH43" i="6" s="1"/>
  <c r="B43" i="6"/>
  <c r="AX42" i="6"/>
  <c r="AT42" i="6"/>
  <c r="AP42" i="6"/>
  <c r="AN42" i="6"/>
  <c r="AI42" i="6"/>
  <c r="H42" i="3" s="1"/>
  <c r="AD42" i="6"/>
  <c r="V42" i="6"/>
  <c r="R42" i="6"/>
  <c r="AR42" i="6" s="1"/>
  <c r="N42" i="6"/>
  <c r="AH42" i="6" s="1"/>
  <c r="J42" i="6"/>
  <c r="F42" i="6"/>
  <c r="AL42" i="6" s="1"/>
  <c r="AM42" i="6" s="1"/>
  <c r="B42" i="6"/>
  <c r="AV41" i="6"/>
  <c r="AN41" i="6"/>
  <c r="AI41" i="6"/>
  <c r="AD41" i="6"/>
  <c r="AX41" i="6" s="1"/>
  <c r="Z41" i="6"/>
  <c r="V41" i="6"/>
  <c r="AT41" i="6" s="1"/>
  <c r="R41" i="6"/>
  <c r="AR41" i="6" s="1"/>
  <c r="N41" i="6"/>
  <c r="AP41" i="6" s="1"/>
  <c r="J41" i="6"/>
  <c r="F41" i="6"/>
  <c r="AL41" i="6" s="1"/>
  <c r="AM41" i="6" s="1"/>
  <c r="AO41" i="6" s="1"/>
  <c r="B41" i="6"/>
  <c r="AV40" i="6"/>
  <c r="AN40" i="6"/>
  <c r="AI40" i="6"/>
  <c r="AH40" i="6"/>
  <c r="AD40" i="6"/>
  <c r="AX40" i="6" s="1"/>
  <c r="Z40" i="6"/>
  <c r="V40" i="6"/>
  <c r="AT40" i="6" s="1"/>
  <c r="R40" i="6"/>
  <c r="AR40" i="6" s="1"/>
  <c r="N40" i="6"/>
  <c r="AP40" i="6" s="1"/>
  <c r="J40" i="6"/>
  <c r="F40" i="6"/>
  <c r="AL40" i="6" s="1"/>
  <c r="AM40" i="6" s="1"/>
  <c r="B40" i="6"/>
  <c r="AV39" i="6"/>
  <c r="AN39" i="6"/>
  <c r="AI39" i="6"/>
  <c r="AD39" i="6"/>
  <c r="AX39" i="6" s="1"/>
  <c r="Z39" i="6"/>
  <c r="V39" i="6"/>
  <c r="AT39" i="6" s="1"/>
  <c r="R39" i="6"/>
  <c r="AH39" i="6" s="1"/>
  <c r="N39" i="6"/>
  <c r="AP39" i="6" s="1"/>
  <c r="J39" i="6"/>
  <c r="F39" i="6"/>
  <c r="AL39" i="6" s="1"/>
  <c r="AM39" i="6" s="1"/>
  <c r="B39" i="6"/>
  <c r="AV38" i="6"/>
  <c r="AN38" i="6"/>
  <c r="AI38" i="6"/>
  <c r="AH38" i="6"/>
  <c r="AD38" i="6"/>
  <c r="AX38" i="6" s="1"/>
  <c r="Z38" i="6"/>
  <c r="V38" i="6"/>
  <c r="AT38" i="6" s="1"/>
  <c r="R38" i="6"/>
  <c r="AR38" i="6" s="1"/>
  <c r="N38" i="6"/>
  <c r="AP38" i="6" s="1"/>
  <c r="J38" i="6"/>
  <c r="F38" i="6"/>
  <c r="AL38" i="6" s="1"/>
  <c r="AM38" i="6" s="1"/>
  <c r="B38" i="6"/>
  <c r="AV37" i="6"/>
  <c r="AN37" i="6"/>
  <c r="AI37" i="6"/>
  <c r="AD37" i="6"/>
  <c r="AX37" i="6" s="1"/>
  <c r="Z37" i="6"/>
  <c r="V37" i="6"/>
  <c r="AT37" i="6" s="1"/>
  <c r="R37" i="6"/>
  <c r="AH37" i="6" s="1"/>
  <c r="N37" i="6"/>
  <c r="AP37" i="6" s="1"/>
  <c r="J37" i="6"/>
  <c r="F37" i="6"/>
  <c r="AL37" i="6" s="1"/>
  <c r="AM37" i="6" s="1"/>
  <c r="AO37" i="6" s="1"/>
  <c r="B37" i="6"/>
  <c r="AI36" i="6"/>
  <c r="Z36" i="6"/>
  <c r="AV36" i="6" s="1"/>
  <c r="V36" i="6"/>
  <c r="AT36" i="6" s="1"/>
  <c r="N36" i="6"/>
  <c r="AP36" i="6" s="1"/>
  <c r="J36" i="6"/>
  <c r="AN36" i="6" s="1"/>
  <c r="F36" i="6"/>
  <c r="AL36" i="6" s="1"/>
  <c r="AM36" i="6" s="1"/>
  <c r="B36" i="6"/>
  <c r="AP35" i="6"/>
  <c r="AI35" i="6"/>
  <c r="Z35" i="6"/>
  <c r="AV35" i="6" s="1"/>
  <c r="V35" i="6"/>
  <c r="AT35" i="6" s="1"/>
  <c r="R35" i="6"/>
  <c r="AR35" i="6" s="1"/>
  <c r="N35" i="6"/>
  <c r="J35" i="6"/>
  <c r="AN35" i="6" s="1"/>
  <c r="F35" i="6"/>
  <c r="AH35" i="6" s="1"/>
  <c r="B35" i="6"/>
  <c r="AX34" i="6"/>
  <c r="AV34" i="6"/>
  <c r="AP34" i="6"/>
  <c r="AN34" i="6"/>
  <c r="AI34" i="6"/>
  <c r="H34" i="3" s="1"/>
  <c r="AD34" i="6"/>
  <c r="Z34" i="6"/>
  <c r="V34" i="6"/>
  <c r="AT34" i="6" s="1"/>
  <c r="R34" i="6"/>
  <c r="AR34" i="6" s="1"/>
  <c r="N34" i="6"/>
  <c r="J34" i="6"/>
  <c r="F34" i="6"/>
  <c r="AH34" i="6" s="1"/>
  <c r="B34" i="6"/>
  <c r="AX33" i="6"/>
  <c r="AT33" i="6"/>
  <c r="AP33" i="6"/>
  <c r="AN33" i="6"/>
  <c r="AI33" i="6"/>
  <c r="H33" i="3" s="1"/>
  <c r="AD33" i="6"/>
  <c r="V33" i="6"/>
  <c r="R33" i="6"/>
  <c r="AR33" i="6" s="1"/>
  <c r="N33" i="6"/>
  <c r="AH33" i="6" s="1"/>
  <c r="J33" i="6"/>
  <c r="F33" i="6"/>
  <c r="AL33" i="6" s="1"/>
  <c r="AM33" i="6" s="1"/>
  <c r="B33" i="6"/>
  <c r="AV32" i="6"/>
  <c r="AN32" i="6"/>
  <c r="AI32" i="6"/>
  <c r="AD32" i="6"/>
  <c r="AX32" i="6" s="1"/>
  <c r="Z32" i="6"/>
  <c r="V32" i="6"/>
  <c r="AT32" i="6" s="1"/>
  <c r="R32" i="6"/>
  <c r="AH32" i="6" s="1"/>
  <c r="N32" i="6"/>
  <c r="AP32" i="6" s="1"/>
  <c r="J32" i="6"/>
  <c r="F32" i="6"/>
  <c r="AL32" i="6" s="1"/>
  <c r="AM32" i="6" s="1"/>
  <c r="AO32" i="6" s="1"/>
  <c r="B32" i="6"/>
  <c r="AV31" i="6"/>
  <c r="AN31" i="6"/>
  <c r="AI31" i="6"/>
  <c r="AH31" i="6"/>
  <c r="AD31" i="6"/>
  <c r="AX31" i="6" s="1"/>
  <c r="Z31" i="6"/>
  <c r="V31" i="6"/>
  <c r="AT31" i="6" s="1"/>
  <c r="R31" i="6"/>
  <c r="AR31" i="6" s="1"/>
  <c r="N31" i="6"/>
  <c r="AP31" i="6" s="1"/>
  <c r="J31" i="6"/>
  <c r="F31" i="6"/>
  <c r="AL31" i="6" s="1"/>
  <c r="AM31" i="6" s="1"/>
  <c r="B31" i="6"/>
  <c r="AV30" i="6"/>
  <c r="AN30" i="6"/>
  <c r="AI30" i="6"/>
  <c r="AD30" i="6"/>
  <c r="AX30" i="6" s="1"/>
  <c r="Z30" i="6"/>
  <c r="V30" i="6"/>
  <c r="AT30" i="6" s="1"/>
  <c r="R30" i="6"/>
  <c r="AH30" i="6" s="1"/>
  <c r="N30" i="6"/>
  <c r="AP30" i="6" s="1"/>
  <c r="J30" i="6"/>
  <c r="F30" i="6"/>
  <c r="AL30" i="6" s="1"/>
  <c r="AM30" i="6" s="1"/>
  <c r="AO30" i="6" s="1"/>
  <c r="B30" i="6"/>
  <c r="AV29" i="6"/>
  <c r="AN29" i="6"/>
  <c r="AI29" i="6"/>
  <c r="AD29" i="6"/>
  <c r="AX29" i="6" s="1"/>
  <c r="Z29" i="6"/>
  <c r="V29" i="6"/>
  <c r="AT29" i="6" s="1"/>
  <c r="R29" i="6"/>
  <c r="AR29" i="6" s="1"/>
  <c r="N29" i="6"/>
  <c r="AP29" i="6" s="1"/>
  <c r="J29" i="6"/>
  <c r="F29" i="6"/>
  <c r="AL29" i="6" s="1"/>
  <c r="AM29" i="6" s="1"/>
  <c r="AO29" i="6" s="1"/>
  <c r="B29" i="6"/>
  <c r="AV28" i="6"/>
  <c r="AN28" i="6"/>
  <c r="AI28" i="6"/>
  <c r="AH28" i="6"/>
  <c r="AD28" i="6"/>
  <c r="AX28" i="6" s="1"/>
  <c r="Z28" i="6"/>
  <c r="V28" i="6"/>
  <c r="AT28" i="6" s="1"/>
  <c r="R28" i="6"/>
  <c r="AR28" i="6" s="1"/>
  <c r="N28" i="6"/>
  <c r="AP28" i="6" s="1"/>
  <c r="J28" i="6"/>
  <c r="F28" i="6"/>
  <c r="AL28" i="6" s="1"/>
  <c r="AM28" i="6" s="1"/>
  <c r="B28" i="6"/>
  <c r="AR27" i="6"/>
  <c r="AI27" i="6"/>
  <c r="Z27" i="6"/>
  <c r="AV27" i="6" s="1"/>
  <c r="V27" i="6"/>
  <c r="AT27" i="6" s="1"/>
  <c r="R27" i="6"/>
  <c r="N27" i="6"/>
  <c r="AP27" i="6" s="1"/>
  <c r="J27" i="6"/>
  <c r="AN27" i="6" s="1"/>
  <c r="F27" i="6"/>
  <c r="AL27" i="6" s="1"/>
  <c r="AM27" i="6" s="1"/>
  <c r="B27" i="6"/>
  <c r="AR26" i="6"/>
  <c r="AP26" i="6"/>
  <c r="AN26" i="6"/>
  <c r="AI26" i="6"/>
  <c r="AD26" i="6"/>
  <c r="AX26" i="6" s="1"/>
  <c r="R26" i="6"/>
  <c r="N26" i="6"/>
  <c r="J26" i="6"/>
  <c r="AH26" i="6" s="1"/>
  <c r="F26" i="6"/>
  <c r="AL26" i="6" s="1"/>
  <c r="AM26" i="6" s="1"/>
  <c r="B26" i="6"/>
  <c r="AX25" i="6"/>
  <c r="AR25" i="6"/>
  <c r="AP25" i="6"/>
  <c r="AL25" i="6"/>
  <c r="AM25" i="6" s="1"/>
  <c r="AI25" i="6"/>
  <c r="AD25" i="6"/>
  <c r="Z25" i="6"/>
  <c r="AV25" i="6" s="1"/>
  <c r="V25" i="6"/>
  <c r="AT25" i="6" s="1"/>
  <c r="R25" i="6"/>
  <c r="N25" i="6"/>
  <c r="J25" i="6"/>
  <c r="AN25" i="6" s="1"/>
  <c r="F25" i="6"/>
  <c r="AH25" i="6" s="1"/>
  <c r="B25" i="6"/>
  <c r="AX24" i="6"/>
  <c r="AR24" i="6"/>
  <c r="AP24" i="6"/>
  <c r="AL24" i="6"/>
  <c r="AM24" i="6" s="1"/>
  <c r="AI24" i="6"/>
  <c r="AD24" i="6"/>
  <c r="Z24" i="6"/>
  <c r="AV24" i="6" s="1"/>
  <c r="V24" i="6"/>
  <c r="AT24" i="6" s="1"/>
  <c r="R24" i="6"/>
  <c r="N24" i="6"/>
  <c r="J24" i="6"/>
  <c r="AN24" i="6" s="1"/>
  <c r="F24" i="6"/>
  <c r="AH24" i="6" s="1"/>
  <c r="B24" i="6"/>
  <c r="AX23" i="6"/>
  <c r="AR23" i="6"/>
  <c r="AP23" i="6"/>
  <c r="AL23" i="6"/>
  <c r="AM23" i="6" s="1"/>
  <c r="AI23" i="6"/>
  <c r="AD23" i="6"/>
  <c r="Z23" i="6"/>
  <c r="AV23" i="6" s="1"/>
  <c r="V23" i="6"/>
  <c r="AT23" i="6" s="1"/>
  <c r="R23" i="6"/>
  <c r="N23" i="6"/>
  <c r="J23" i="6"/>
  <c r="AN23" i="6" s="1"/>
  <c r="F23" i="6"/>
  <c r="AH23" i="6" s="1"/>
  <c r="B23" i="6"/>
  <c r="AX22" i="6"/>
  <c r="AR22" i="6"/>
  <c r="AP22" i="6"/>
  <c r="AL22" i="6"/>
  <c r="AM22" i="6" s="1"/>
  <c r="AI22" i="6"/>
  <c r="AD22" i="6"/>
  <c r="Z22" i="6"/>
  <c r="AV22" i="6" s="1"/>
  <c r="V22" i="6"/>
  <c r="AT22" i="6" s="1"/>
  <c r="R22" i="6"/>
  <c r="N22" i="6"/>
  <c r="J22" i="6"/>
  <c r="AN22" i="6" s="1"/>
  <c r="F22" i="6"/>
  <c r="AH22" i="6" s="1"/>
  <c r="B22" i="6"/>
  <c r="AX21" i="6"/>
  <c r="AR21" i="6"/>
  <c r="AP21" i="6"/>
  <c r="AL21" i="6"/>
  <c r="AM21" i="6" s="1"/>
  <c r="AI21" i="6"/>
  <c r="AD21" i="6"/>
  <c r="Z21" i="6"/>
  <c r="AV21" i="6" s="1"/>
  <c r="V21" i="6"/>
  <c r="AT21" i="6" s="1"/>
  <c r="R21" i="6"/>
  <c r="N21" i="6"/>
  <c r="J21" i="6"/>
  <c r="AN21" i="6" s="1"/>
  <c r="F21" i="6"/>
  <c r="AH21" i="6" s="1"/>
  <c r="B21" i="6"/>
  <c r="AX20" i="6"/>
  <c r="AR20" i="6"/>
  <c r="AP20" i="6"/>
  <c r="AL20" i="6"/>
  <c r="AM20" i="6" s="1"/>
  <c r="AI20" i="6"/>
  <c r="AD20" i="6"/>
  <c r="Z20" i="6"/>
  <c r="AV20" i="6" s="1"/>
  <c r="V20" i="6"/>
  <c r="AT20" i="6" s="1"/>
  <c r="R20" i="6"/>
  <c r="N20" i="6"/>
  <c r="J20" i="6"/>
  <c r="AN20" i="6" s="1"/>
  <c r="F20" i="6"/>
  <c r="AH20" i="6" s="1"/>
  <c r="B20" i="6"/>
  <c r="AX19" i="6"/>
  <c r="AP19" i="6"/>
  <c r="AN19" i="6"/>
  <c r="AI19" i="6"/>
  <c r="AD19" i="6"/>
  <c r="Z19" i="6"/>
  <c r="AV19" i="6" s="1"/>
  <c r="V19" i="6"/>
  <c r="AT19" i="6" s="1"/>
  <c r="N19" i="6"/>
  <c r="J19" i="6"/>
  <c r="F19" i="6"/>
  <c r="AH19" i="6" s="1"/>
  <c r="B19" i="6"/>
  <c r="AV18" i="6"/>
  <c r="AN18" i="6"/>
  <c r="AI18" i="6"/>
  <c r="H18" i="3" s="1"/>
  <c r="AD18" i="6"/>
  <c r="AX18" i="6" s="1"/>
  <c r="Z18" i="6"/>
  <c r="V18" i="6"/>
  <c r="AT18" i="6" s="1"/>
  <c r="R18" i="6"/>
  <c r="AR18" i="6" s="1"/>
  <c r="N18" i="6"/>
  <c r="AP18" i="6" s="1"/>
  <c r="J18" i="6"/>
  <c r="F18" i="6"/>
  <c r="AL18" i="6" s="1"/>
  <c r="AM18" i="6" s="1"/>
  <c r="AO18" i="6" s="1"/>
  <c r="B18" i="6"/>
  <c r="AV17" i="6"/>
  <c r="AN17" i="6"/>
  <c r="AI17" i="6"/>
  <c r="H17" i="3" s="1"/>
  <c r="AD17" i="6"/>
  <c r="AX17" i="6" s="1"/>
  <c r="Z17" i="6"/>
  <c r="V17" i="6"/>
  <c r="AT17" i="6" s="1"/>
  <c r="R17" i="6"/>
  <c r="AR17" i="6" s="1"/>
  <c r="N17" i="6"/>
  <c r="AP17" i="6" s="1"/>
  <c r="J17" i="6"/>
  <c r="F17" i="6"/>
  <c r="AL17" i="6" s="1"/>
  <c r="AM17" i="6" s="1"/>
  <c r="AO17" i="6" s="1"/>
  <c r="B17" i="6"/>
  <c r="AV16" i="6"/>
  <c r="AN16" i="6"/>
  <c r="AI16" i="6"/>
  <c r="H16" i="3" s="1"/>
  <c r="AD16" i="6"/>
  <c r="AX16" i="6" s="1"/>
  <c r="Z16" i="6"/>
  <c r="V16" i="6"/>
  <c r="AT16" i="6" s="1"/>
  <c r="R16" i="6"/>
  <c r="AR16" i="6" s="1"/>
  <c r="N16" i="6"/>
  <c r="AP16" i="6" s="1"/>
  <c r="J16" i="6"/>
  <c r="F16" i="6"/>
  <c r="AL16" i="6" s="1"/>
  <c r="AM16" i="6" s="1"/>
  <c r="AO16" i="6" s="1"/>
  <c r="B16" i="6"/>
  <c r="AV15" i="6"/>
  <c r="AN15" i="6"/>
  <c r="AI15" i="6"/>
  <c r="H15" i="3" s="1"/>
  <c r="AD15" i="6"/>
  <c r="AX15" i="6" s="1"/>
  <c r="Z15" i="6"/>
  <c r="V15" i="6"/>
  <c r="AT15" i="6" s="1"/>
  <c r="R15" i="6"/>
  <c r="AR15" i="6" s="1"/>
  <c r="N15" i="6"/>
  <c r="AP15" i="6" s="1"/>
  <c r="J15" i="6"/>
  <c r="F15" i="6"/>
  <c r="AL15" i="6" s="1"/>
  <c r="AM15" i="6" s="1"/>
  <c r="AO15" i="6" s="1"/>
  <c r="B15" i="6"/>
  <c r="AV14" i="6"/>
  <c r="AN14" i="6"/>
  <c r="AI14" i="6"/>
  <c r="H14" i="3" s="1"/>
  <c r="AD14" i="6"/>
  <c r="AX14" i="6" s="1"/>
  <c r="Z14" i="6"/>
  <c r="V14" i="6"/>
  <c r="AT14" i="6" s="1"/>
  <c r="R14" i="6"/>
  <c r="AR14" i="6" s="1"/>
  <c r="N14" i="6"/>
  <c r="AP14" i="6" s="1"/>
  <c r="J14" i="6"/>
  <c r="F14" i="6"/>
  <c r="AL14" i="6" s="1"/>
  <c r="AM14" i="6" s="1"/>
  <c r="AO14" i="6" s="1"/>
  <c r="B14" i="6"/>
  <c r="AV13" i="6"/>
  <c r="AN13" i="6"/>
  <c r="AI13" i="6"/>
  <c r="H13" i="3" s="1"/>
  <c r="AD13" i="6"/>
  <c r="AX13" i="6" s="1"/>
  <c r="Z13" i="6"/>
  <c r="V13" i="6"/>
  <c r="AT13" i="6" s="1"/>
  <c r="R13" i="6"/>
  <c r="AR13" i="6" s="1"/>
  <c r="N13" i="6"/>
  <c r="AP13" i="6" s="1"/>
  <c r="J13" i="6"/>
  <c r="F13" i="6"/>
  <c r="AL13" i="6" s="1"/>
  <c r="AM13" i="6" s="1"/>
  <c r="AO13" i="6" s="1"/>
  <c r="B13" i="6"/>
  <c r="AV12" i="6"/>
  <c r="AN12" i="6"/>
  <c r="AI12" i="6"/>
  <c r="H12" i="3" s="1"/>
  <c r="AD12" i="6"/>
  <c r="AX12" i="6" s="1"/>
  <c r="Z12" i="6"/>
  <c r="V12" i="6"/>
  <c r="AT12" i="6" s="1"/>
  <c r="R12" i="6"/>
  <c r="AR12" i="6" s="1"/>
  <c r="N12" i="6"/>
  <c r="AP12" i="6" s="1"/>
  <c r="J12" i="6"/>
  <c r="F12" i="6"/>
  <c r="AL12" i="6" s="1"/>
  <c r="AM12" i="6" s="1"/>
  <c r="AO12" i="6" s="1"/>
  <c r="B12" i="6"/>
  <c r="AV11" i="6"/>
  <c r="AN11" i="6"/>
  <c r="AI11" i="6"/>
  <c r="H11" i="3" s="1"/>
  <c r="AD11" i="6"/>
  <c r="AX11" i="6" s="1"/>
  <c r="Z11" i="6"/>
  <c r="V11" i="6"/>
  <c r="AT11" i="6" s="1"/>
  <c r="R11" i="6"/>
  <c r="AR11" i="6" s="1"/>
  <c r="N11" i="6"/>
  <c r="AP11" i="6" s="1"/>
  <c r="J11" i="6"/>
  <c r="F11" i="6"/>
  <c r="AL11" i="6" s="1"/>
  <c r="AM11" i="6" s="1"/>
  <c r="AO11" i="6" s="1"/>
  <c r="B11" i="6"/>
  <c r="AV10" i="6"/>
  <c r="AN10" i="6"/>
  <c r="AI10" i="6"/>
  <c r="H10" i="3" s="1"/>
  <c r="AD10" i="6"/>
  <c r="AX10" i="6" s="1"/>
  <c r="Z10" i="6"/>
  <c r="V10" i="6"/>
  <c r="AT10" i="6" s="1"/>
  <c r="R10" i="6"/>
  <c r="AR10" i="6" s="1"/>
  <c r="N10" i="6"/>
  <c r="AP10" i="6" s="1"/>
  <c r="J10" i="6"/>
  <c r="F10" i="6"/>
  <c r="AL10" i="6" s="1"/>
  <c r="AM10" i="6" s="1"/>
  <c r="AO10" i="6" s="1"/>
  <c r="B10" i="6"/>
  <c r="AI9" i="6"/>
  <c r="H9" i="3" s="1"/>
  <c r="R9" i="6"/>
  <c r="AR9" i="6" s="1"/>
  <c r="N9" i="6"/>
  <c r="AP9" i="6" s="1"/>
  <c r="J9" i="6"/>
  <c r="AN9" i="6" s="1"/>
  <c r="F9" i="6"/>
  <c r="AL9" i="6" s="1"/>
  <c r="AM9" i="6" s="1"/>
  <c r="B9" i="6"/>
  <c r="AX8" i="6"/>
  <c r="AR8" i="6"/>
  <c r="AP8" i="6"/>
  <c r="AL8" i="6"/>
  <c r="AM8" i="6" s="1"/>
  <c r="AI8" i="6"/>
  <c r="AD8" i="6"/>
  <c r="Z8" i="6"/>
  <c r="AV8" i="6" s="1"/>
  <c r="V8" i="6"/>
  <c r="AT8" i="6" s="1"/>
  <c r="R8" i="6"/>
  <c r="N8" i="6"/>
  <c r="J8" i="6"/>
  <c r="AN8" i="6" s="1"/>
  <c r="F8" i="6"/>
  <c r="AH8" i="6" s="1"/>
  <c r="B8" i="6"/>
  <c r="AX7" i="6"/>
  <c r="AR7" i="6"/>
  <c r="AP7" i="6"/>
  <c r="AL7" i="6"/>
  <c r="AM7" i="6" s="1"/>
  <c r="AI7" i="6"/>
  <c r="AD7" i="6"/>
  <c r="Z7" i="6"/>
  <c r="Z81" i="6" s="1"/>
  <c r="C9" i="4" s="1"/>
  <c r="I9" i="4" s="1"/>
  <c r="V7" i="6"/>
  <c r="AT7" i="6" s="1"/>
  <c r="R7" i="6"/>
  <c r="N7" i="6"/>
  <c r="J7" i="6"/>
  <c r="AN7" i="6" s="1"/>
  <c r="F7" i="6"/>
  <c r="AH7" i="6" s="1"/>
  <c r="B7" i="6"/>
  <c r="AV6" i="6"/>
  <c r="AR6" i="6"/>
  <c r="AP6" i="6"/>
  <c r="AN6" i="6"/>
  <c r="AI6" i="6"/>
  <c r="Z6" i="6"/>
  <c r="V6" i="6"/>
  <c r="AT6" i="6" s="1"/>
  <c r="R6" i="6"/>
  <c r="N6" i="6"/>
  <c r="J6" i="6"/>
  <c r="F6" i="6"/>
  <c r="AH6" i="6" s="1"/>
  <c r="B6" i="6"/>
  <c r="AV5" i="6"/>
  <c r="AN5" i="6"/>
  <c r="AI5" i="6"/>
  <c r="H5" i="3" s="1"/>
  <c r="AD5" i="6"/>
  <c r="Z5" i="6"/>
  <c r="V5" i="6"/>
  <c r="AT5" i="6" s="1"/>
  <c r="R5" i="6"/>
  <c r="AR5" i="6" s="1"/>
  <c r="N5" i="6"/>
  <c r="AP5" i="6" s="1"/>
  <c r="J5" i="6"/>
  <c r="F5" i="6"/>
  <c r="AL5" i="6" s="1"/>
  <c r="AM5" i="6" s="1"/>
  <c r="AO5" i="6" s="1"/>
  <c r="B5" i="6"/>
  <c r="AX4" i="6"/>
  <c r="AR4" i="6"/>
  <c r="AI4" i="6"/>
  <c r="AI81" i="6" s="1"/>
  <c r="V4" i="6"/>
  <c r="R4" i="6"/>
  <c r="N4" i="6"/>
  <c r="J4" i="6"/>
  <c r="AN4" i="6" s="1"/>
  <c r="F4" i="6"/>
  <c r="B4" i="6"/>
  <c r="AX2" i="6"/>
  <c r="AP2" i="6"/>
  <c r="AL2" i="6"/>
  <c r="AD2" i="6"/>
  <c r="Z2" i="6"/>
  <c r="AV2" i="6" s="1"/>
  <c r="V2" i="6"/>
  <c r="AT2" i="6" s="1"/>
  <c r="R2" i="6"/>
  <c r="AR2" i="6" s="1"/>
  <c r="N2" i="6"/>
  <c r="J2" i="6"/>
  <c r="A1" i="6"/>
  <c r="S16" i="5"/>
  <c r="P16" i="5"/>
  <c r="J16" i="5"/>
  <c r="G16" i="5"/>
  <c r="D16" i="5"/>
  <c r="M13" i="5"/>
  <c r="H47" i="4" s="1"/>
  <c r="M4" i="5"/>
  <c r="H38" i="4" s="1"/>
  <c r="A1" i="5"/>
  <c r="G76" i="4"/>
  <c r="H75" i="4"/>
  <c r="F75" i="4"/>
  <c r="E75" i="4"/>
  <c r="D75" i="4"/>
  <c r="I75" i="4" s="1"/>
  <c r="C75" i="4"/>
  <c r="H74" i="4"/>
  <c r="F74" i="4"/>
  <c r="E74" i="4"/>
  <c r="D74" i="4"/>
  <c r="C74" i="4"/>
  <c r="H73" i="4"/>
  <c r="F73" i="4"/>
  <c r="E73" i="4"/>
  <c r="D73" i="4"/>
  <c r="I73" i="4" s="1"/>
  <c r="C73" i="4"/>
  <c r="H72" i="4"/>
  <c r="F72" i="4"/>
  <c r="E72" i="4"/>
  <c r="D72" i="4"/>
  <c r="C72" i="4"/>
  <c r="H71" i="4"/>
  <c r="I71" i="4" s="1"/>
  <c r="F71" i="4"/>
  <c r="E71" i="4"/>
  <c r="D71" i="4"/>
  <c r="C71" i="4"/>
  <c r="H70" i="4"/>
  <c r="F70" i="4"/>
  <c r="E70" i="4"/>
  <c r="D70" i="4"/>
  <c r="C70" i="4"/>
  <c r="H69" i="4"/>
  <c r="F69" i="4"/>
  <c r="E69" i="4"/>
  <c r="D69" i="4"/>
  <c r="I69" i="4" s="1"/>
  <c r="C69" i="4"/>
  <c r="H68" i="4"/>
  <c r="I68" i="4" s="1"/>
  <c r="F68" i="4"/>
  <c r="E68" i="4"/>
  <c r="D68" i="4"/>
  <c r="C68" i="4"/>
  <c r="C76" i="4" s="1"/>
  <c r="H67" i="4"/>
  <c r="F67" i="4"/>
  <c r="E67" i="4"/>
  <c r="D67" i="4"/>
  <c r="I67" i="4" s="1"/>
  <c r="C67" i="4"/>
  <c r="H66" i="4"/>
  <c r="F66" i="4"/>
  <c r="E66" i="4"/>
  <c r="D66" i="4"/>
  <c r="C66" i="4"/>
  <c r="H65" i="4"/>
  <c r="F65" i="4"/>
  <c r="E65" i="4"/>
  <c r="D65" i="4"/>
  <c r="I65" i="4" s="1"/>
  <c r="C65" i="4"/>
  <c r="H64" i="4"/>
  <c r="F64" i="4"/>
  <c r="F76" i="4" s="1"/>
  <c r="E64" i="4"/>
  <c r="E76" i="4" s="1"/>
  <c r="D64" i="4"/>
  <c r="C64" i="4"/>
  <c r="G63" i="4"/>
  <c r="H62" i="4"/>
  <c r="I62" i="4" s="1"/>
  <c r="F62" i="4"/>
  <c r="E62" i="4"/>
  <c r="D62" i="4"/>
  <c r="C62" i="4"/>
  <c r="H61" i="4"/>
  <c r="F61" i="4"/>
  <c r="E61" i="4"/>
  <c r="D61" i="4"/>
  <c r="I61" i="4" s="1"/>
  <c r="C61" i="4"/>
  <c r="H60" i="4"/>
  <c r="I60" i="4" s="1"/>
  <c r="F60" i="4"/>
  <c r="E60" i="4"/>
  <c r="D60" i="4"/>
  <c r="C60" i="4"/>
  <c r="H59" i="4"/>
  <c r="F59" i="4"/>
  <c r="E59" i="4"/>
  <c r="D59" i="4"/>
  <c r="I59" i="4" s="1"/>
  <c r="C59" i="4"/>
  <c r="H58" i="4"/>
  <c r="I58" i="4" s="1"/>
  <c r="F58" i="4"/>
  <c r="E58" i="4"/>
  <c r="D58" i="4"/>
  <c r="C58" i="4"/>
  <c r="H57" i="4"/>
  <c r="F57" i="4"/>
  <c r="E57" i="4"/>
  <c r="D57" i="4"/>
  <c r="I57" i="4" s="1"/>
  <c r="C57" i="4"/>
  <c r="H56" i="4"/>
  <c r="I56" i="4" s="1"/>
  <c r="F56" i="4"/>
  <c r="E56" i="4"/>
  <c r="D56" i="4"/>
  <c r="C56" i="4"/>
  <c r="H55" i="4"/>
  <c r="F55" i="4"/>
  <c r="E55" i="4"/>
  <c r="D55" i="4"/>
  <c r="I55" i="4" s="1"/>
  <c r="C55" i="4"/>
  <c r="H54" i="4"/>
  <c r="I54" i="4" s="1"/>
  <c r="F54" i="4"/>
  <c r="E54" i="4"/>
  <c r="D54" i="4"/>
  <c r="C54" i="4"/>
  <c r="H53" i="4"/>
  <c r="F53" i="4"/>
  <c r="E53" i="4"/>
  <c r="D53" i="4"/>
  <c r="I53" i="4" s="1"/>
  <c r="C53" i="4"/>
  <c r="H52" i="4"/>
  <c r="H63" i="4" s="1"/>
  <c r="F52" i="4"/>
  <c r="E52" i="4"/>
  <c r="D52" i="4"/>
  <c r="C52" i="4"/>
  <c r="H51" i="4"/>
  <c r="F51" i="4"/>
  <c r="F63" i="4" s="1"/>
  <c r="E51" i="4"/>
  <c r="E63" i="4" s="1"/>
  <c r="D51" i="4"/>
  <c r="D63" i="4" s="1"/>
  <c r="C51" i="4"/>
  <c r="C63" i="4" s="1"/>
  <c r="H49" i="4"/>
  <c r="G49" i="4"/>
  <c r="F49" i="4"/>
  <c r="E49" i="4"/>
  <c r="D49" i="4"/>
  <c r="C49" i="4"/>
  <c r="I49" i="4" s="1"/>
  <c r="H48" i="4"/>
  <c r="G48" i="4"/>
  <c r="F48" i="4"/>
  <c r="E48" i="4"/>
  <c r="I48" i="4" s="1"/>
  <c r="D48" i="4"/>
  <c r="C48" i="4"/>
  <c r="G47" i="4"/>
  <c r="F47" i="4"/>
  <c r="E47" i="4"/>
  <c r="D47" i="4"/>
  <c r="C47" i="4"/>
  <c r="H46" i="4"/>
  <c r="G46" i="4"/>
  <c r="F46" i="4"/>
  <c r="E46" i="4"/>
  <c r="D46" i="4"/>
  <c r="H45" i="4"/>
  <c r="G45" i="4"/>
  <c r="F45" i="4"/>
  <c r="E45" i="4"/>
  <c r="D45" i="4"/>
  <c r="H44" i="4"/>
  <c r="G44" i="4"/>
  <c r="F44" i="4"/>
  <c r="E44" i="4"/>
  <c r="D44" i="4"/>
  <c r="I43" i="4"/>
  <c r="H43" i="4"/>
  <c r="G43" i="4"/>
  <c r="F43" i="4"/>
  <c r="E43" i="4"/>
  <c r="D43" i="4"/>
  <c r="C43" i="4"/>
  <c r="H42" i="4"/>
  <c r="G42" i="4"/>
  <c r="F42" i="4"/>
  <c r="E42" i="4"/>
  <c r="D42" i="4"/>
  <c r="G41" i="4"/>
  <c r="F41" i="4"/>
  <c r="E41" i="4"/>
  <c r="D41" i="4"/>
  <c r="H40" i="4"/>
  <c r="G40" i="4"/>
  <c r="F40" i="4"/>
  <c r="E40" i="4"/>
  <c r="D40" i="4"/>
  <c r="H39" i="4"/>
  <c r="I39" i="4" s="1"/>
  <c r="G39" i="4"/>
  <c r="F39" i="4"/>
  <c r="E39" i="4"/>
  <c r="D39" i="4"/>
  <c r="C39" i="4"/>
  <c r="G38" i="4"/>
  <c r="G50" i="4" s="1"/>
  <c r="F38" i="4"/>
  <c r="F50" i="4" s="1"/>
  <c r="E38" i="4"/>
  <c r="E50" i="4" s="1"/>
  <c r="D38" i="4"/>
  <c r="H36" i="4"/>
  <c r="G36" i="4"/>
  <c r="F36" i="4"/>
  <c r="E36" i="4"/>
  <c r="D36" i="4"/>
  <c r="H35" i="4"/>
  <c r="G35" i="4"/>
  <c r="F35" i="4"/>
  <c r="E35" i="4"/>
  <c r="D35" i="4"/>
  <c r="H34" i="4"/>
  <c r="G34" i="4"/>
  <c r="F34" i="4"/>
  <c r="E34" i="4"/>
  <c r="D34" i="4"/>
  <c r="H33" i="4"/>
  <c r="G33" i="4"/>
  <c r="F33" i="4"/>
  <c r="E33" i="4"/>
  <c r="D33" i="4"/>
  <c r="H32" i="4"/>
  <c r="G32" i="4"/>
  <c r="F32" i="4"/>
  <c r="E32" i="4"/>
  <c r="D32" i="4"/>
  <c r="H31" i="4"/>
  <c r="G31" i="4"/>
  <c r="F31" i="4"/>
  <c r="E31" i="4"/>
  <c r="D31" i="4"/>
  <c r="H30" i="4"/>
  <c r="G30" i="4"/>
  <c r="F30" i="4"/>
  <c r="E30" i="4"/>
  <c r="D30" i="4"/>
  <c r="H29" i="4"/>
  <c r="G29" i="4"/>
  <c r="F29" i="4"/>
  <c r="E29" i="4"/>
  <c r="D29" i="4"/>
  <c r="H28" i="4"/>
  <c r="G28" i="4"/>
  <c r="F28" i="4"/>
  <c r="E28" i="4"/>
  <c r="D28" i="4"/>
  <c r="H27" i="4"/>
  <c r="G27" i="4"/>
  <c r="F27" i="4"/>
  <c r="E27" i="4"/>
  <c r="D27" i="4"/>
  <c r="H26" i="4"/>
  <c r="G26" i="4"/>
  <c r="F26" i="4"/>
  <c r="E26" i="4"/>
  <c r="D26" i="4"/>
  <c r="H25" i="4"/>
  <c r="H37" i="4" s="1"/>
  <c r="G25" i="4"/>
  <c r="G37" i="4" s="1"/>
  <c r="G77" i="4" s="1"/>
  <c r="F25" i="4"/>
  <c r="F37" i="4" s="1"/>
  <c r="E25" i="4"/>
  <c r="E37" i="4" s="1"/>
  <c r="D25" i="4"/>
  <c r="D37" i="4" s="1"/>
  <c r="G24" i="4"/>
  <c r="H23" i="4"/>
  <c r="F23" i="4"/>
  <c r="E23" i="4"/>
  <c r="D23" i="4"/>
  <c r="H22" i="4"/>
  <c r="F22" i="4"/>
  <c r="E22" i="4"/>
  <c r="D22" i="4"/>
  <c r="H21" i="4"/>
  <c r="F21" i="4"/>
  <c r="E21" i="4"/>
  <c r="D21" i="4"/>
  <c r="H20" i="4"/>
  <c r="F20" i="4"/>
  <c r="E20" i="4"/>
  <c r="D20" i="4"/>
  <c r="I20" i="4" s="1"/>
  <c r="C20" i="4"/>
  <c r="H19" i="4"/>
  <c r="F19" i="4"/>
  <c r="E19" i="4"/>
  <c r="D19" i="4"/>
  <c r="H18" i="4"/>
  <c r="F18" i="4"/>
  <c r="E18" i="4"/>
  <c r="D18" i="4"/>
  <c r="H17" i="4"/>
  <c r="F17" i="4"/>
  <c r="E17" i="4"/>
  <c r="D17" i="4"/>
  <c r="H16" i="4"/>
  <c r="F16" i="4"/>
  <c r="E16" i="4"/>
  <c r="D16" i="4"/>
  <c r="I16" i="4" s="1"/>
  <c r="C16" i="4"/>
  <c r="H15" i="4"/>
  <c r="F15" i="4"/>
  <c r="E15" i="4"/>
  <c r="D15" i="4"/>
  <c r="H14" i="4"/>
  <c r="F14" i="4"/>
  <c r="E14" i="4"/>
  <c r="D14" i="4"/>
  <c r="H13" i="4"/>
  <c r="H24" i="4" s="1"/>
  <c r="F13" i="4"/>
  <c r="E13" i="4"/>
  <c r="D13" i="4"/>
  <c r="H12" i="4"/>
  <c r="F12" i="4"/>
  <c r="F24" i="4" s="1"/>
  <c r="E12" i="4"/>
  <c r="E24" i="4" s="1"/>
  <c r="D12" i="4"/>
  <c r="D24" i="4" s="1"/>
  <c r="H11" i="4"/>
  <c r="G11" i="4"/>
  <c r="H10" i="4"/>
  <c r="F10" i="4"/>
  <c r="E10" i="4"/>
  <c r="H9" i="4"/>
  <c r="F9" i="4"/>
  <c r="E9" i="4"/>
  <c r="D9" i="4"/>
  <c r="H8" i="4"/>
  <c r="F8" i="4"/>
  <c r="E8" i="4"/>
  <c r="D8" i="4"/>
  <c r="H7" i="4"/>
  <c r="F7" i="4"/>
  <c r="E7" i="4"/>
  <c r="D7" i="4"/>
  <c r="H6" i="4"/>
  <c r="F6" i="4"/>
  <c r="E6" i="4"/>
  <c r="H5" i="4"/>
  <c r="F5" i="4"/>
  <c r="E5" i="4"/>
  <c r="D5" i="4"/>
  <c r="D11" i="4" s="1"/>
  <c r="H4" i="4"/>
  <c r="F4" i="4"/>
  <c r="F11" i="4" s="1"/>
  <c r="E4" i="4"/>
  <c r="E11" i="4" s="1"/>
  <c r="E77" i="4" s="1"/>
  <c r="D4" i="4"/>
  <c r="A1" i="4"/>
  <c r="E81" i="3"/>
  <c r="H80" i="3"/>
  <c r="F80" i="3"/>
  <c r="E80" i="3"/>
  <c r="E81" i="26" s="1"/>
  <c r="D81" i="26"/>
  <c r="C80" i="3"/>
  <c r="C81" i="26" s="1"/>
  <c r="B80" i="3"/>
  <c r="B81" i="26" s="1"/>
  <c r="H79" i="3"/>
  <c r="F79" i="3"/>
  <c r="E79" i="3"/>
  <c r="E80" i="26" s="1"/>
  <c r="D80" i="26"/>
  <c r="C79" i="3"/>
  <c r="C80" i="26" s="1"/>
  <c r="B79" i="3"/>
  <c r="B80" i="26" s="1"/>
  <c r="H78" i="3"/>
  <c r="F78" i="3"/>
  <c r="E78" i="3"/>
  <c r="E79" i="26" s="1"/>
  <c r="D79" i="26"/>
  <c r="C78" i="3"/>
  <c r="C79" i="26" s="1"/>
  <c r="B78" i="3"/>
  <c r="B79" i="26" s="1"/>
  <c r="H77" i="3"/>
  <c r="F77" i="3"/>
  <c r="E77" i="3"/>
  <c r="E78" i="26" s="1"/>
  <c r="D78" i="26"/>
  <c r="C77" i="3"/>
  <c r="C78" i="26" s="1"/>
  <c r="B77" i="3"/>
  <c r="B78" i="26" s="1"/>
  <c r="H76" i="3"/>
  <c r="F76" i="3"/>
  <c r="E76" i="3"/>
  <c r="E77" i="26" s="1"/>
  <c r="D77" i="26"/>
  <c r="C76" i="3"/>
  <c r="C77" i="26" s="1"/>
  <c r="B76" i="3"/>
  <c r="B77" i="26" s="1"/>
  <c r="F75" i="3"/>
  <c r="E75" i="3"/>
  <c r="E76" i="26" s="1"/>
  <c r="D76" i="26"/>
  <c r="C75" i="3"/>
  <c r="C76" i="26" s="1"/>
  <c r="B75" i="3"/>
  <c r="B76" i="26" s="1"/>
  <c r="H74" i="3"/>
  <c r="F74" i="3"/>
  <c r="E74" i="3"/>
  <c r="E75" i="26" s="1"/>
  <c r="D75" i="26"/>
  <c r="C74" i="3"/>
  <c r="C75" i="26" s="1"/>
  <c r="B74" i="3"/>
  <c r="B75" i="26" s="1"/>
  <c r="H73" i="3"/>
  <c r="F73" i="3"/>
  <c r="E73" i="3"/>
  <c r="E74" i="26" s="1"/>
  <c r="D74" i="26"/>
  <c r="C73" i="3"/>
  <c r="C74" i="26" s="1"/>
  <c r="B73" i="3"/>
  <c r="B74" i="26" s="1"/>
  <c r="H72" i="3"/>
  <c r="F72" i="3"/>
  <c r="E72" i="3"/>
  <c r="E73" i="26" s="1"/>
  <c r="D73" i="26"/>
  <c r="C72" i="3"/>
  <c r="C73" i="26" s="1"/>
  <c r="B72" i="3"/>
  <c r="B73" i="26" s="1"/>
  <c r="H71" i="3"/>
  <c r="F71" i="3"/>
  <c r="E71" i="3"/>
  <c r="E72" i="26" s="1"/>
  <c r="D72" i="26"/>
  <c r="C71" i="3"/>
  <c r="C72" i="26" s="1"/>
  <c r="B71" i="3"/>
  <c r="B72" i="26" s="1"/>
  <c r="F70" i="3"/>
  <c r="E70" i="3"/>
  <c r="E71" i="26" s="1"/>
  <c r="D71" i="26"/>
  <c r="C70" i="3"/>
  <c r="C71" i="26" s="1"/>
  <c r="B70" i="3"/>
  <c r="B71" i="26" s="1"/>
  <c r="H69" i="3"/>
  <c r="F69" i="3"/>
  <c r="E69" i="3"/>
  <c r="E70" i="26" s="1"/>
  <c r="D70" i="26"/>
  <c r="C69" i="3"/>
  <c r="C70" i="26" s="1"/>
  <c r="B69" i="3"/>
  <c r="B70" i="26" s="1"/>
  <c r="H68" i="3"/>
  <c r="F68" i="3"/>
  <c r="E68" i="3"/>
  <c r="E69" i="26" s="1"/>
  <c r="D69" i="26"/>
  <c r="C68" i="3"/>
  <c r="C69" i="26" s="1"/>
  <c r="B68" i="3"/>
  <c r="B69" i="26" s="1"/>
  <c r="H67" i="3"/>
  <c r="F67" i="3"/>
  <c r="E67" i="3"/>
  <c r="E68" i="26" s="1"/>
  <c r="D68" i="26"/>
  <c r="C67" i="3"/>
  <c r="C68" i="26" s="1"/>
  <c r="B67" i="3"/>
  <c r="B68" i="26" s="1"/>
  <c r="H66" i="3"/>
  <c r="F66" i="3"/>
  <c r="E66" i="3"/>
  <c r="E67" i="26" s="1"/>
  <c r="D67" i="26"/>
  <c r="C66" i="3"/>
  <c r="C67" i="26" s="1"/>
  <c r="B66" i="3"/>
  <c r="B67" i="26" s="1"/>
  <c r="H65" i="3"/>
  <c r="F65" i="3"/>
  <c r="E65" i="3"/>
  <c r="E66" i="26" s="1"/>
  <c r="D66" i="26"/>
  <c r="C65" i="3"/>
  <c r="C66" i="26" s="1"/>
  <c r="B65" i="3"/>
  <c r="B66" i="26" s="1"/>
  <c r="H64" i="3"/>
  <c r="F64" i="3"/>
  <c r="E64" i="3"/>
  <c r="E65" i="26" s="1"/>
  <c r="D65" i="26"/>
  <c r="C64" i="3"/>
  <c r="C65" i="26" s="1"/>
  <c r="B64" i="3"/>
  <c r="B65" i="26" s="1"/>
  <c r="H63" i="3"/>
  <c r="F63" i="3"/>
  <c r="E63" i="3"/>
  <c r="E64" i="26" s="1"/>
  <c r="D64" i="26"/>
  <c r="C63" i="3"/>
  <c r="C64" i="26" s="1"/>
  <c r="B63" i="3"/>
  <c r="B64" i="26" s="1"/>
  <c r="H62" i="3"/>
  <c r="F62" i="3"/>
  <c r="E62" i="3"/>
  <c r="E63" i="26" s="1"/>
  <c r="D63" i="26"/>
  <c r="C62" i="3"/>
  <c r="C63" i="26" s="1"/>
  <c r="B62" i="3"/>
  <c r="B63" i="26" s="1"/>
  <c r="H61" i="3"/>
  <c r="F61" i="3"/>
  <c r="E61" i="3"/>
  <c r="E62" i="26" s="1"/>
  <c r="D62" i="26"/>
  <c r="C61" i="3"/>
  <c r="C62" i="26" s="1"/>
  <c r="B61" i="3"/>
  <c r="B62" i="26" s="1"/>
  <c r="H60" i="3"/>
  <c r="F60" i="3"/>
  <c r="E60" i="3"/>
  <c r="E61" i="26" s="1"/>
  <c r="D61" i="26"/>
  <c r="C60" i="3"/>
  <c r="C61" i="26" s="1"/>
  <c r="B60" i="3"/>
  <c r="B61" i="26" s="1"/>
  <c r="H59" i="3"/>
  <c r="F59" i="3"/>
  <c r="E59" i="3"/>
  <c r="E60" i="26" s="1"/>
  <c r="D60" i="26"/>
  <c r="C59" i="3"/>
  <c r="C60" i="26" s="1"/>
  <c r="B59" i="3"/>
  <c r="B60" i="26" s="1"/>
  <c r="H58" i="3"/>
  <c r="F58" i="3"/>
  <c r="E58" i="3"/>
  <c r="E59" i="26" s="1"/>
  <c r="D59" i="26"/>
  <c r="C58" i="3"/>
  <c r="C59" i="26" s="1"/>
  <c r="B58" i="3"/>
  <c r="B59" i="26" s="1"/>
  <c r="H57" i="3"/>
  <c r="F57" i="3"/>
  <c r="E57" i="3"/>
  <c r="E58" i="26" s="1"/>
  <c r="D58" i="26"/>
  <c r="C57" i="3"/>
  <c r="C58" i="26" s="1"/>
  <c r="B57" i="3"/>
  <c r="B58" i="26" s="1"/>
  <c r="H56" i="3"/>
  <c r="F56" i="3"/>
  <c r="E56" i="3"/>
  <c r="E57" i="26" s="1"/>
  <c r="D57" i="26"/>
  <c r="C56" i="3"/>
  <c r="C57" i="26" s="1"/>
  <c r="B56" i="3"/>
  <c r="B57" i="26" s="1"/>
  <c r="H55" i="3"/>
  <c r="F55" i="3"/>
  <c r="E55" i="3"/>
  <c r="E56" i="26" s="1"/>
  <c r="D56" i="26"/>
  <c r="C55" i="3"/>
  <c r="C56" i="26" s="1"/>
  <c r="B55" i="3"/>
  <c r="B56" i="26" s="1"/>
  <c r="H54" i="3"/>
  <c r="F54" i="3"/>
  <c r="E54" i="3"/>
  <c r="E55" i="26" s="1"/>
  <c r="D55" i="26"/>
  <c r="C54" i="3"/>
  <c r="C55" i="26" s="1"/>
  <c r="B54" i="3"/>
  <c r="B55" i="26" s="1"/>
  <c r="H53" i="3"/>
  <c r="F53" i="3"/>
  <c r="E53" i="3"/>
  <c r="E54" i="26" s="1"/>
  <c r="D54" i="26"/>
  <c r="C53" i="3"/>
  <c r="C54" i="26" s="1"/>
  <c r="B53" i="3"/>
  <c r="B54" i="26" s="1"/>
  <c r="H52" i="3"/>
  <c r="F52" i="3"/>
  <c r="E52" i="3"/>
  <c r="E53" i="26" s="1"/>
  <c r="D53" i="26"/>
  <c r="C52" i="3"/>
  <c r="C53" i="26" s="1"/>
  <c r="B52" i="3"/>
  <c r="B53" i="26" s="1"/>
  <c r="H51" i="3"/>
  <c r="F51" i="3"/>
  <c r="E51" i="3"/>
  <c r="E52" i="26" s="1"/>
  <c r="D52" i="26"/>
  <c r="C51" i="3"/>
  <c r="C52" i="26" s="1"/>
  <c r="B51" i="3"/>
  <c r="B52" i="26" s="1"/>
  <c r="H50" i="3"/>
  <c r="F50" i="3"/>
  <c r="E50" i="3"/>
  <c r="E51" i="26" s="1"/>
  <c r="D51" i="26"/>
  <c r="C50" i="3"/>
  <c r="C51" i="26" s="1"/>
  <c r="B50" i="3"/>
  <c r="B51" i="26" s="1"/>
  <c r="F49" i="3"/>
  <c r="E49" i="3"/>
  <c r="E50" i="26" s="1"/>
  <c r="D50" i="26"/>
  <c r="C49" i="3"/>
  <c r="C50" i="26" s="1"/>
  <c r="B49" i="3"/>
  <c r="B50" i="26" s="1"/>
  <c r="H48" i="3"/>
  <c r="F48" i="3"/>
  <c r="E48" i="3"/>
  <c r="E49" i="26" s="1"/>
  <c r="D49" i="26"/>
  <c r="C48" i="3"/>
  <c r="C49" i="26" s="1"/>
  <c r="B48" i="3"/>
  <c r="B49" i="26" s="1"/>
  <c r="H47" i="3"/>
  <c r="F47" i="3"/>
  <c r="E47" i="3"/>
  <c r="E48" i="26" s="1"/>
  <c r="D48" i="26"/>
  <c r="C47" i="3"/>
  <c r="C48" i="26" s="1"/>
  <c r="B47" i="3"/>
  <c r="B48" i="26" s="1"/>
  <c r="H46" i="3"/>
  <c r="F46" i="3"/>
  <c r="E46" i="3"/>
  <c r="E47" i="26" s="1"/>
  <c r="D47" i="26"/>
  <c r="C46" i="3"/>
  <c r="C47" i="26" s="1"/>
  <c r="B46" i="3"/>
  <c r="B47" i="26" s="1"/>
  <c r="F45" i="3"/>
  <c r="E45" i="3"/>
  <c r="E46" i="26" s="1"/>
  <c r="D46" i="26"/>
  <c r="C45" i="3"/>
  <c r="C46" i="26" s="1"/>
  <c r="B45" i="3"/>
  <c r="B46" i="26" s="1"/>
  <c r="F44" i="3"/>
  <c r="E44" i="3"/>
  <c r="E45" i="26" s="1"/>
  <c r="D45" i="26"/>
  <c r="C44" i="3"/>
  <c r="C45" i="26" s="1"/>
  <c r="B44" i="3"/>
  <c r="B45" i="26" s="1"/>
  <c r="F43" i="3"/>
  <c r="E43" i="3"/>
  <c r="E44" i="26" s="1"/>
  <c r="D44" i="26"/>
  <c r="C43" i="3"/>
  <c r="C44" i="26" s="1"/>
  <c r="B43" i="3"/>
  <c r="B44" i="26" s="1"/>
  <c r="F42" i="3"/>
  <c r="E42" i="3"/>
  <c r="E43" i="26" s="1"/>
  <c r="D43" i="26"/>
  <c r="C42" i="3"/>
  <c r="C43" i="26" s="1"/>
  <c r="B42" i="3"/>
  <c r="B43" i="26" s="1"/>
  <c r="H41" i="3"/>
  <c r="F41" i="3"/>
  <c r="E41" i="3"/>
  <c r="E42" i="26" s="1"/>
  <c r="D42" i="26"/>
  <c r="C41" i="3"/>
  <c r="C42" i="26" s="1"/>
  <c r="B41" i="3"/>
  <c r="B42" i="26" s="1"/>
  <c r="H40" i="3"/>
  <c r="F40" i="3"/>
  <c r="E40" i="3"/>
  <c r="E41" i="26" s="1"/>
  <c r="D41" i="26"/>
  <c r="C40" i="3"/>
  <c r="C41" i="26" s="1"/>
  <c r="B40" i="3"/>
  <c r="B41" i="26" s="1"/>
  <c r="H39" i="3"/>
  <c r="F39" i="3"/>
  <c r="E39" i="3"/>
  <c r="E40" i="26" s="1"/>
  <c r="D40" i="26"/>
  <c r="C39" i="3"/>
  <c r="C40" i="26" s="1"/>
  <c r="B39" i="3"/>
  <c r="B40" i="26" s="1"/>
  <c r="H38" i="3"/>
  <c r="F38" i="3"/>
  <c r="E38" i="3"/>
  <c r="E39" i="26" s="1"/>
  <c r="D39" i="26"/>
  <c r="C38" i="3"/>
  <c r="C39" i="26" s="1"/>
  <c r="B38" i="3"/>
  <c r="B39" i="26" s="1"/>
  <c r="H37" i="3"/>
  <c r="F37" i="3"/>
  <c r="E37" i="3"/>
  <c r="E38" i="26" s="1"/>
  <c r="D38" i="26"/>
  <c r="C37" i="3"/>
  <c r="C38" i="26" s="1"/>
  <c r="B37" i="3"/>
  <c r="B38" i="26" s="1"/>
  <c r="F36" i="3"/>
  <c r="E36" i="3"/>
  <c r="E37" i="26" s="1"/>
  <c r="D37" i="26"/>
  <c r="C36" i="3"/>
  <c r="C37" i="26" s="1"/>
  <c r="B36" i="3"/>
  <c r="B37" i="26" s="1"/>
  <c r="H35" i="3"/>
  <c r="F35" i="3"/>
  <c r="E35" i="3"/>
  <c r="E36" i="26" s="1"/>
  <c r="D36" i="26"/>
  <c r="C35" i="3"/>
  <c r="C36" i="26" s="1"/>
  <c r="B35" i="3"/>
  <c r="B36" i="26" s="1"/>
  <c r="F34" i="3"/>
  <c r="E34" i="3"/>
  <c r="E35" i="26" s="1"/>
  <c r="D35" i="26"/>
  <c r="C34" i="3"/>
  <c r="C35" i="26" s="1"/>
  <c r="B34" i="3"/>
  <c r="B35" i="26" s="1"/>
  <c r="F33" i="3"/>
  <c r="E33" i="3"/>
  <c r="E34" i="26" s="1"/>
  <c r="D34" i="26"/>
  <c r="C33" i="3"/>
  <c r="C34" i="26" s="1"/>
  <c r="B33" i="3"/>
  <c r="B34" i="26" s="1"/>
  <c r="H32" i="3"/>
  <c r="F32" i="3"/>
  <c r="E32" i="3"/>
  <c r="E33" i="26" s="1"/>
  <c r="D33" i="26"/>
  <c r="C32" i="3"/>
  <c r="C33" i="26" s="1"/>
  <c r="B32" i="3"/>
  <c r="B33" i="26" s="1"/>
  <c r="F31" i="3"/>
  <c r="E31" i="3"/>
  <c r="E32" i="26" s="1"/>
  <c r="D32" i="26"/>
  <c r="C31" i="3"/>
  <c r="C32" i="26" s="1"/>
  <c r="B31" i="3"/>
  <c r="B32" i="26" s="1"/>
  <c r="H30" i="3"/>
  <c r="F30" i="3"/>
  <c r="E30" i="3"/>
  <c r="E31" i="26" s="1"/>
  <c r="D31" i="26"/>
  <c r="C30" i="3"/>
  <c r="C31" i="26" s="1"/>
  <c r="B30" i="3"/>
  <c r="B31" i="26" s="1"/>
  <c r="H29" i="3"/>
  <c r="F29" i="3"/>
  <c r="E29" i="3"/>
  <c r="E30" i="26" s="1"/>
  <c r="D30" i="26"/>
  <c r="C29" i="3"/>
  <c r="C30" i="26" s="1"/>
  <c r="B29" i="3"/>
  <c r="B30" i="26" s="1"/>
  <c r="H28" i="3"/>
  <c r="F28" i="3"/>
  <c r="E28" i="3"/>
  <c r="E29" i="26" s="1"/>
  <c r="D29" i="26"/>
  <c r="C28" i="3"/>
  <c r="C29" i="26" s="1"/>
  <c r="B28" i="3"/>
  <c r="B29" i="26" s="1"/>
  <c r="H27" i="3"/>
  <c r="F27" i="3"/>
  <c r="E27" i="3"/>
  <c r="E28" i="26" s="1"/>
  <c r="D28" i="26"/>
  <c r="C27" i="3"/>
  <c r="C28" i="26" s="1"/>
  <c r="B27" i="3"/>
  <c r="B28" i="26" s="1"/>
  <c r="H26" i="3"/>
  <c r="F26" i="3"/>
  <c r="E26" i="3"/>
  <c r="E27" i="26" s="1"/>
  <c r="D27" i="26"/>
  <c r="C26" i="3"/>
  <c r="C27" i="26" s="1"/>
  <c r="B26" i="3"/>
  <c r="B27" i="26" s="1"/>
  <c r="H25" i="3"/>
  <c r="F25" i="3"/>
  <c r="E25" i="3"/>
  <c r="E26" i="26" s="1"/>
  <c r="D26" i="26"/>
  <c r="C25" i="3"/>
  <c r="C26" i="26" s="1"/>
  <c r="B25" i="3"/>
  <c r="B26" i="26" s="1"/>
  <c r="H24" i="3"/>
  <c r="F24" i="3"/>
  <c r="E24" i="3"/>
  <c r="E25" i="26" s="1"/>
  <c r="D25" i="26"/>
  <c r="C24" i="3"/>
  <c r="C25" i="26" s="1"/>
  <c r="B24" i="3"/>
  <c r="B25" i="26" s="1"/>
  <c r="H23" i="3"/>
  <c r="F23" i="3"/>
  <c r="E23" i="3"/>
  <c r="E24" i="26" s="1"/>
  <c r="D24" i="26"/>
  <c r="C23" i="3"/>
  <c r="C24" i="26" s="1"/>
  <c r="B23" i="3"/>
  <c r="B24" i="26" s="1"/>
  <c r="H22" i="3"/>
  <c r="F22" i="3"/>
  <c r="E22" i="3"/>
  <c r="E23" i="26" s="1"/>
  <c r="D23" i="26"/>
  <c r="C22" i="3"/>
  <c r="C23" i="26" s="1"/>
  <c r="B22" i="3"/>
  <c r="B23" i="26" s="1"/>
  <c r="H21" i="3"/>
  <c r="F21" i="3"/>
  <c r="E21" i="3"/>
  <c r="E22" i="26" s="1"/>
  <c r="D22" i="26"/>
  <c r="C21" i="3"/>
  <c r="C22" i="26" s="1"/>
  <c r="B21" i="3"/>
  <c r="B22" i="26" s="1"/>
  <c r="H20" i="3"/>
  <c r="F20" i="3"/>
  <c r="E20" i="3"/>
  <c r="E21" i="26" s="1"/>
  <c r="D21" i="26"/>
  <c r="C20" i="3"/>
  <c r="C21" i="26" s="1"/>
  <c r="B20" i="3"/>
  <c r="B21" i="26" s="1"/>
  <c r="F19" i="3"/>
  <c r="E19" i="3"/>
  <c r="E20" i="26" s="1"/>
  <c r="D20" i="26"/>
  <c r="C19" i="3"/>
  <c r="C20" i="26" s="1"/>
  <c r="B19" i="3"/>
  <c r="B20" i="26" s="1"/>
  <c r="F18" i="3"/>
  <c r="E18" i="3"/>
  <c r="E19" i="26" s="1"/>
  <c r="D19" i="26"/>
  <c r="C18" i="3"/>
  <c r="C19" i="26" s="1"/>
  <c r="B18" i="3"/>
  <c r="B19" i="26" s="1"/>
  <c r="F17" i="3"/>
  <c r="E17" i="3"/>
  <c r="E18" i="26" s="1"/>
  <c r="D18" i="26"/>
  <c r="C17" i="3"/>
  <c r="C18" i="26" s="1"/>
  <c r="B17" i="3"/>
  <c r="B18" i="26" s="1"/>
  <c r="F16" i="3"/>
  <c r="E16" i="3"/>
  <c r="E17" i="26" s="1"/>
  <c r="D17" i="26"/>
  <c r="C16" i="3"/>
  <c r="C17" i="26" s="1"/>
  <c r="B16" i="3"/>
  <c r="B17" i="26" s="1"/>
  <c r="F15" i="3"/>
  <c r="E15" i="3"/>
  <c r="E16" i="26" s="1"/>
  <c r="D16" i="26"/>
  <c r="C15" i="3"/>
  <c r="C16" i="26" s="1"/>
  <c r="B15" i="3"/>
  <c r="B16" i="26" s="1"/>
  <c r="F14" i="3"/>
  <c r="E14" i="3"/>
  <c r="E15" i="26" s="1"/>
  <c r="D15" i="26"/>
  <c r="C14" i="3"/>
  <c r="C15" i="26" s="1"/>
  <c r="B14" i="3"/>
  <c r="B15" i="26" s="1"/>
  <c r="F13" i="3"/>
  <c r="E13" i="3"/>
  <c r="E14" i="26" s="1"/>
  <c r="D14" i="26"/>
  <c r="C13" i="3"/>
  <c r="C14" i="26" s="1"/>
  <c r="B13" i="3"/>
  <c r="B14" i="26" s="1"/>
  <c r="F12" i="3"/>
  <c r="E12" i="3"/>
  <c r="E13" i="26" s="1"/>
  <c r="D13" i="26"/>
  <c r="C12" i="3"/>
  <c r="C13" i="26" s="1"/>
  <c r="B12" i="3"/>
  <c r="B13" i="26" s="1"/>
  <c r="F11" i="3"/>
  <c r="E11" i="3"/>
  <c r="E12" i="26" s="1"/>
  <c r="D12" i="26"/>
  <c r="C11" i="3"/>
  <c r="C12" i="26" s="1"/>
  <c r="B11" i="3"/>
  <c r="B12" i="26" s="1"/>
  <c r="F10" i="3"/>
  <c r="E10" i="3"/>
  <c r="E11" i="26" s="1"/>
  <c r="D11" i="26"/>
  <c r="C10" i="3"/>
  <c r="C11" i="26" s="1"/>
  <c r="B10" i="3"/>
  <c r="B11" i="26" s="1"/>
  <c r="F9" i="3"/>
  <c r="E9" i="3"/>
  <c r="E10" i="26" s="1"/>
  <c r="D10" i="26"/>
  <c r="C9" i="3"/>
  <c r="C10" i="26" s="1"/>
  <c r="B9" i="3"/>
  <c r="B10" i="26" s="1"/>
  <c r="F8" i="3"/>
  <c r="E8" i="3"/>
  <c r="E9" i="26" s="1"/>
  <c r="D9" i="26"/>
  <c r="C8" i="3"/>
  <c r="C9" i="26" s="1"/>
  <c r="B8" i="3"/>
  <c r="B9" i="26" s="1"/>
  <c r="F7" i="3"/>
  <c r="E7" i="3"/>
  <c r="E8" i="26" s="1"/>
  <c r="D8" i="26"/>
  <c r="C7" i="3"/>
  <c r="C8" i="26" s="1"/>
  <c r="B7" i="3"/>
  <c r="B8" i="26" s="1"/>
  <c r="H6" i="3"/>
  <c r="F6" i="3"/>
  <c r="E6" i="3"/>
  <c r="E7" i="26" s="1"/>
  <c r="D7" i="26"/>
  <c r="C6" i="3"/>
  <c r="C7" i="26" s="1"/>
  <c r="B6" i="3"/>
  <c r="B7" i="26" s="1"/>
  <c r="F5" i="3"/>
  <c r="E5" i="3"/>
  <c r="E6" i="26" s="1"/>
  <c r="D6" i="26"/>
  <c r="C5" i="3"/>
  <c r="C6" i="26" s="1"/>
  <c r="B5" i="3"/>
  <c r="B6" i="26" s="1"/>
  <c r="H4" i="3"/>
  <c r="F4" i="3"/>
  <c r="F81" i="3" s="1"/>
  <c r="E4" i="3"/>
  <c r="E5" i="26" s="1"/>
  <c r="D5" i="26"/>
  <c r="C4" i="3"/>
  <c r="C5" i="26" s="1"/>
  <c r="B4" i="3"/>
  <c r="B5" i="26" s="1"/>
  <c r="A1" i="3"/>
  <c r="D26" i="1"/>
  <c r="B26" i="1"/>
  <c r="H25" i="1"/>
  <c r="F25" i="1"/>
  <c r="D25" i="1"/>
  <c r="B25" i="1"/>
  <c r="H24" i="1"/>
  <c r="F24" i="1"/>
  <c r="D24" i="1"/>
  <c r="B24" i="1"/>
  <c r="H23" i="1"/>
  <c r="F23" i="1"/>
  <c r="D23" i="1"/>
  <c r="B23" i="1"/>
  <c r="H22" i="1"/>
  <c r="F22" i="1"/>
  <c r="D22" i="1"/>
  <c r="B22" i="1"/>
  <c r="H21" i="1"/>
  <c r="F21" i="1"/>
  <c r="D21" i="1"/>
  <c r="B21" i="1"/>
  <c r="H20" i="1"/>
  <c r="F20" i="1"/>
  <c r="D20" i="1"/>
  <c r="B20" i="1"/>
  <c r="B17" i="1"/>
  <c r="F15" i="1"/>
  <c r="D15" i="1"/>
  <c r="H13" i="1"/>
  <c r="L10" i="1"/>
  <c r="D9" i="1"/>
  <c r="L8" i="1"/>
  <c r="L7" i="1"/>
  <c r="P13" i="21" l="1"/>
  <c r="AO39" i="6"/>
  <c r="L9" i="20"/>
  <c r="M7" i="20"/>
  <c r="I47" i="4"/>
  <c r="D50" i="4"/>
  <c r="AO40" i="6"/>
  <c r="AO7" i="6"/>
  <c r="AQ7" i="6" s="1"/>
  <c r="AS7" i="6" s="1"/>
  <c r="AU7" i="6" s="1"/>
  <c r="AO22" i="6"/>
  <c r="AQ22" i="6" s="1"/>
  <c r="AS22" i="6" s="1"/>
  <c r="AU22" i="6" s="1"/>
  <c r="AW22" i="6" s="1"/>
  <c r="AY22" i="6" s="1"/>
  <c r="BE22" i="7" s="1"/>
  <c r="BG22" i="7" s="1"/>
  <c r="BI22" i="7" s="1"/>
  <c r="BK22" i="7" s="1"/>
  <c r="BM22" i="7" s="1"/>
  <c r="BO22" i="7" s="1"/>
  <c r="BQ22" i="7" s="1"/>
  <c r="BS22" i="7" s="1"/>
  <c r="BU22" i="7" s="1"/>
  <c r="BW22" i="7" s="1"/>
  <c r="BY22" i="7" s="1"/>
  <c r="CA22" i="7" s="1"/>
  <c r="CC22" i="7" s="1"/>
  <c r="BE22" i="8" s="1"/>
  <c r="BG22" i="8" s="1"/>
  <c r="BI22" i="8" s="1"/>
  <c r="BK22" i="8" s="1"/>
  <c r="BM22" i="8" s="1"/>
  <c r="BO22" i="8" s="1"/>
  <c r="BQ22" i="8" s="1"/>
  <c r="BS22" i="8" s="1"/>
  <c r="BU22" i="8" s="1"/>
  <c r="BW22" i="8" s="1"/>
  <c r="BY22" i="8" s="1"/>
  <c r="CA22" i="8" s="1"/>
  <c r="CC22" i="8" s="1"/>
  <c r="BE22" i="9" s="1"/>
  <c r="AO31" i="6"/>
  <c r="AQ31" i="6" s="1"/>
  <c r="AS31" i="6" s="1"/>
  <c r="AU31" i="6" s="1"/>
  <c r="AW31" i="6" s="1"/>
  <c r="AY31" i="6" s="1"/>
  <c r="BE31" i="7" s="1"/>
  <c r="AQ10" i="6"/>
  <c r="AS10" i="6" s="1"/>
  <c r="AU10" i="6" s="1"/>
  <c r="AW10" i="6" s="1"/>
  <c r="AY10" i="6" s="1"/>
  <c r="BE10" i="7" s="1"/>
  <c r="BG10" i="7" s="1"/>
  <c r="BI10" i="7" s="1"/>
  <c r="BK10" i="7" s="1"/>
  <c r="BM10" i="7" s="1"/>
  <c r="BO10" i="7" s="1"/>
  <c r="BQ10" i="7" s="1"/>
  <c r="BS10" i="7" s="1"/>
  <c r="BU10" i="7" s="1"/>
  <c r="BW10" i="7" s="1"/>
  <c r="BY10" i="7" s="1"/>
  <c r="CA10" i="7" s="1"/>
  <c r="CC10" i="7" s="1"/>
  <c r="BE10" i="8" s="1"/>
  <c r="AQ14" i="6"/>
  <c r="AS14" i="6" s="1"/>
  <c r="AU14" i="6" s="1"/>
  <c r="AW14" i="6" s="1"/>
  <c r="AY14" i="6" s="1"/>
  <c r="BE14" i="7" s="1"/>
  <c r="BG14" i="7" s="1"/>
  <c r="BI14" i="7" s="1"/>
  <c r="BK14" i="7" s="1"/>
  <c r="BM14" i="7" s="1"/>
  <c r="BO14" i="7" s="1"/>
  <c r="BQ14" i="7" s="1"/>
  <c r="BS14" i="7" s="1"/>
  <c r="BU14" i="7" s="1"/>
  <c r="BW14" i="7" s="1"/>
  <c r="BY14" i="7" s="1"/>
  <c r="CA14" i="7" s="1"/>
  <c r="CC14" i="7" s="1"/>
  <c r="BE14" i="8" s="1"/>
  <c r="AQ18" i="6"/>
  <c r="AS18" i="6" s="1"/>
  <c r="AU18" i="6" s="1"/>
  <c r="AW18" i="6" s="1"/>
  <c r="AY18" i="6" s="1"/>
  <c r="BE18" i="7" s="1"/>
  <c r="BG18" i="7" s="1"/>
  <c r="BI18" i="7" s="1"/>
  <c r="BK18" i="7" s="1"/>
  <c r="BM18" i="7" s="1"/>
  <c r="BO18" i="7" s="1"/>
  <c r="BQ18" i="7" s="1"/>
  <c r="BS18" i="7" s="1"/>
  <c r="BU18" i="7" s="1"/>
  <c r="BW18" i="7" s="1"/>
  <c r="BY18" i="7" s="1"/>
  <c r="CA18" i="7" s="1"/>
  <c r="CC18" i="7" s="1"/>
  <c r="BE18" i="8" s="1"/>
  <c r="AO26" i="6"/>
  <c r="AQ26" i="6" s="1"/>
  <c r="AS26" i="6" s="1"/>
  <c r="AT26" i="6" s="1"/>
  <c r="AU26" i="6" s="1"/>
  <c r="AQ40" i="6"/>
  <c r="AS40" i="6" s="1"/>
  <c r="AU40" i="6" s="1"/>
  <c r="AW40" i="6" s="1"/>
  <c r="AY40" i="6" s="1"/>
  <c r="BE40" i="7" s="1"/>
  <c r="BG40" i="7" s="1"/>
  <c r="BI40" i="7" s="1"/>
  <c r="BK40" i="7" s="1"/>
  <c r="BM40" i="7" s="1"/>
  <c r="BO40" i="7" s="1"/>
  <c r="BQ40" i="7" s="1"/>
  <c r="BS40" i="7" s="1"/>
  <c r="BU40" i="7" s="1"/>
  <c r="BW40" i="7" s="1"/>
  <c r="BY40" i="7" s="1"/>
  <c r="CA40" i="7" s="1"/>
  <c r="CC40" i="7" s="1"/>
  <c r="BE40" i="8" s="1"/>
  <c r="BG40" i="8" s="1"/>
  <c r="BI40" i="8" s="1"/>
  <c r="BK40" i="8" s="1"/>
  <c r="BM40" i="8" s="1"/>
  <c r="BO40" i="8" s="1"/>
  <c r="BQ40" i="8" s="1"/>
  <c r="BS40" i="8" s="1"/>
  <c r="BU40" i="8" s="1"/>
  <c r="AO68" i="6"/>
  <c r="AQ68" i="6" s="1"/>
  <c r="AS68" i="6" s="1"/>
  <c r="AU68" i="6" s="1"/>
  <c r="AW68" i="6" s="1"/>
  <c r="AY68" i="6" s="1"/>
  <c r="BE68" i="7" s="1"/>
  <c r="BG68" i="7" s="1"/>
  <c r="BI68" i="7" s="1"/>
  <c r="BK68" i="7" s="1"/>
  <c r="BM68" i="7" s="1"/>
  <c r="BO68" i="7" s="1"/>
  <c r="BQ68" i="7" s="1"/>
  <c r="BS68" i="7" s="1"/>
  <c r="BU68" i="7" s="1"/>
  <c r="AO73" i="6"/>
  <c r="AQ73" i="6" s="1"/>
  <c r="AR73" i="6" s="1"/>
  <c r="AS73" i="6" s="1"/>
  <c r="AU73" i="6" s="1"/>
  <c r="AW73" i="6" s="1"/>
  <c r="AY73" i="6" s="1"/>
  <c r="BE73" i="7" s="1"/>
  <c r="BG73" i="7" s="1"/>
  <c r="BI73" i="7" s="1"/>
  <c r="BK73" i="7" s="1"/>
  <c r="BM73" i="7" s="1"/>
  <c r="BO73" i="7" s="1"/>
  <c r="BQ73" i="7" s="1"/>
  <c r="BS73" i="7" s="1"/>
  <c r="BU73" i="7" s="1"/>
  <c r="BW73" i="7" s="1"/>
  <c r="BY73" i="7" s="1"/>
  <c r="CA73" i="7" s="1"/>
  <c r="CC73" i="7" s="1"/>
  <c r="BE73" i="8" s="1"/>
  <c r="BG73" i="8" s="1"/>
  <c r="BI73" i="8" s="1"/>
  <c r="BK73" i="8" s="1"/>
  <c r="BM73" i="8" s="1"/>
  <c r="BO73" i="8" s="1"/>
  <c r="BQ73" i="8" s="1"/>
  <c r="BS73" i="8" s="1"/>
  <c r="BU73" i="8" s="1"/>
  <c r="BW73" i="8" s="1"/>
  <c r="BY73" i="8" s="1"/>
  <c r="CA73" i="8" s="1"/>
  <c r="CC73" i="8" s="1"/>
  <c r="BE73" i="9" s="1"/>
  <c r="BG73" i="9" s="1"/>
  <c r="BI73" i="9" s="1"/>
  <c r="BK73" i="9" s="1"/>
  <c r="BM73" i="9" s="1"/>
  <c r="BO73" i="9" s="1"/>
  <c r="BQ73" i="9" s="1"/>
  <c r="BS73" i="9" s="1"/>
  <c r="BU73" i="9" s="1"/>
  <c r="BW73" i="9" s="1"/>
  <c r="BY73" i="9" s="1"/>
  <c r="AO69" i="6"/>
  <c r="AQ69" i="6" s="1"/>
  <c r="AS69" i="6" s="1"/>
  <c r="AU69" i="6" s="1"/>
  <c r="AW69" i="6" s="1"/>
  <c r="AY69" i="6" s="1"/>
  <c r="BE69" i="7" s="1"/>
  <c r="BG69" i="7" s="1"/>
  <c r="BI69" i="7" s="1"/>
  <c r="BK69" i="7" s="1"/>
  <c r="BM69" i="7" s="1"/>
  <c r="BO69" i="7" s="1"/>
  <c r="BQ69" i="7" s="1"/>
  <c r="BS69" i="7" s="1"/>
  <c r="BU69" i="7" s="1"/>
  <c r="AO72" i="6"/>
  <c r="AQ72" i="6" s="1"/>
  <c r="AS72" i="6" s="1"/>
  <c r="AU72" i="6" s="1"/>
  <c r="AW72" i="6" s="1"/>
  <c r="AY72" i="6" s="1"/>
  <c r="BE72" i="7" s="1"/>
  <c r="BG72" i="7" s="1"/>
  <c r="BI72" i="7" s="1"/>
  <c r="BK72" i="7" s="1"/>
  <c r="BM72" i="7" s="1"/>
  <c r="BO72" i="7" s="1"/>
  <c r="BQ72" i="7" s="1"/>
  <c r="BS72" i="7" s="1"/>
  <c r="BU72" i="7" s="1"/>
  <c r="BW72" i="7" s="1"/>
  <c r="BY72" i="7" s="1"/>
  <c r="CA72" i="7" s="1"/>
  <c r="CC72" i="7" s="1"/>
  <c r="BE72" i="8" s="1"/>
  <c r="BG72" i="8" s="1"/>
  <c r="BI72" i="8" s="1"/>
  <c r="BK72" i="8" s="1"/>
  <c r="BM72" i="8" s="1"/>
  <c r="BO72" i="8" s="1"/>
  <c r="BQ72" i="8" s="1"/>
  <c r="BS72" i="8" s="1"/>
  <c r="BU72" i="8" s="1"/>
  <c r="BW72" i="8" s="1"/>
  <c r="BY72" i="8" s="1"/>
  <c r="CA72" i="8" s="1"/>
  <c r="CC72" i="8" s="1"/>
  <c r="BE72" i="9" s="1"/>
  <c r="BG72" i="9" s="1"/>
  <c r="BI72" i="9" s="1"/>
  <c r="BK72" i="9" s="1"/>
  <c r="BM72" i="9" s="1"/>
  <c r="BO72" i="9" s="1"/>
  <c r="BQ72" i="9" s="1"/>
  <c r="BS72" i="9" s="1"/>
  <c r="BU72" i="9" s="1"/>
  <c r="BW72" i="9" s="1"/>
  <c r="BY72" i="9" s="1"/>
  <c r="AQ30" i="6"/>
  <c r="AQ32" i="6"/>
  <c r="AQ37" i="6"/>
  <c r="AO28" i="6"/>
  <c r="AQ28" i="6" s="1"/>
  <c r="AS28" i="6" s="1"/>
  <c r="AU28" i="6" s="1"/>
  <c r="AW28" i="6" s="1"/>
  <c r="AY28" i="6" s="1"/>
  <c r="BE28" i="7" s="1"/>
  <c r="BG28" i="7" s="1"/>
  <c r="BI28" i="7" s="1"/>
  <c r="BK28" i="7" s="1"/>
  <c r="BM28" i="7" s="1"/>
  <c r="BO28" i="7" s="1"/>
  <c r="BQ28" i="7" s="1"/>
  <c r="BS28" i="7" s="1"/>
  <c r="AQ29" i="6"/>
  <c r="AS29" i="6" s="1"/>
  <c r="AU29" i="6" s="1"/>
  <c r="AW29" i="6" s="1"/>
  <c r="AY29" i="6" s="1"/>
  <c r="BE29" i="7" s="1"/>
  <c r="BG29" i="7" s="1"/>
  <c r="BI29" i="7" s="1"/>
  <c r="BK29" i="7" s="1"/>
  <c r="BM29" i="7" s="1"/>
  <c r="BO29" i="7" s="1"/>
  <c r="BQ29" i="7" s="1"/>
  <c r="BS29" i="7" s="1"/>
  <c r="BU29" i="7" s="1"/>
  <c r="BW29" i="7" s="1"/>
  <c r="BY29" i="7" s="1"/>
  <c r="CA29" i="7" s="1"/>
  <c r="CC29" i="7" s="1"/>
  <c r="BE29" i="8" s="1"/>
  <c r="BG29" i="8" s="1"/>
  <c r="BI29" i="8" s="1"/>
  <c r="BK29" i="8" s="1"/>
  <c r="BM29" i="8" s="1"/>
  <c r="BO29" i="8" s="1"/>
  <c r="BQ29" i="8" s="1"/>
  <c r="BS29" i="8" s="1"/>
  <c r="BU29" i="8" s="1"/>
  <c r="BW29" i="8" s="1"/>
  <c r="BY29" i="8" s="1"/>
  <c r="CA29" i="8" s="1"/>
  <c r="CC29" i="8" s="1"/>
  <c r="BE29" i="9" s="1"/>
  <c r="BG29" i="9" s="1"/>
  <c r="BI29" i="9" s="1"/>
  <c r="BK29" i="9" s="1"/>
  <c r="BM29" i="9" s="1"/>
  <c r="AO36" i="6"/>
  <c r="AQ36" i="6" s="1"/>
  <c r="AR36" i="6" s="1"/>
  <c r="AS36" i="6" s="1"/>
  <c r="AU36" i="6" s="1"/>
  <c r="AW36" i="6" s="1"/>
  <c r="AO66" i="6"/>
  <c r="AQ66" i="6" s="1"/>
  <c r="AR66" i="6" s="1"/>
  <c r="AS66" i="6" s="1"/>
  <c r="AU66" i="6" s="1"/>
  <c r="AW66" i="6" s="1"/>
  <c r="AY66" i="6" s="1"/>
  <c r="BE66" i="7" s="1"/>
  <c r="BG66" i="7" s="1"/>
  <c r="BI66" i="7" s="1"/>
  <c r="BK66" i="7" s="1"/>
  <c r="BM66" i="7" s="1"/>
  <c r="BO66" i="7" s="1"/>
  <c r="BQ66" i="7" s="1"/>
  <c r="BS66" i="7" s="1"/>
  <c r="BU66" i="7" s="1"/>
  <c r="BW66" i="7" s="1"/>
  <c r="BY66" i="7" s="1"/>
  <c r="CA66" i="7" s="1"/>
  <c r="CC66" i="7" s="1"/>
  <c r="BE66" i="8" s="1"/>
  <c r="BG66" i="8" s="1"/>
  <c r="BI66" i="8" s="1"/>
  <c r="BK66" i="8" s="1"/>
  <c r="BM66" i="8" s="1"/>
  <c r="BO66" i="8" s="1"/>
  <c r="BQ66" i="8" s="1"/>
  <c r="BS66" i="8" s="1"/>
  <c r="BU66" i="8" s="1"/>
  <c r="BW66" i="8" s="1"/>
  <c r="BY66" i="8" s="1"/>
  <c r="CA66" i="8" s="1"/>
  <c r="CC66" i="8" s="1"/>
  <c r="BE66" i="9" s="1"/>
  <c r="BG66" i="9" s="1"/>
  <c r="BI66" i="9" s="1"/>
  <c r="BK66" i="9" s="1"/>
  <c r="BM66" i="9" s="1"/>
  <c r="BO66" i="9" s="1"/>
  <c r="BQ66" i="9" s="1"/>
  <c r="BS66" i="9" s="1"/>
  <c r="BU66" i="9" s="1"/>
  <c r="AO67" i="6"/>
  <c r="AQ67" i="6" s="1"/>
  <c r="AS67" i="6" s="1"/>
  <c r="AU67" i="6" s="1"/>
  <c r="AW67" i="6" s="1"/>
  <c r="AY67" i="6" s="1"/>
  <c r="BE67" i="7" s="1"/>
  <c r="BG67" i="7" s="1"/>
  <c r="BI67" i="7" s="1"/>
  <c r="BK67" i="7" s="1"/>
  <c r="BM67" i="7" s="1"/>
  <c r="BO67" i="7" s="1"/>
  <c r="BQ67" i="7" s="1"/>
  <c r="BS67" i="7" s="1"/>
  <c r="BU67" i="7" s="1"/>
  <c r="AQ5" i="6"/>
  <c r="AS5" i="6" s="1"/>
  <c r="AU5" i="6" s="1"/>
  <c r="AW5" i="6" s="1"/>
  <c r="AQ13" i="6"/>
  <c r="AS13" i="6" s="1"/>
  <c r="AU13" i="6" s="1"/>
  <c r="AW13" i="6" s="1"/>
  <c r="AY13" i="6" s="1"/>
  <c r="BE13" i="7" s="1"/>
  <c r="BG13" i="7" s="1"/>
  <c r="BI13" i="7" s="1"/>
  <c r="BK13" i="7" s="1"/>
  <c r="BM13" i="7" s="1"/>
  <c r="BO13" i="7" s="1"/>
  <c r="BQ13" i="7" s="1"/>
  <c r="BS13" i="7" s="1"/>
  <c r="AQ17" i="6"/>
  <c r="AS17" i="6" s="1"/>
  <c r="AU17" i="6" s="1"/>
  <c r="AW17" i="6" s="1"/>
  <c r="AY17" i="6" s="1"/>
  <c r="BE17" i="7" s="1"/>
  <c r="BG17" i="7" s="1"/>
  <c r="BI17" i="7" s="1"/>
  <c r="BK17" i="7" s="1"/>
  <c r="BM17" i="7" s="1"/>
  <c r="BO17" i="7" s="1"/>
  <c r="BQ17" i="7" s="1"/>
  <c r="BS17" i="7" s="1"/>
  <c r="BU17" i="7" s="1"/>
  <c r="BW17" i="7" s="1"/>
  <c r="BY17" i="7" s="1"/>
  <c r="CA17" i="7" s="1"/>
  <c r="CC17" i="7" s="1"/>
  <c r="BE17" i="8" s="1"/>
  <c r="BG17" i="8" s="1"/>
  <c r="BI17" i="8" s="1"/>
  <c r="BK17" i="8" s="1"/>
  <c r="BM17" i="8" s="1"/>
  <c r="BO17" i="8" s="1"/>
  <c r="BQ17" i="8" s="1"/>
  <c r="BS17" i="8" s="1"/>
  <c r="BU17" i="8" s="1"/>
  <c r="BW17" i="8" s="1"/>
  <c r="BY17" i="8" s="1"/>
  <c r="CA17" i="8" s="1"/>
  <c r="CC17" i="8" s="1"/>
  <c r="BE17" i="9" s="1"/>
  <c r="BG17" i="9" s="1"/>
  <c r="BI17" i="9" s="1"/>
  <c r="BK17" i="9" s="1"/>
  <c r="BM17" i="9" s="1"/>
  <c r="BO17" i="9" s="1"/>
  <c r="BQ17" i="9" s="1"/>
  <c r="BS17" i="9" s="1"/>
  <c r="BU17" i="9" s="1"/>
  <c r="BW17" i="9" s="1"/>
  <c r="BY17" i="9" s="1"/>
  <c r="AO49" i="6"/>
  <c r="AQ49" i="6" s="1"/>
  <c r="AS49" i="6" s="1"/>
  <c r="AT49" i="6" s="1"/>
  <c r="AU49" i="6" s="1"/>
  <c r="AO71" i="6"/>
  <c r="AQ71" i="6" s="1"/>
  <c r="AS71" i="6" s="1"/>
  <c r="AU71" i="6" s="1"/>
  <c r="AW71" i="6" s="1"/>
  <c r="AY71" i="6" s="1"/>
  <c r="BE71" i="7" s="1"/>
  <c r="AO9" i="6"/>
  <c r="AQ9" i="6" s="1"/>
  <c r="AS9" i="6" s="1"/>
  <c r="AT9" i="6" s="1"/>
  <c r="AO27" i="6"/>
  <c r="AQ27" i="6" s="1"/>
  <c r="AS27" i="6" s="1"/>
  <c r="AU27" i="6" s="1"/>
  <c r="AW27" i="6" s="1"/>
  <c r="AX27" i="6" s="1"/>
  <c r="AO38" i="6"/>
  <c r="AQ38" i="6" s="1"/>
  <c r="AS38" i="6" s="1"/>
  <c r="AU38" i="6" s="1"/>
  <c r="AW38" i="6" s="1"/>
  <c r="AY38" i="6" s="1"/>
  <c r="BE38" i="7" s="1"/>
  <c r="BG38" i="7" s="1"/>
  <c r="BI38" i="7" s="1"/>
  <c r="BK38" i="7" s="1"/>
  <c r="BM38" i="7" s="1"/>
  <c r="BO38" i="7" s="1"/>
  <c r="BQ38" i="7" s="1"/>
  <c r="BS38" i="7" s="1"/>
  <c r="BU38" i="7" s="1"/>
  <c r="BW38" i="7" s="1"/>
  <c r="BY38" i="7" s="1"/>
  <c r="CA38" i="7" s="1"/>
  <c r="CC38" i="7" s="1"/>
  <c r="BE38" i="8" s="1"/>
  <c r="BG38" i="8" s="1"/>
  <c r="BI38" i="8" s="1"/>
  <c r="BK38" i="8" s="1"/>
  <c r="BM38" i="8" s="1"/>
  <c r="BO38" i="8" s="1"/>
  <c r="BQ38" i="8" s="1"/>
  <c r="BS38" i="8" s="1"/>
  <c r="BU38" i="8" s="1"/>
  <c r="BW38" i="8" s="1"/>
  <c r="BY38" i="8" s="1"/>
  <c r="CA38" i="8" s="1"/>
  <c r="CC38" i="8" s="1"/>
  <c r="BE38" i="9" s="1"/>
  <c r="BG38" i="9" s="1"/>
  <c r="AQ39" i="6"/>
  <c r="AQ41" i="6"/>
  <c r="AS41" i="6" s="1"/>
  <c r="AU41" i="6" s="1"/>
  <c r="AW41" i="6" s="1"/>
  <c r="AY41" i="6" s="1"/>
  <c r="BE41" i="7" s="1"/>
  <c r="BG41" i="7" s="1"/>
  <c r="BI41" i="7" s="1"/>
  <c r="BK41" i="7" s="1"/>
  <c r="BM41" i="7" s="1"/>
  <c r="BO41" i="7" s="1"/>
  <c r="BQ41" i="7" s="1"/>
  <c r="BS41" i="7" s="1"/>
  <c r="BU41" i="7" s="1"/>
  <c r="BW41" i="7" s="1"/>
  <c r="BY41" i="7" s="1"/>
  <c r="CA41" i="7" s="1"/>
  <c r="CC41" i="7" s="1"/>
  <c r="BE41" i="8" s="1"/>
  <c r="BG41" i="8" s="1"/>
  <c r="BI41" i="8" s="1"/>
  <c r="BK41" i="8" s="1"/>
  <c r="BM41" i="8" s="1"/>
  <c r="BO41" i="8" s="1"/>
  <c r="BQ41" i="8" s="1"/>
  <c r="BS41" i="8" s="1"/>
  <c r="BU41" i="8" s="1"/>
  <c r="BW41" i="8" s="1"/>
  <c r="BY41" i="8" s="1"/>
  <c r="CA41" i="8" s="1"/>
  <c r="CC41" i="8" s="1"/>
  <c r="BE41" i="9" s="1"/>
  <c r="BG41" i="9" s="1"/>
  <c r="BI41" i="9" s="1"/>
  <c r="BK41" i="9" s="1"/>
  <c r="BM41" i="9" s="1"/>
  <c r="BO41" i="9" s="1"/>
  <c r="BQ41" i="9" s="1"/>
  <c r="BS41" i="9" s="1"/>
  <c r="BU41" i="9" s="1"/>
  <c r="BW41" i="9" s="1"/>
  <c r="BY41" i="9" s="1"/>
  <c r="AO70" i="6"/>
  <c r="AQ70" i="6" s="1"/>
  <c r="AS70" i="6" s="1"/>
  <c r="AU70" i="6" s="1"/>
  <c r="AW70" i="6" s="1"/>
  <c r="AY70" i="6" s="1"/>
  <c r="BE70" i="7" s="1"/>
  <c r="AN80" i="6"/>
  <c r="AO80" i="6" s="1"/>
  <c r="AP80" i="6" s="1"/>
  <c r="AQ12" i="6"/>
  <c r="AS12" i="6" s="1"/>
  <c r="AU12" i="6" s="1"/>
  <c r="AW12" i="6" s="1"/>
  <c r="AY12" i="6" s="1"/>
  <c r="BE12" i="7" s="1"/>
  <c r="BG12" i="7" s="1"/>
  <c r="BI12" i="7" s="1"/>
  <c r="BK12" i="7" s="1"/>
  <c r="BM12" i="7" s="1"/>
  <c r="BO12" i="7" s="1"/>
  <c r="BQ12" i="7" s="1"/>
  <c r="BS12" i="7" s="1"/>
  <c r="BU12" i="7" s="1"/>
  <c r="BW12" i="7" s="1"/>
  <c r="BY12" i="7" s="1"/>
  <c r="CA12" i="7" s="1"/>
  <c r="CC12" i="7" s="1"/>
  <c r="BE12" i="8" s="1"/>
  <c r="AQ16" i="6"/>
  <c r="AS16" i="6" s="1"/>
  <c r="AU16" i="6" s="1"/>
  <c r="AW16" i="6" s="1"/>
  <c r="AY16" i="6" s="1"/>
  <c r="BE16" i="7" s="1"/>
  <c r="BG16" i="7" s="1"/>
  <c r="BI16" i="7" s="1"/>
  <c r="BK16" i="7" s="1"/>
  <c r="BM16" i="7" s="1"/>
  <c r="BO16" i="7" s="1"/>
  <c r="BQ16" i="7" s="1"/>
  <c r="BS16" i="7" s="1"/>
  <c r="BU16" i="7" s="1"/>
  <c r="BW16" i="7" s="1"/>
  <c r="BY16" i="7" s="1"/>
  <c r="CA16" i="7" s="1"/>
  <c r="CC16" i="7" s="1"/>
  <c r="BE16" i="8" s="1"/>
  <c r="AO20" i="6"/>
  <c r="AQ20" i="6" s="1"/>
  <c r="AS20" i="6" s="1"/>
  <c r="AU20" i="6" s="1"/>
  <c r="AW20" i="6" s="1"/>
  <c r="AY20" i="6" s="1"/>
  <c r="BE20" i="7" s="1"/>
  <c r="BG20" i="7" s="1"/>
  <c r="BI20" i="7" s="1"/>
  <c r="BK20" i="7" s="1"/>
  <c r="BM20" i="7" s="1"/>
  <c r="BO20" i="7" s="1"/>
  <c r="BQ20" i="7" s="1"/>
  <c r="BS20" i="7" s="1"/>
  <c r="BU20" i="7" s="1"/>
  <c r="BW20" i="7" s="1"/>
  <c r="BY20" i="7" s="1"/>
  <c r="CA20" i="7" s="1"/>
  <c r="CC20" i="7" s="1"/>
  <c r="BE20" i="8" s="1"/>
  <c r="BG20" i="8" s="1"/>
  <c r="BI20" i="8" s="1"/>
  <c r="BK20" i="8" s="1"/>
  <c r="BM20" i="8" s="1"/>
  <c r="BO20" i="8" s="1"/>
  <c r="BQ20" i="8" s="1"/>
  <c r="BS20" i="8" s="1"/>
  <c r="BU20" i="8" s="1"/>
  <c r="BW20" i="8" s="1"/>
  <c r="BY20" i="8" s="1"/>
  <c r="CA20" i="8" s="1"/>
  <c r="CC20" i="8" s="1"/>
  <c r="BE20" i="9" s="1"/>
  <c r="BG20" i="9" s="1"/>
  <c r="BI20" i="9" s="1"/>
  <c r="BK20" i="9" s="1"/>
  <c r="BM20" i="9" s="1"/>
  <c r="BO20" i="9" s="1"/>
  <c r="BQ20" i="9" s="1"/>
  <c r="BS20" i="9" s="1"/>
  <c r="BU20" i="9" s="1"/>
  <c r="BW20" i="9" s="1"/>
  <c r="BY20" i="9" s="1"/>
  <c r="AO24" i="6"/>
  <c r="AQ24" i="6" s="1"/>
  <c r="AS24" i="6" s="1"/>
  <c r="AU24" i="6" s="1"/>
  <c r="AW24" i="6" s="1"/>
  <c r="AY24" i="6" s="1"/>
  <c r="BE24" i="7" s="1"/>
  <c r="BG24" i="7" s="1"/>
  <c r="BI24" i="7" s="1"/>
  <c r="BK24" i="7" s="1"/>
  <c r="BM24" i="7" s="1"/>
  <c r="BO24" i="7" s="1"/>
  <c r="BQ24" i="7" s="1"/>
  <c r="BS24" i="7" s="1"/>
  <c r="BU24" i="7" s="1"/>
  <c r="BW24" i="7" s="1"/>
  <c r="BY24" i="7" s="1"/>
  <c r="CA24" i="7" s="1"/>
  <c r="CC24" i="7" s="1"/>
  <c r="BE24" i="8" s="1"/>
  <c r="BG24" i="8" s="1"/>
  <c r="BI24" i="8" s="1"/>
  <c r="BK24" i="8" s="1"/>
  <c r="BM24" i="8" s="1"/>
  <c r="BO24" i="8" s="1"/>
  <c r="BQ24" i="8" s="1"/>
  <c r="BS24" i="8" s="1"/>
  <c r="BU24" i="8" s="1"/>
  <c r="BW24" i="8" s="1"/>
  <c r="BY24" i="8" s="1"/>
  <c r="CA24" i="8" s="1"/>
  <c r="CC24" i="8" s="1"/>
  <c r="BE24" i="9" s="1"/>
  <c r="AO33" i="6"/>
  <c r="AQ33" i="6" s="1"/>
  <c r="AS33" i="6" s="1"/>
  <c r="AU33" i="6" s="1"/>
  <c r="AV33" i="6" s="1"/>
  <c r="AW33" i="6" s="1"/>
  <c r="AY33" i="6" s="1"/>
  <c r="BE33" i="7" s="1"/>
  <c r="AO42" i="6"/>
  <c r="AQ42" i="6" s="1"/>
  <c r="AS42" i="6" s="1"/>
  <c r="AU42" i="6" s="1"/>
  <c r="AV42" i="6" s="1"/>
  <c r="AW42" i="6" s="1"/>
  <c r="AY42" i="6" s="1"/>
  <c r="BE42" i="7" s="1"/>
  <c r="BG42" i="7" s="1"/>
  <c r="BI42" i="7" s="1"/>
  <c r="BK42" i="7" s="1"/>
  <c r="AO58" i="6"/>
  <c r="AQ58" i="6" s="1"/>
  <c r="AS58" i="6" s="1"/>
  <c r="AT58" i="6" s="1"/>
  <c r="AU58" i="6" s="1"/>
  <c r="AQ11" i="6"/>
  <c r="AS11" i="6" s="1"/>
  <c r="AU11" i="6" s="1"/>
  <c r="AW11" i="6" s="1"/>
  <c r="AY11" i="6" s="1"/>
  <c r="BE11" i="7" s="1"/>
  <c r="BG11" i="7" s="1"/>
  <c r="BI11" i="7" s="1"/>
  <c r="BK11" i="7" s="1"/>
  <c r="BM11" i="7" s="1"/>
  <c r="BO11" i="7" s="1"/>
  <c r="BQ11" i="7" s="1"/>
  <c r="BS11" i="7" s="1"/>
  <c r="BU11" i="7" s="1"/>
  <c r="BW11" i="7" s="1"/>
  <c r="BY11" i="7" s="1"/>
  <c r="CA11" i="7" s="1"/>
  <c r="CC11" i="7" s="1"/>
  <c r="BE11" i="8" s="1"/>
  <c r="BG11" i="8" s="1"/>
  <c r="BI11" i="8" s="1"/>
  <c r="BK11" i="8" s="1"/>
  <c r="BM11" i="8" s="1"/>
  <c r="BO11" i="8" s="1"/>
  <c r="BQ11" i="8" s="1"/>
  <c r="BS11" i="8" s="1"/>
  <c r="BU11" i="8" s="1"/>
  <c r="BW11" i="8" s="1"/>
  <c r="BY11" i="8" s="1"/>
  <c r="CA11" i="8" s="1"/>
  <c r="CC11" i="8" s="1"/>
  <c r="BE11" i="9" s="1"/>
  <c r="BG11" i="9" s="1"/>
  <c r="BI11" i="9" s="1"/>
  <c r="BK11" i="9" s="1"/>
  <c r="BM11" i="9" s="1"/>
  <c r="BO11" i="9" s="1"/>
  <c r="BQ11" i="9" s="1"/>
  <c r="BS11" i="9" s="1"/>
  <c r="BU11" i="9" s="1"/>
  <c r="BW11" i="9" s="1"/>
  <c r="BY11" i="9" s="1"/>
  <c r="AQ15" i="6"/>
  <c r="AS15" i="6" s="1"/>
  <c r="AU15" i="6" s="1"/>
  <c r="AW15" i="6" s="1"/>
  <c r="AY15" i="6" s="1"/>
  <c r="BE15" i="7" s="1"/>
  <c r="BG15" i="7" s="1"/>
  <c r="BI15" i="7" s="1"/>
  <c r="BK15" i="7" s="1"/>
  <c r="BM15" i="7" s="1"/>
  <c r="BO15" i="7" s="1"/>
  <c r="BQ15" i="7" s="1"/>
  <c r="BS15" i="7" s="1"/>
  <c r="BU15" i="7" s="1"/>
  <c r="BW15" i="7" s="1"/>
  <c r="BY15" i="7" s="1"/>
  <c r="CA15" i="7" s="1"/>
  <c r="CC15" i="7" s="1"/>
  <c r="BE15" i="8" s="1"/>
  <c r="BG15" i="8" s="1"/>
  <c r="BI15" i="8" s="1"/>
  <c r="BK15" i="8" s="1"/>
  <c r="BM15" i="8" s="1"/>
  <c r="BO15" i="8" s="1"/>
  <c r="BQ15" i="8" s="1"/>
  <c r="BS15" i="8" s="1"/>
  <c r="BU15" i="8" s="1"/>
  <c r="BW15" i="8" s="1"/>
  <c r="BY15" i="8" s="1"/>
  <c r="CA15" i="8" s="1"/>
  <c r="CC15" i="8" s="1"/>
  <c r="BE15" i="9" s="1"/>
  <c r="BG15" i="9" s="1"/>
  <c r="BI15" i="9" s="1"/>
  <c r="BK15" i="9" s="1"/>
  <c r="AO47" i="6"/>
  <c r="AQ47" i="6" s="1"/>
  <c r="AS47" i="6" s="1"/>
  <c r="AO50" i="6"/>
  <c r="AQ50" i="6" s="1"/>
  <c r="AS50" i="6" s="1"/>
  <c r="AU50" i="6" s="1"/>
  <c r="AV50" i="6" s="1"/>
  <c r="AW50" i="6" s="1"/>
  <c r="AY50" i="6" s="1"/>
  <c r="BE50" i="7" s="1"/>
  <c r="BG50" i="7" s="1"/>
  <c r="BI50" i="7" s="1"/>
  <c r="BK50" i="7" s="1"/>
  <c r="BM50" i="7" s="1"/>
  <c r="BO50" i="7" s="1"/>
  <c r="BQ50" i="7" s="1"/>
  <c r="BS50" i="7" s="1"/>
  <c r="BU50" i="7" s="1"/>
  <c r="BW50" i="7" s="1"/>
  <c r="BY50" i="7" s="1"/>
  <c r="CA50" i="7" s="1"/>
  <c r="CC50" i="7" s="1"/>
  <c r="BE50" i="8" s="1"/>
  <c r="BG50" i="8" s="1"/>
  <c r="BI50" i="8" s="1"/>
  <c r="BK50" i="8" s="1"/>
  <c r="BM50" i="8" s="1"/>
  <c r="BO50" i="8" s="1"/>
  <c r="BQ50" i="8" s="1"/>
  <c r="BS50" i="8" s="1"/>
  <c r="BU50" i="8" s="1"/>
  <c r="BW50" i="8" s="1"/>
  <c r="BY50" i="8" s="1"/>
  <c r="CA50" i="8" s="1"/>
  <c r="CC50" i="8" s="1"/>
  <c r="BE50" i="9" s="1"/>
  <c r="BG50" i="9" s="1"/>
  <c r="BI50" i="9" s="1"/>
  <c r="BK50" i="9" s="1"/>
  <c r="BM50" i="9" s="1"/>
  <c r="BO50" i="9" s="1"/>
  <c r="BQ50" i="9" s="1"/>
  <c r="BS50" i="9" s="1"/>
  <c r="BU50" i="9" s="1"/>
  <c r="BW50" i="9" s="1"/>
  <c r="G22" i="3"/>
  <c r="F76" i="26"/>
  <c r="I75" i="3"/>
  <c r="AO8" i="6"/>
  <c r="AQ8" i="6" s="1"/>
  <c r="AS8" i="6" s="1"/>
  <c r="AU8" i="6" s="1"/>
  <c r="AW8" i="6" s="1"/>
  <c r="AY8" i="6" s="1"/>
  <c r="BE8" i="7" s="1"/>
  <c r="G23" i="3"/>
  <c r="AO23" i="6"/>
  <c r="AQ23" i="6" s="1"/>
  <c r="AS23" i="6" s="1"/>
  <c r="AU23" i="6" s="1"/>
  <c r="AW23" i="6" s="1"/>
  <c r="AY23" i="6" s="1"/>
  <c r="BE23" i="7" s="1"/>
  <c r="AO46" i="6"/>
  <c r="AQ46" i="6" s="1"/>
  <c r="AS46" i="6" s="1"/>
  <c r="AO48" i="6"/>
  <c r="AQ48" i="6" s="1"/>
  <c r="AS48" i="6" s="1"/>
  <c r="F50" i="26"/>
  <c r="I49" i="3"/>
  <c r="G52" i="3"/>
  <c r="B7" i="22"/>
  <c r="F11" i="1"/>
  <c r="H50" i="4"/>
  <c r="G28" i="3"/>
  <c r="G43" i="3"/>
  <c r="B9" i="22"/>
  <c r="C11" i="24"/>
  <c r="B13" i="1"/>
  <c r="I31" i="4"/>
  <c r="H81" i="3"/>
  <c r="F77" i="4"/>
  <c r="AO21" i="6"/>
  <c r="AQ21" i="6" s="1"/>
  <c r="AS21" i="6" s="1"/>
  <c r="AU21" i="6" s="1"/>
  <c r="AW21" i="6" s="1"/>
  <c r="AY21" i="6" s="1"/>
  <c r="BE21" i="7" s="1"/>
  <c r="AO25" i="6"/>
  <c r="AQ25" i="6" s="1"/>
  <c r="AS25" i="6" s="1"/>
  <c r="AU25" i="6" s="1"/>
  <c r="AW25" i="6" s="1"/>
  <c r="AY25" i="6" s="1"/>
  <c r="BE25" i="7" s="1"/>
  <c r="M16" i="5"/>
  <c r="AL6" i="6"/>
  <c r="AM6" i="6" s="1"/>
  <c r="AO6" i="6" s="1"/>
  <c r="AQ6" i="6" s="1"/>
  <c r="AS6" i="6" s="1"/>
  <c r="AU6" i="6" s="1"/>
  <c r="AW6" i="6" s="1"/>
  <c r="AL19" i="6"/>
  <c r="AM19" i="6" s="1"/>
  <c r="AO19" i="6" s="1"/>
  <c r="AQ19" i="6" s="1"/>
  <c r="AH29" i="6"/>
  <c r="AH36" i="6"/>
  <c r="AH41" i="6"/>
  <c r="AH47" i="6"/>
  <c r="AL62" i="6"/>
  <c r="AM62" i="6" s="1"/>
  <c r="AO62" i="6" s="1"/>
  <c r="AQ62" i="6" s="1"/>
  <c r="AS62" i="6" s="1"/>
  <c r="AU62" i="6" s="1"/>
  <c r="AW62" i="6" s="1"/>
  <c r="AY62" i="6" s="1"/>
  <c r="BE62" i="7" s="1"/>
  <c r="BG62" i="7" s="1"/>
  <c r="BI62" i="7" s="1"/>
  <c r="BK62" i="7" s="1"/>
  <c r="BM62" i="7" s="1"/>
  <c r="BO62" i="7" s="1"/>
  <c r="BQ62" i="7" s="1"/>
  <c r="BS62" i="7" s="1"/>
  <c r="BU62" i="7" s="1"/>
  <c r="BW62" i="7" s="1"/>
  <c r="BY62" i="7" s="1"/>
  <c r="CA62" i="7" s="1"/>
  <c r="CC62" i="7" s="1"/>
  <c r="BE62" i="8" s="1"/>
  <c r="BG62" i="8" s="1"/>
  <c r="BI62" i="8" s="1"/>
  <c r="BK62" i="8" s="1"/>
  <c r="BM62" i="8" s="1"/>
  <c r="BO62" i="8" s="1"/>
  <c r="BQ62" i="8" s="1"/>
  <c r="BS62" i="8" s="1"/>
  <c r="BU62" i="8" s="1"/>
  <c r="BW62" i="8" s="1"/>
  <c r="BY62" i="8" s="1"/>
  <c r="CA62" i="8" s="1"/>
  <c r="CC62" i="8" s="1"/>
  <c r="BE62" i="9" s="1"/>
  <c r="BG62" i="9" s="1"/>
  <c r="BI62" i="9" s="1"/>
  <c r="BK62" i="9" s="1"/>
  <c r="BM62" i="9" s="1"/>
  <c r="BO62" i="9" s="1"/>
  <c r="BQ62" i="9" s="1"/>
  <c r="BS62" i="9" s="1"/>
  <c r="BU62" i="9" s="1"/>
  <c r="BW62" i="9" s="1"/>
  <c r="BY62" i="9" s="1"/>
  <c r="BJ9" i="7"/>
  <c r="BB20" i="8"/>
  <c r="G20" i="3" s="1"/>
  <c r="BF27" i="8"/>
  <c r="BB27" i="8"/>
  <c r="BJ34" i="8"/>
  <c r="BB34" i="8"/>
  <c r="G34" i="3" s="1"/>
  <c r="BB47" i="8"/>
  <c r="BB60" i="8"/>
  <c r="I13" i="4"/>
  <c r="I52" i="4"/>
  <c r="H76" i="4"/>
  <c r="H77" i="4" s="1"/>
  <c r="I66" i="4"/>
  <c r="I74" i="4"/>
  <c r="AL4" i="6"/>
  <c r="AM4" i="6" s="1"/>
  <c r="AO4" i="6" s="1"/>
  <c r="F81" i="6"/>
  <c r="C4" i="4" s="1"/>
  <c r="AT4" i="6"/>
  <c r="V81" i="6"/>
  <c r="C8" i="4" s="1"/>
  <c r="I8" i="4" s="1"/>
  <c r="AL34" i="6"/>
  <c r="AM34" i="6" s="1"/>
  <c r="AO34" i="6" s="1"/>
  <c r="AQ34" i="6" s="1"/>
  <c r="AS34" i="6" s="1"/>
  <c r="AU34" i="6" s="1"/>
  <c r="AW34" i="6" s="1"/>
  <c r="AY34" i="6" s="1"/>
  <c r="BE34" i="7" s="1"/>
  <c r="BG34" i="7" s="1"/>
  <c r="BI34" i="7" s="1"/>
  <c r="BK34" i="7" s="1"/>
  <c r="BM34" i="7" s="1"/>
  <c r="BO34" i="7" s="1"/>
  <c r="BQ34" i="7" s="1"/>
  <c r="BS34" i="7" s="1"/>
  <c r="BU34" i="7" s="1"/>
  <c r="BW34" i="7" s="1"/>
  <c r="BY34" i="7" s="1"/>
  <c r="CA34" i="7" s="1"/>
  <c r="CC34" i="7" s="1"/>
  <c r="BE34" i="8" s="1"/>
  <c r="BG34" i="8" s="1"/>
  <c r="AL43" i="6"/>
  <c r="AM43" i="6" s="1"/>
  <c r="AO43" i="6" s="1"/>
  <c r="AQ43" i="6" s="1"/>
  <c r="AS43" i="6" s="1"/>
  <c r="AU43" i="6" s="1"/>
  <c r="AW43" i="6" s="1"/>
  <c r="AY43" i="6" s="1"/>
  <c r="BE43" i="7" s="1"/>
  <c r="BG43" i="7" s="1"/>
  <c r="BI43" i="7" s="1"/>
  <c r="BK43" i="7" s="1"/>
  <c r="BM43" i="7" s="1"/>
  <c r="BO43" i="7" s="1"/>
  <c r="BQ43" i="7" s="1"/>
  <c r="BS43" i="7" s="1"/>
  <c r="BU43" i="7" s="1"/>
  <c r="BW43" i="7" s="1"/>
  <c r="BY43" i="7" s="1"/>
  <c r="CA43" i="7" s="1"/>
  <c r="CC43" i="7" s="1"/>
  <c r="BE43" i="8" s="1"/>
  <c r="BG43" i="8" s="1"/>
  <c r="BI43" i="8" s="1"/>
  <c r="BK43" i="8" s="1"/>
  <c r="BM43" i="8" s="1"/>
  <c r="BO43" i="8" s="1"/>
  <c r="BQ43" i="8" s="1"/>
  <c r="BS43" i="8" s="1"/>
  <c r="BU43" i="8" s="1"/>
  <c r="BW43" i="8" s="1"/>
  <c r="BY43" i="8" s="1"/>
  <c r="CA43" i="8" s="1"/>
  <c r="CC43" i="8" s="1"/>
  <c r="BE43" i="9" s="1"/>
  <c r="AL44" i="6"/>
  <c r="AM44" i="6" s="1"/>
  <c r="AO44" i="6" s="1"/>
  <c r="AQ44" i="6" s="1"/>
  <c r="AS44" i="6" s="1"/>
  <c r="AU44" i="6" s="1"/>
  <c r="AW44" i="6" s="1"/>
  <c r="AY44" i="6" s="1"/>
  <c r="BE44" i="7" s="1"/>
  <c r="BG44" i="7" s="1"/>
  <c r="BI44" i="7" s="1"/>
  <c r="BK44" i="7" s="1"/>
  <c r="BM44" i="7" s="1"/>
  <c r="AL45" i="6"/>
  <c r="AM45" i="6" s="1"/>
  <c r="AO45" i="6" s="1"/>
  <c r="AQ45" i="6" s="1"/>
  <c r="AS45" i="6" s="1"/>
  <c r="AU45" i="6" s="1"/>
  <c r="AW45" i="6" s="1"/>
  <c r="AY45" i="6" s="1"/>
  <c r="BE45" i="7" s="1"/>
  <c r="BG45" i="7" s="1"/>
  <c r="BI45" i="7" s="1"/>
  <c r="BK45" i="7" s="1"/>
  <c r="BM45" i="7" s="1"/>
  <c r="BO45" i="7" s="1"/>
  <c r="BQ45" i="7" s="1"/>
  <c r="BS45" i="7" s="1"/>
  <c r="BU45" i="7" s="1"/>
  <c r="BW45" i="7" s="1"/>
  <c r="BY45" i="7" s="1"/>
  <c r="CA45" i="7" s="1"/>
  <c r="CC45" i="7" s="1"/>
  <c r="BE45" i="8" s="1"/>
  <c r="BG45" i="8" s="1"/>
  <c r="BI45" i="8" s="1"/>
  <c r="BK45" i="8" s="1"/>
  <c r="BM45" i="8" s="1"/>
  <c r="BO45" i="8" s="1"/>
  <c r="BQ45" i="8" s="1"/>
  <c r="BS45" i="8" s="1"/>
  <c r="BU45" i="8" s="1"/>
  <c r="BW45" i="8" s="1"/>
  <c r="BY45" i="8" s="1"/>
  <c r="CA45" i="8" s="1"/>
  <c r="CC45" i="8" s="1"/>
  <c r="BE45" i="9" s="1"/>
  <c r="AH46" i="6"/>
  <c r="AO51" i="6"/>
  <c r="AQ51" i="6" s="1"/>
  <c r="AS51" i="6" s="1"/>
  <c r="AU51" i="6" s="1"/>
  <c r="AW51" i="6" s="1"/>
  <c r="AY51" i="6" s="1"/>
  <c r="BE51" i="7" s="1"/>
  <c r="BG51" i="7" s="1"/>
  <c r="BI51" i="7" s="1"/>
  <c r="BK51" i="7" s="1"/>
  <c r="BM51" i="7" s="1"/>
  <c r="BO51" i="7" s="1"/>
  <c r="BQ51" i="7" s="1"/>
  <c r="BS51" i="7" s="1"/>
  <c r="BU51" i="7" s="1"/>
  <c r="BW51" i="7" s="1"/>
  <c r="BY51" i="7" s="1"/>
  <c r="CA51" i="7" s="1"/>
  <c r="CC51" i="7" s="1"/>
  <c r="BE51" i="8" s="1"/>
  <c r="BG51" i="8" s="1"/>
  <c r="BI51" i="8" s="1"/>
  <c r="BK51" i="8" s="1"/>
  <c r="BM51" i="8" s="1"/>
  <c r="BO51" i="8" s="1"/>
  <c r="BQ51" i="8" s="1"/>
  <c r="BS51" i="8" s="1"/>
  <c r="BU51" i="8" s="1"/>
  <c r="BW51" i="8" s="1"/>
  <c r="BY51" i="8" s="1"/>
  <c r="CA51" i="8" s="1"/>
  <c r="CC51" i="8" s="1"/>
  <c r="BE51" i="9" s="1"/>
  <c r="BG51" i="9" s="1"/>
  <c r="BI51" i="9" s="1"/>
  <c r="BK51" i="9" s="1"/>
  <c r="BM51" i="9" s="1"/>
  <c r="BO51" i="9" s="1"/>
  <c r="BQ51" i="9" s="1"/>
  <c r="BS51" i="9" s="1"/>
  <c r="BU51" i="9" s="1"/>
  <c r="BW51" i="9" s="1"/>
  <c r="BY51" i="9" s="1"/>
  <c r="AO55" i="6"/>
  <c r="AQ55" i="6" s="1"/>
  <c r="AS55" i="6" s="1"/>
  <c r="AU55" i="6" s="1"/>
  <c r="AW55" i="6" s="1"/>
  <c r="AY55" i="6" s="1"/>
  <c r="BE55" i="7" s="1"/>
  <c r="BG55" i="7" s="1"/>
  <c r="BI55" i="7" s="1"/>
  <c r="BK55" i="7" s="1"/>
  <c r="AL59" i="6"/>
  <c r="AM59" i="6" s="1"/>
  <c r="AO59" i="6" s="1"/>
  <c r="AQ59" i="6" s="1"/>
  <c r="AS59" i="6" s="1"/>
  <c r="AU59" i="6" s="1"/>
  <c r="AW59" i="6" s="1"/>
  <c r="AY59" i="6" s="1"/>
  <c r="BE59" i="7" s="1"/>
  <c r="AL63" i="6"/>
  <c r="AM63" i="6" s="1"/>
  <c r="AO63" i="6" s="1"/>
  <c r="AQ63" i="6" s="1"/>
  <c r="AS63" i="6" s="1"/>
  <c r="AU63" i="6" s="1"/>
  <c r="AW63" i="6" s="1"/>
  <c r="AY63" i="6" s="1"/>
  <c r="BE63" i="7" s="1"/>
  <c r="BG63" i="7" s="1"/>
  <c r="BI63" i="7" s="1"/>
  <c r="BK63" i="7" s="1"/>
  <c r="BM63" i="7" s="1"/>
  <c r="BO63" i="7" s="1"/>
  <c r="BQ63" i="7" s="1"/>
  <c r="BS63" i="7" s="1"/>
  <c r="BU63" i="7" s="1"/>
  <c r="BW63" i="7" s="1"/>
  <c r="BY63" i="7" s="1"/>
  <c r="CA63" i="7" s="1"/>
  <c r="CC63" i="7" s="1"/>
  <c r="BE63" i="8" s="1"/>
  <c r="BG63" i="8" s="1"/>
  <c r="BI63" i="8" s="1"/>
  <c r="BK63" i="8" s="1"/>
  <c r="BM63" i="8" s="1"/>
  <c r="BO63" i="8" s="1"/>
  <c r="BQ63" i="8" s="1"/>
  <c r="BS63" i="8" s="1"/>
  <c r="BU63" i="8" s="1"/>
  <c r="BW63" i="8" s="1"/>
  <c r="BY63" i="8" s="1"/>
  <c r="CA63" i="8" s="1"/>
  <c r="CC63" i="8" s="1"/>
  <c r="BE63" i="9" s="1"/>
  <c r="BG63" i="9" s="1"/>
  <c r="BI63" i="9" s="1"/>
  <c r="BK63" i="9" s="1"/>
  <c r="BM63" i="9" s="1"/>
  <c r="BO63" i="9" s="1"/>
  <c r="BQ63" i="9" s="1"/>
  <c r="BS63" i="9" s="1"/>
  <c r="BU63" i="9" s="1"/>
  <c r="BW63" i="9" s="1"/>
  <c r="BY63" i="9" s="1"/>
  <c r="AH66" i="6"/>
  <c r="AL75" i="6"/>
  <c r="AM75" i="6" s="1"/>
  <c r="AO75" i="6" s="1"/>
  <c r="AQ75" i="6" s="1"/>
  <c r="AS75" i="6" s="1"/>
  <c r="AU75" i="6" s="1"/>
  <c r="AW75" i="6" s="1"/>
  <c r="AY75" i="6" s="1"/>
  <c r="BE75" i="7" s="1"/>
  <c r="BG75" i="7" s="1"/>
  <c r="BI75" i="7" s="1"/>
  <c r="BK75" i="7" s="1"/>
  <c r="BM75" i="7" s="1"/>
  <c r="BO75" i="7" s="1"/>
  <c r="BQ75" i="7" s="1"/>
  <c r="BS75" i="7" s="1"/>
  <c r="BU75" i="7" s="1"/>
  <c r="BW75" i="7" s="1"/>
  <c r="BY75" i="7" s="1"/>
  <c r="CA75" i="7" s="1"/>
  <c r="CC75" i="7" s="1"/>
  <c r="BE75" i="8" s="1"/>
  <c r="BG75" i="8" s="1"/>
  <c r="BI75" i="8" s="1"/>
  <c r="BK75" i="8" s="1"/>
  <c r="BM75" i="8" s="1"/>
  <c r="BO75" i="8" s="1"/>
  <c r="BQ75" i="8" s="1"/>
  <c r="BS75" i="8" s="1"/>
  <c r="BU75" i="8" s="1"/>
  <c r="BW75" i="8" s="1"/>
  <c r="BY75" i="8" s="1"/>
  <c r="CA75" i="8" s="1"/>
  <c r="CC75" i="8" s="1"/>
  <c r="BE75" i="9" s="1"/>
  <c r="BG75" i="9" s="1"/>
  <c r="F81" i="7"/>
  <c r="C12" i="4" s="1"/>
  <c r="BB4" i="7"/>
  <c r="BF4" i="7"/>
  <c r="BR4" i="7"/>
  <c r="AD81" i="7"/>
  <c r="C18" i="4" s="1"/>
  <c r="I18" i="4" s="1"/>
  <c r="AT81" i="7"/>
  <c r="C22" i="4" s="1"/>
  <c r="I22" i="4" s="1"/>
  <c r="BZ4" i="7"/>
  <c r="BC81" i="7"/>
  <c r="BB10" i="7"/>
  <c r="BB11" i="7"/>
  <c r="BB13" i="7"/>
  <c r="BB24" i="7"/>
  <c r="G24" i="3" s="1"/>
  <c r="BB29" i="7"/>
  <c r="BB48" i="7"/>
  <c r="BF48" i="7"/>
  <c r="BB58" i="7"/>
  <c r="BJ65" i="7"/>
  <c r="BB65" i="7"/>
  <c r="BB10" i="8"/>
  <c r="BB11" i="8"/>
  <c r="BB12" i="8"/>
  <c r="BB13" i="8"/>
  <c r="BB14" i="8"/>
  <c r="BB15" i="8"/>
  <c r="BB16" i="8"/>
  <c r="BB17" i="8"/>
  <c r="BB18" i="8"/>
  <c r="BB19" i="8"/>
  <c r="BF19" i="8"/>
  <c r="BB24" i="8"/>
  <c r="BB31" i="8"/>
  <c r="G31" i="3" s="1"/>
  <c r="BB71" i="8"/>
  <c r="BF71" i="8"/>
  <c r="BB9" i="9"/>
  <c r="BH35" i="8"/>
  <c r="BB35" i="8"/>
  <c r="D76" i="4"/>
  <c r="D77" i="4" s="1"/>
  <c r="I64" i="4"/>
  <c r="I76" i="4" s="1"/>
  <c r="I72" i="4"/>
  <c r="J81" i="6"/>
  <c r="C5" i="4" s="1"/>
  <c r="I5" i="4" s="1"/>
  <c r="AH4" i="6"/>
  <c r="AX5" i="6"/>
  <c r="AD81" i="6"/>
  <c r="C10" i="4" s="1"/>
  <c r="I10" i="4" s="1"/>
  <c r="AR30" i="6"/>
  <c r="AR32" i="6"/>
  <c r="AR37" i="6"/>
  <c r="AR39" i="6"/>
  <c r="AH48" i="6"/>
  <c r="AH50" i="6"/>
  <c r="AO52" i="6"/>
  <c r="AQ52" i="6" s="1"/>
  <c r="AS52" i="6" s="1"/>
  <c r="AU52" i="6" s="1"/>
  <c r="AW52" i="6" s="1"/>
  <c r="AY52" i="6" s="1"/>
  <c r="BE52" i="7" s="1"/>
  <c r="BG52" i="7" s="1"/>
  <c r="BI52" i="7" s="1"/>
  <c r="BK52" i="7" s="1"/>
  <c r="BM52" i="7" s="1"/>
  <c r="BO52" i="7" s="1"/>
  <c r="BQ52" i="7" s="1"/>
  <c r="BS52" i="7" s="1"/>
  <c r="BU52" i="7" s="1"/>
  <c r="BW52" i="7" s="1"/>
  <c r="BY52" i="7" s="1"/>
  <c r="CA52" i="7" s="1"/>
  <c r="CC52" i="7" s="1"/>
  <c r="BE52" i="8" s="1"/>
  <c r="AN53" i="6"/>
  <c r="AO53" i="6" s="1"/>
  <c r="AQ53" i="6" s="1"/>
  <c r="AS53" i="6" s="1"/>
  <c r="AU53" i="6" s="1"/>
  <c r="AW53" i="6" s="1"/>
  <c r="AY53" i="6" s="1"/>
  <c r="BE53" i="7" s="1"/>
  <c r="BG53" i="7" s="1"/>
  <c r="BI53" i="7" s="1"/>
  <c r="BK53" i="7" s="1"/>
  <c r="BM53" i="7" s="1"/>
  <c r="BO53" i="7" s="1"/>
  <c r="BQ53" i="7" s="1"/>
  <c r="BS53" i="7" s="1"/>
  <c r="BU53" i="7" s="1"/>
  <c r="BW53" i="7" s="1"/>
  <c r="BY53" i="7" s="1"/>
  <c r="CA53" i="7" s="1"/>
  <c r="CC53" i="7" s="1"/>
  <c r="BE53" i="8" s="1"/>
  <c r="BG53" i="8" s="1"/>
  <c r="BI53" i="8" s="1"/>
  <c r="BK53" i="8" s="1"/>
  <c r="BM53" i="8" s="1"/>
  <c r="BO53" i="8" s="1"/>
  <c r="BQ53" i="8" s="1"/>
  <c r="BS53" i="8" s="1"/>
  <c r="BU53" i="8" s="1"/>
  <c r="BW53" i="8" s="1"/>
  <c r="BY53" i="8" s="1"/>
  <c r="CA53" i="8" s="1"/>
  <c r="CC53" i="8" s="1"/>
  <c r="BE53" i="9" s="1"/>
  <c r="BG53" i="9" s="1"/>
  <c r="BI53" i="9" s="1"/>
  <c r="BK53" i="9" s="1"/>
  <c r="BM53" i="9" s="1"/>
  <c r="BO53" i="9" s="1"/>
  <c r="BQ53" i="9" s="1"/>
  <c r="BS53" i="9" s="1"/>
  <c r="BU53" i="9" s="1"/>
  <c r="BW53" i="9" s="1"/>
  <c r="BY53" i="9" s="1"/>
  <c r="AH53" i="6"/>
  <c r="AN54" i="6"/>
  <c r="AO54" i="6" s="1"/>
  <c r="AQ54" i="6" s="1"/>
  <c r="AS54" i="6" s="1"/>
  <c r="AU54" i="6" s="1"/>
  <c r="AW54" i="6" s="1"/>
  <c r="AY54" i="6" s="1"/>
  <c r="BE54" i="7" s="1"/>
  <c r="BG54" i="7" s="1"/>
  <c r="BI54" i="7" s="1"/>
  <c r="BK54" i="7" s="1"/>
  <c r="BM54" i="7" s="1"/>
  <c r="BO54" i="7" s="1"/>
  <c r="BQ54" i="7" s="1"/>
  <c r="BS54" i="7" s="1"/>
  <c r="BU54" i="7" s="1"/>
  <c r="BW54" i="7" s="1"/>
  <c r="BY54" i="7" s="1"/>
  <c r="CA54" i="7" s="1"/>
  <c r="CC54" i="7" s="1"/>
  <c r="BE54" i="8" s="1"/>
  <c r="BG54" i="8" s="1"/>
  <c r="BI54" i="8" s="1"/>
  <c r="BK54" i="8" s="1"/>
  <c r="BM54" i="8" s="1"/>
  <c r="BO54" i="8" s="1"/>
  <c r="BQ54" i="8" s="1"/>
  <c r="BS54" i="8" s="1"/>
  <c r="BU54" i="8" s="1"/>
  <c r="BW54" i="8" s="1"/>
  <c r="BY54" i="8" s="1"/>
  <c r="CA54" i="8" s="1"/>
  <c r="CC54" i="8" s="1"/>
  <c r="BE54" i="9" s="1"/>
  <c r="BG54" i="9" s="1"/>
  <c r="BI54" i="9" s="1"/>
  <c r="BK54" i="9" s="1"/>
  <c r="BM54" i="9" s="1"/>
  <c r="BO54" i="9" s="1"/>
  <c r="BQ54" i="9" s="1"/>
  <c r="BS54" i="9" s="1"/>
  <c r="BU54" i="9" s="1"/>
  <c r="BW54" i="9" s="1"/>
  <c r="BY54" i="9" s="1"/>
  <c r="AH54" i="6"/>
  <c r="AO56" i="6"/>
  <c r="AQ56" i="6" s="1"/>
  <c r="AS56" i="6" s="1"/>
  <c r="AU56" i="6" s="1"/>
  <c r="AW56" i="6" s="1"/>
  <c r="AY56" i="6" s="1"/>
  <c r="BE56" i="7" s="1"/>
  <c r="BG56" i="7" s="1"/>
  <c r="BI56" i="7" s="1"/>
  <c r="BK56" i="7" s="1"/>
  <c r="AN57" i="6"/>
  <c r="AO57" i="6" s="1"/>
  <c r="AQ57" i="6" s="1"/>
  <c r="AS57" i="6" s="1"/>
  <c r="AU57" i="6" s="1"/>
  <c r="AW57" i="6" s="1"/>
  <c r="AY57" i="6" s="1"/>
  <c r="BE57" i="7" s="1"/>
  <c r="AH57" i="6"/>
  <c r="G57" i="3" s="1"/>
  <c r="AL60" i="6"/>
  <c r="AM60" i="6" s="1"/>
  <c r="AO60" i="6" s="1"/>
  <c r="AQ60" i="6" s="1"/>
  <c r="AS60" i="6" s="1"/>
  <c r="AU60" i="6" s="1"/>
  <c r="AW60" i="6" s="1"/>
  <c r="AY60" i="6" s="1"/>
  <c r="BE60" i="7" s="1"/>
  <c r="BG60" i="7" s="1"/>
  <c r="BI60" i="7" s="1"/>
  <c r="BK60" i="7" s="1"/>
  <c r="AL64" i="6"/>
  <c r="AM64" i="6" s="1"/>
  <c r="AO64" i="6" s="1"/>
  <c r="AQ64" i="6" s="1"/>
  <c r="AS64" i="6" s="1"/>
  <c r="AU64" i="6" s="1"/>
  <c r="AW64" i="6" s="1"/>
  <c r="AY64" i="6" s="1"/>
  <c r="BE64" i="7" s="1"/>
  <c r="BG64" i="7" s="1"/>
  <c r="BI64" i="7" s="1"/>
  <c r="BK64" i="7" s="1"/>
  <c r="BM64" i="7" s="1"/>
  <c r="BO64" i="7" s="1"/>
  <c r="BQ64" i="7" s="1"/>
  <c r="BS64" i="7" s="1"/>
  <c r="BU64" i="7" s="1"/>
  <c r="BW64" i="7" s="1"/>
  <c r="BY64" i="7" s="1"/>
  <c r="CA64" i="7" s="1"/>
  <c r="AL76" i="6"/>
  <c r="AM76" i="6" s="1"/>
  <c r="AO76" i="6" s="1"/>
  <c r="AQ76" i="6" s="1"/>
  <c r="AS76" i="6" s="1"/>
  <c r="AU76" i="6" s="1"/>
  <c r="AW76" i="6" s="1"/>
  <c r="AY76" i="6" s="1"/>
  <c r="BE76" i="7" s="1"/>
  <c r="BG76" i="7" s="1"/>
  <c r="BI76" i="7" s="1"/>
  <c r="BK76" i="7" s="1"/>
  <c r="BM76" i="7" s="1"/>
  <c r="BO76" i="7" s="1"/>
  <c r="BQ76" i="7" s="1"/>
  <c r="BS76" i="7" s="1"/>
  <c r="BU76" i="7" s="1"/>
  <c r="BW76" i="7" s="1"/>
  <c r="BY76" i="7" s="1"/>
  <c r="CA76" i="7" s="1"/>
  <c r="CC76" i="7" s="1"/>
  <c r="BE76" i="8" s="1"/>
  <c r="AL78" i="6"/>
  <c r="AM78" i="6" s="1"/>
  <c r="AO78" i="6" s="1"/>
  <c r="AQ78" i="6" s="1"/>
  <c r="AS78" i="6" s="1"/>
  <c r="BL5" i="7"/>
  <c r="R81" i="7"/>
  <c r="C15" i="4" s="1"/>
  <c r="I15" i="4" s="1"/>
  <c r="Z81" i="7"/>
  <c r="C17" i="4" s="1"/>
  <c r="I17" i="4" s="1"/>
  <c r="AP81" i="7"/>
  <c r="C21" i="4" s="1"/>
  <c r="I21" i="4" s="1"/>
  <c r="BF8" i="7"/>
  <c r="BN78" i="7"/>
  <c r="BB78" i="7"/>
  <c r="G78" i="3" s="1"/>
  <c r="BC81" i="8"/>
  <c r="AH27" i="6"/>
  <c r="AL74" i="6"/>
  <c r="AM74" i="6" s="1"/>
  <c r="AO74" i="6" s="1"/>
  <c r="AQ74" i="6" s="1"/>
  <c r="AS74" i="6" s="1"/>
  <c r="AU74" i="6" s="1"/>
  <c r="AW74" i="6" s="1"/>
  <c r="AY74" i="6" s="1"/>
  <c r="BE74" i="7" s="1"/>
  <c r="BG74" i="7" s="1"/>
  <c r="BI74" i="7" s="1"/>
  <c r="BK74" i="7" s="1"/>
  <c r="BM74" i="7" s="1"/>
  <c r="BO74" i="7" s="1"/>
  <c r="BQ74" i="7" s="1"/>
  <c r="BS74" i="7" s="1"/>
  <c r="BU74" i="7" s="1"/>
  <c r="BW74" i="7" s="1"/>
  <c r="BY74" i="7" s="1"/>
  <c r="CA74" i="7" s="1"/>
  <c r="CC74" i="7" s="1"/>
  <c r="BE74" i="8" s="1"/>
  <c r="BG74" i="8" s="1"/>
  <c r="BI74" i="8" s="1"/>
  <c r="BK74" i="8" s="1"/>
  <c r="B9" i="1"/>
  <c r="I51" i="4"/>
  <c r="I63" i="4" s="1"/>
  <c r="I70" i="4"/>
  <c r="AN2" i="6"/>
  <c r="AP4" i="6"/>
  <c r="N81" i="6"/>
  <c r="C6" i="4" s="1"/>
  <c r="I6" i="4" s="1"/>
  <c r="R81" i="6"/>
  <c r="C7" i="4" s="1"/>
  <c r="I7" i="4" s="1"/>
  <c r="AH5" i="6"/>
  <c r="AV7" i="6"/>
  <c r="AH9" i="6"/>
  <c r="AH10" i="6"/>
  <c r="AH11" i="6"/>
  <c r="AH12" i="6"/>
  <c r="AH13" i="6"/>
  <c r="AH14" i="6"/>
  <c r="AH15" i="6"/>
  <c r="AH16" i="6"/>
  <c r="G16" i="3" s="1"/>
  <c r="AH17" i="6"/>
  <c r="AH18" i="6"/>
  <c r="AL35" i="6"/>
  <c r="AM35" i="6" s="1"/>
  <c r="AO35" i="6" s="1"/>
  <c r="AQ35" i="6" s="1"/>
  <c r="AS35" i="6" s="1"/>
  <c r="AU35" i="6" s="1"/>
  <c r="AW35" i="6" s="1"/>
  <c r="AH51" i="6"/>
  <c r="AH55" i="6"/>
  <c r="AL61" i="6"/>
  <c r="AM61" i="6" s="1"/>
  <c r="AO61" i="6" s="1"/>
  <c r="AQ61" i="6" s="1"/>
  <c r="AS61" i="6" s="1"/>
  <c r="AU61" i="6" s="1"/>
  <c r="AW61" i="6" s="1"/>
  <c r="AY61" i="6" s="1"/>
  <c r="BE61" i="7" s="1"/>
  <c r="BG61" i="7" s="1"/>
  <c r="BI61" i="7" s="1"/>
  <c r="BK61" i="7" s="1"/>
  <c r="BM61" i="7" s="1"/>
  <c r="BO61" i="7" s="1"/>
  <c r="BQ61" i="7" s="1"/>
  <c r="BS61" i="7" s="1"/>
  <c r="BU61" i="7" s="1"/>
  <c r="BW61" i="7" s="1"/>
  <c r="BY61" i="7" s="1"/>
  <c r="CA61" i="7" s="1"/>
  <c r="CC61" i="7" s="1"/>
  <c r="BE61" i="8" s="1"/>
  <c r="BG61" i="8" s="1"/>
  <c r="BI61" i="8" s="1"/>
  <c r="BK61" i="8" s="1"/>
  <c r="BM61" i="8" s="1"/>
  <c r="BO61" i="8" s="1"/>
  <c r="BQ61" i="8" s="1"/>
  <c r="BS61" i="8" s="1"/>
  <c r="BU61" i="8" s="1"/>
  <c r="BW61" i="8" s="1"/>
  <c r="BY61" i="8" s="1"/>
  <c r="CA61" i="8" s="1"/>
  <c r="CC61" i="8" s="1"/>
  <c r="BE61" i="9" s="1"/>
  <c r="AL65" i="6"/>
  <c r="AM65" i="6" s="1"/>
  <c r="AO65" i="6" s="1"/>
  <c r="AH65" i="6"/>
  <c r="G65" i="3" s="1"/>
  <c r="AH67" i="6"/>
  <c r="AH68" i="6"/>
  <c r="AH69" i="6"/>
  <c r="AH70" i="6"/>
  <c r="AH71" i="6"/>
  <c r="AH72" i="6"/>
  <c r="AL77" i="6"/>
  <c r="AM77" i="6" s="1"/>
  <c r="AO77" i="6" s="1"/>
  <c r="AO79" i="6"/>
  <c r="AQ79" i="6" s="1"/>
  <c r="AS79" i="6" s="1"/>
  <c r="N81" i="7"/>
  <c r="C14" i="4" s="1"/>
  <c r="I14" i="4" s="1"/>
  <c r="BB12" i="7"/>
  <c r="BB32" i="7"/>
  <c r="G32" i="3" s="1"/>
  <c r="BB36" i="7"/>
  <c r="BH47" i="7"/>
  <c r="BB47" i="7"/>
  <c r="BB67" i="7"/>
  <c r="J81" i="8"/>
  <c r="C26" i="4" s="1"/>
  <c r="I26" i="4" s="1"/>
  <c r="BH4" i="8"/>
  <c r="Z81" i="8"/>
  <c r="C30" i="4" s="1"/>
  <c r="I30" i="4" s="1"/>
  <c r="BP4" i="8"/>
  <c r="AP81" i="8"/>
  <c r="C34" i="4" s="1"/>
  <c r="I34" i="4" s="1"/>
  <c r="BX4" i="8"/>
  <c r="BB21" i="8"/>
  <c r="G21" i="3" s="1"/>
  <c r="BB25" i="8"/>
  <c r="G25" i="3" s="1"/>
  <c r="BB29" i="8"/>
  <c r="BB32" i="8"/>
  <c r="BB50" i="8"/>
  <c r="BF32" i="9"/>
  <c r="BB32" i="9"/>
  <c r="AH73" i="6"/>
  <c r="BF7" i="7"/>
  <c r="BB15" i="7"/>
  <c r="BB17" i="7"/>
  <c r="BB27" i="7"/>
  <c r="BF27" i="7"/>
  <c r="BF31" i="7"/>
  <c r="BB33" i="7"/>
  <c r="G33" i="3" s="1"/>
  <c r="BF33" i="7"/>
  <c r="BB38" i="7"/>
  <c r="G38" i="3" s="1"/>
  <c r="BB40" i="7"/>
  <c r="BB42" i="7"/>
  <c r="G42" i="3" s="1"/>
  <c r="BB43" i="7"/>
  <c r="BB45" i="7"/>
  <c r="G45" i="3" s="1"/>
  <c r="BB51" i="7"/>
  <c r="BB55" i="7"/>
  <c r="BB56" i="7"/>
  <c r="G56" i="3" s="1"/>
  <c r="BB61" i="7"/>
  <c r="G61" i="3" s="1"/>
  <c r="BB63" i="7"/>
  <c r="G63" i="3" s="1"/>
  <c r="BB69" i="7"/>
  <c r="BB71" i="7"/>
  <c r="BB72" i="7"/>
  <c r="BB76" i="7"/>
  <c r="BB79" i="7"/>
  <c r="BB80" i="7"/>
  <c r="BJ4" i="8"/>
  <c r="N81" i="8"/>
  <c r="C27" i="4" s="1"/>
  <c r="I27" i="4" s="1"/>
  <c r="BR4" i="8"/>
  <c r="AD81" i="8"/>
  <c r="C31" i="4" s="1"/>
  <c r="BZ4" i="8"/>
  <c r="AT81" i="8"/>
  <c r="C35" i="4" s="1"/>
  <c r="I35" i="4" s="1"/>
  <c r="BB5" i="8"/>
  <c r="BB7" i="8"/>
  <c r="G7" i="3" s="1"/>
  <c r="BL10" i="8"/>
  <c r="R81" i="8"/>
  <c r="C28" i="4" s="1"/>
  <c r="I28" i="4" s="1"/>
  <c r="BT10" i="8"/>
  <c r="AH81" i="8"/>
  <c r="C32" i="4" s="1"/>
  <c r="I32" i="4" s="1"/>
  <c r="CB10" i="8"/>
  <c r="AX81" i="8"/>
  <c r="C36" i="4" s="1"/>
  <c r="I36" i="4" s="1"/>
  <c r="BF10" i="8"/>
  <c r="BF12" i="8"/>
  <c r="BF14" i="8"/>
  <c r="BF16" i="8"/>
  <c r="BF18" i="8"/>
  <c r="BF23" i="8"/>
  <c r="BF36" i="8"/>
  <c r="BB43" i="8"/>
  <c r="BB51" i="8"/>
  <c r="BB55" i="8"/>
  <c r="BB64" i="8"/>
  <c r="BH70" i="8"/>
  <c r="BB70" i="8"/>
  <c r="BB72" i="8"/>
  <c r="BH80" i="8"/>
  <c r="BB80" i="8"/>
  <c r="BB23" i="9"/>
  <c r="BB57" i="9"/>
  <c r="BV4" i="7"/>
  <c r="BN5" i="7"/>
  <c r="BB6" i="7"/>
  <c r="G6" i="3" s="1"/>
  <c r="BX6" i="7"/>
  <c r="BF21" i="7"/>
  <c r="BF23" i="7"/>
  <c r="BF25" i="7"/>
  <c r="BB52" i="7"/>
  <c r="BF57" i="7"/>
  <c r="BF59" i="7"/>
  <c r="BB68" i="7"/>
  <c r="BB73" i="7"/>
  <c r="BB77" i="7"/>
  <c r="G77" i="3" s="1"/>
  <c r="J81" i="7"/>
  <c r="C13" i="4" s="1"/>
  <c r="AH81" i="7"/>
  <c r="C19" i="4" s="1"/>
  <c r="I19" i="4" s="1"/>
  <c r="AX81" i="7"/>
  <c r="C23" i="4" s="1"/>
  <c r="I23" i="4" s="1"/>
  <c r="BB26" i="8"/>
  <c r="G26" i="3" s="1"/>
  <c r="BF30" i="8"/>
  <c r="BF52" i="8"/>
  <c r="BB52" i="8"/>
  <c r="BF57" i="8"/>
  <c r="BB57" i="8"/>
  <c r="BV58" i="8"/>
  <c r="BH4" i="9"/>
  <c r="BB14" i="9"/>
  <c r="BF14" i="9"/>
  <c r="BB20" i="9"/>
  <c r="BH36" i="9"/>
  <c r="BB36" i="9"/>
  <c r="BB38" i="9"/>
  <c r="BH47" i="9"/>
  <c r="BB47" i="9"/>
  <c r="AH58" i="6"/>
  <c r="G58" i="3" s="1"/>
  <c r="BB14" i="7"/>
  <c r="BB16" i="7"/>
  <c r="BB18" i="7"/>
  <c r="BB19" i="7"/>
  <c r="G19" i="3" s="1"/>
  <c r="BB28" i="7"/>
  <c r="BB35" i="7"/>
  <c r="G35" i="3" s="1"/>
  <c r="BF35" i="7"/>
  <c r="BB39" i="7"/>
  <c r="G39" i="3" s="1"/>
  <c r="BB41" i="7"/>
  <c r="BB44" i="7"/>
  <c r="G44" i="3" s="1"/>
  <c r="BB46" i="7"/>
  <c r="BB53" i="7"/>
  <c r="BB60" i="7"/>
  <c r="BB62" i="7"/>
  <c r="G62" i="3" s="1"/>
  <c r="BB64" i="7"/>
  <c r="BB70" i="7"/>
  <c r="BB74" i="7"/>
  <c r="G74" i="3" s="1"/>
  <c r="BF4" i="8"/>
  <c r="F81" i="8"/>
  <c r="C25" i="4" s="1"/>
  <c r="BN4" i="8"/>
  <c r="V81" i="8"/>
  <c r="C29" i="4" s="1"/>
  <c r="I29" i="4" s="1"/>
  <c r="BV4" i="8"/>
  <c r="AL81" i="8"/>
  <c r="C33" i="4" s="1"/>
  <c r="I33" i="4" s="1"/>
  <c r="BB4" i="8"/>
  <c r="BB6" i="8"/>
  <c r="BB8" i="8"/>
  <c r="BB28" i="8"/>
  <c r="BB45" i="8"/>
  <c r="BB46" i="8"/>
  <c r="BB66" i="8"/>
  <c r="BB4" i="9"/>
  <c r="BB8" i="9"/>
  <c r="G8" i="3" s="1"/>
  <c r="BB22" i="9"/>
  <c r="BF22" i="9"/>
  <c r="BB39" i="8"/>
  <c r="BB40" i="8"/>
  <c r="G40" i="3" s="1"/>
  <c r="BB56" i="8"/>
  <c r="BB61" i="8"/>
  <c r="BB67" i="8"/>
  <c r="BB68" i="8"/>
  <c r="BB73" i="8"/>
  <c r="BB74" i="8"/>
  <c r="BB77" i="8"/>
  <c r="BL77" i="8"/>
  <c r="BB79" i="8"/>
  <c r="BH79" i="8"/>
  <c r="BB7" i="9"/>
  <c r="BB12" i="9"/>
  <c r="BB25" i="9"/>
  <c r="BB29" i="9"/>
  <c r="BB33" i="9"/>
  <c r="BH38" i="9"/>
  <c r="BF76" i="8"/>
  <c r="BB76" i="8"/>
  <c r="R81" i="9"/>
  <c r="AH81" i="9"/>
  <c r="BF16" i="9"/>
  <c r="BB19" i="9"/>
  <c r="BB31" i="9"/>
  <c r="BF39" i="9"/>
  <c r="BB39" i="9"/>
  <c r="BB48" i="9"/>
  <c r="BB61" i="9"/>
  <c r="BF61" i="9"/>
  <c r="BB70" i="9"/>
  <c r="BB33" i="8"/>
  <c r="BB37" i="8"/>
  <c r="G37" i="3" s="1"/>
  <c r="BB44" i="8"/>
  <c r="BB69" i="8"/>
  <c r="BB78" i="8"/>
  <c r="F81" i="9"/>
  <c r="V81" i="9"/>
  <c r="AL81" i="9"/>
  <c r="BN4" i="9"/>
  <c r="BB5" i="9"/>
  <c r="BB10" i="9"/>
  <c r="BB13" i="9"/>
  <c r="BB21" i="9"/>
  <c r="BB28" i="9"/>
  <c r="BF28" i="9"/>
  <c r="BB34" i="9"/>
  <c r="BH42" i="9"/>
  <c r="BB42" i="9"/>
  <c r="BF43" i="9"/>
  <c r="BH46" i="9"/>
  <c r="BT60" i="9"/>
  <c r="BB60" i="9"/>
  <c r="BF67" i="9"/>
  <c r="BB68" i="9"/>
  <c r="BF68" i="9"/>
  <c r="BB81" i="10"/>
  <c r="BB41" i="9"/>
  <c r="BF45" i="9"/>
  <c r="BN49" i="9"/>
  <c r="BB52" i="9"/>
  <c r="BB54" i="9"/>
  <c r="BF64" i="9"/>
  <c r="BB73" i="9"/>
  <c r="BB40" i="9"/>
  <c r="BB51" i="9"/>
  <c r="BB53" i="9"/>
  <c r="BB66" i="9"/>
  <c r="BB76" i="9"/>
  <c r="BF78" i="9"/>
  <c r="BB78" i="9"/>
  <c r="BB79" i="9"/>
  <c r="BF79" i="9"/>
  <c r="BL77" i="9"/>
  <c r="BB77" i="9"/>
  <c r="BB80" i="9"/>
  <c r="AP82" i="9"/>
  <c r="N81" i="9"/>
  <c r="AD81" i="9"/>
  <c r="BC81" i="9"/>
  <c r="BJ4" i="9"/>
  <c r="BB6" i="9"/>
  <c r="BB11" i="9"/>
  <c r="BB24" i="9"/>
  <c r="BB30" i="9"/>
  <c r="G30" i="3" s="1"/>
  <c r="BB37" i="9"/>
  <c r="BB50" i="9"/>
  <c r="BB56" i="9"/>
  <c r="BB58" i="9"/>
  <c r="BB59" i="9"/>
  <c r="G59" i="3" s="1"/>
  <c r="BB69" i="9"/>
  <c r="BB71" i="9"/>
  <c r="BB74" i="9"/>
  <c r="AX82" i="9"/>
  <c r="Q18" i="21"/>
  <c r="M18" i="21" s="1"/>
  <c r="P18" i="21"/>
  <c r="AT82" i="9"/>
  <c r="G12" i="20"/>
  <c r="C41" i="28"/>
  <c r="G13" i="20"/>
  <c r="C41" i="29"/>
  <c r="L11" i="20"/>
  <c r="Q12" i="21"/>
  <c r="M12" i="21" s="1"/>
  <c r="P12" i="21"/>
  <c r="BB81" i="11"/>
  <c r="C9" i="12"/>
  <c r="C41" i="12"/>
  <c r="G4" i="20"/>
  <c r="I5" i="20"/>
  <c r="C41" i="13"/>
  <c r="I15" i="20"/>
  <c r="L4" i="20"/>
  <c r="M6" i="20"/>
  <c r="L6" i="20"/>
  <c r="K6" i="20"/>
  <c r="Q4" i="21"/>
  <c r="M4" i="21" s="1"/>
  <c r="P4" i="21" s="1"/>
  <c r="Q5" i="21"/>
  <c r="M5" i="21" s="1"/>
  <c r="P5" i="21"/>
  <c r="P10" i="21"/>
  <c r="Q10" i="21"/>
  <c r="M10" i="21" s="1"/>
  <c r="Q11" i="21"/>
  <c r="M11" i="21" s="1"/>
  <c r="P11" i="21"/>
  <c r="L8" i="20"/>
  <c r="C12" i="30"/>
  <c r="C13" i="30" s="1"/>
  <c r="F14" i="20"/>
  <c r="L14" i="20" s="1"/>
  <c r="G8" i="20"/>
  <c r="C41" i="16"/>
  <c r="C41" i="17"/>
  <c r="G9" i="20"/>
  <c r="C41" i="18"/>
  <c r="G10" i="20"/>
  <c r="M10" i="20" s="1"/>
  <c r="G11" i="20"/>
  <c r="C41" i="19"/>
  <c r="M12" i="20"/>
  <c r="M13" i="20"/>
  <c r="Q14" i="21"/>
  <c r="M14" i="21" s="1"/>
  <c r="P14" i="21"/>
  <c r="BC81" i="11"/>
  <c r="C41" i="15"/>
  <c r="L10" i="20"/>
  <c r="H5" i="20"/>
  <c r="K5" i="20"/>
  <c r="H7" i="20"/>
  <c r="K7" i="20"/>
  <c r="Q16" i="21"/>
  <c r="M16" i="21" s="1"/>
  <c r="P16" i="21"/>
  <c r="M9" i="20"/>
  <c r="C7" i="25"/>
  <c r="E17" i="23"/>
  <c r="AS37" i="6" l="1"/>
  <c r="AU37" i="6" s="1"/>
  <c r="AW37" i="6" s="1"/>
  <c r="AY37" i="6" s="1"/>
  <c r="BE37" i="7" s="1"/>
  <c r="BG37" i="7" s="1"/>
  <c r="BI37" i="7" s="1"/>
  <c r="BK37" i="7" s="1"/>
  <c r="BM37" i="7" s="1"/>
  <c r="BO37" i="7" s="1"/>
  <c r="BQ37" i="7" s="1"/>
  <c r="BS37" i="7" s="1"/>
  <c r="BU37" i="7" s="1"/>
  <c r="BW37" i="7" s="1"/>
  <c r="BY37" i="7" s="1"/>
  <c r="CA37" i="7" s="1"/>
  <c r="CC37" i="7" s="1"/>
  <c r="BE37" i="8" s="1"/>
  <c r="BG37" i="8" s="1"/>
  <c r="BI37" i="8" s="1"/>
  <c r="BK37" i="8" s="1"/>
  <c r="BM37" i="8" s="1"/>
  <c r="BO37" i="8" s="1"/>
  <c r="BQ37" i="8" s="1"/>
  <c r="BS37" i="8" s="1"/>
  <c r="BU37" i="8" s="1"/>
  <c r="BW37" i="8" s="1"/>
  <c r="BY37" i="8" s="1"/>
  <c r="CA37" i="8" s="1"/>
  <c r="CC37" i="8" s="1"/>
  <c r="BE37" i="9" s="1"/>
  <c r="BG37" i="9" s="1"/>
  <c r="BI37" i="9" s="1"/>
  <c r="BK37" i="9" s="1"/>
  <c r="BM37" i="9" s="1"/>
  <c r="BO37" i="9" s="1"/>
  <c r="BQ37" i="9" s="1"/>
  <c r="BS37" i="9" s="1"/>
  <c r="BU37" i="9" s="1"/>
  <c r="BW37" i="9" s="1"/>
  <c r="BY37" i="9" s="1"/>
  <c r="BZ37" i="9" s="1"/>
  <c r="CA37" i="9" s="1"/>
  <c r="AS32" i="6"/>
  <c r="AU32" i="6" s="1"/>
  <c r="AW32" i="6" s="1"/>
  <c r="AY32" i="6" s="1"/>
  <c r="BE32" i="7" s="1"/>
  <c r="BG32" i="7" s="1"/>
  <c r="BI32" i="7" s="1"/>
  <c r="BK32" i="7" s="1"/>
  <c r="BM32" i="7" s="1"/>
  <c r="BO32" i="7" s="1"/>
  <c r="BQ32" i="7" s="1"/>
  <c r="BS32" i="7" s="1"/>
  <c r="BU32" i="7" s="1"/>
  <c r="BW32" i="7" s="1"/>
  <c r="BY32" i="7" s="1"/>
  <c r="CA32" i="7" s="1"/>
  <c r="CC32" i="7" s="1"/>
  <c r="BE32" i="8" s="1"/>
  <c r="BG32" i="8" s="1"/>
  <c r="BI32" i="8" s="1"/>
  <c r="BK32" i="8" s="1"/>
  <c r="BL32" i="8" s="1"/>
  <c r="BM32" i="8" s="1"/>
  <c r="BO32" i="8" s="1"/>
  <c r="BQ32" i="8" s="1"/>
  <c r="BS32" i="8" s="1"/>
  <c r="BU32" i="8" s="1"/>
  <c r="BW32" i="8" s="1"/>
  <c r="BY32" i="8" s="1"/>
  <c r="CA32" i="8" s="1"/>
  <c r="CC32" i="8" s="1"/>
  <c r="BE32" i="9" s="1"/>
  <c r="BG32" i="9" s="1"/>
  <c r="BI32" i="9" s="1"/>
  <c r="BK32" i="9" s="1"/>
  <c r="BM32" i="9" s="1"/>
  <c r="BO32" i="9" s="1"/>
  <c r="BQ32" i="9" s="1"/>
  <c r="BS32" i="9" s="1"/>
  <c r="BU32" i="9" s="1"/>
  <c r="BW32" i="9" s="1"/>
  <c r="BY32" i="9" s="1"/>
  <c r="AS39" i="6"/>
  <c r="AU39" i="6" s="1"/>
  <c r="AW39" i="6" s="1"/>
  <c r="AY39" i="6" s="1"/>
  <c r="BE39" i="7" s="1"/>
  <c r="BG39" i="7" s="1"/>
  <c r="BI39" i="7" s="1"/>
  <c r="BK39" i="7" s="1"/>
  <c r="BM39" i="7" s="1"/>
  <c r="BO39" i="7" s="1"/>
  <c r="BQ39" i="7" s="1"/>
  <c r="BS39" i="7" s="1"/>
  <c r="BU39" i="7" s="1"/>
  <c r="BW39" i="7" s="1"/>
  <c r="BY39" i="7" s="1"/>
  <c r="CA39" i="7" s="1"/>
  <c r="CC39" i="7" s="1"/>
  <c r="BE39" i="8" s="1"/>
  <c r="BG39" i="8" s="1"/>
  <c r="BI39" i="8" s="1"/>
  <c r="BK39" i="8" s="1"/>
  <c r="BM39" i="8" s="1"/>
  <c r="BO39" i="8" s="1"/>
  <c r="BQ39" i="8" s="1"/>
  <c r="BS39" i="8" s="1"/>
  <c r="BU39" i="8" s="1"/>
  <c r="BW39" i="8" s="1"/>
  <c r="BY39" i="8" s="1"/>
  <c r="CA39" i="8" s="1"/>
  <c r="CC39" i="8" s="1"/>
  <c r="BE39" i="9" s="1"/>
  <c r="BG39" i="9" s="1"/>
  <c r="BI39" i="9" s="1"/>
  <c r="BK39" i="9" s="1"/>
  <c r="BM39" i="9" s="1"/>
  <c r="BO39" i="9" s="1"/>
  <c r="BQ39" i="9" s="1"/>
  <c r="BS39" i="9" s="1"/>
  <c r="BU39" i="9" s="1"/>
  <c r="BW39" i="9" s="1"/>
  <c r="BY39" i="9" s="1"/>
  <c r="BZ39" i="9" s="1"/>
  <c r="CA39" i="9" s="1"/>
  <c r="AQ80" i="6"/>
  <c r="AR80" i="6" s="1"/>
  <c r="AS80" i="6" s="1"/>
  <c r="AU9" i="6"/>
  <c r="AV9" i="6" s="1"/>
  <c r="AW9" i="6" s="1"/>
  <c r="BG18" i="8"/>
  <c r="BI18" i="8" s="1"/>
  <c r="BK18" i="8" s="1"/>
  <c r="BM18" i="8" s="1"/>
  <c r="BO18" i="8" s="1"/>
  <c r="BQ18" i="8" s="1"/>
  <c r="BS18" i="8" s="1"/>
  <c r="BU18" i="8" s="1"/>
  <c r="BW18" i="8" s="1"/>
  <c r="BY18" i="8" s="1"/>
  <c r="CA18" i="8" s="1"/>
  <c r="CC18" i="8" s="1"/>
  <c r="BE18" i="9" s="1"/>
  <c r="BG18" i="9" s="1"/>
  <c r="BI18" i="9" s="1"/>
  <c r="BK18" i="9" s="1"/>
  <c r="BM18" i="9" s="1"/>
  <c r="BO18" i="9" s="1"/>
  <c r="BQ18" i="9" s="1"/>
  <c r="BS18" i="9" s="1"/>
  <c r="BU18" i="9" s="1"/>
  <c r="BW18" i="9" s="1"/>
  <c r="BY18" i="9" s="1"/>
  <c r="BZ18" i="9" s="1"/>
  <c r="CA18" i="9" s="1"/>
  <c r="BG10" i="8"/>
  <c r="BI10" i="8" s="1"/>
  <c r="BK10" i="8" s="1"/>
  <c r="BM10" i="8" s="1"/>
  <c r="BO10" i="8" s="1"/>
  <c r="BQ10" i="8" s="1"/>
  <c r="BS10" i="8" s="1"/>
  <c r="BU10" i="8" s="1"/>
  <c r="BW10" i="8" s="1"/>
  <c r="BY10" i="8" s="1"/>
  <c r="CA10" i="8" s="1"/>
  <c r="CC10" i="8" s="1"/>
  <c r="BE10" i="9" s="1"/>
  <c r="BG10" i="9" s="1"/>
  <c r="BI10" i="9" s="1"/>
  <c r="BK10" i="9" s="1"/>
  <c r="BM10" i="9" s="1"/>
  <c r="BO10" i="9" s="1"/>
  <c r="BQ10" i="9" s="1"/>
  <c r="BS10" i="9" s="1"/>
  <c r="BU10" i="9" s="1"/>
  <c r="BW10" i="9" s="1"/>
  <c r="BY10" i="9" s="1"/>
  <c r="BZ10" i="9" s="1"/>
  <c r="CA10" i="9" s="1"/>
  <c r="BG16" i="8"/>
  <c r="BI16" i="8" s="1"/>
  <c r="BK16" i="8" s="1"/>
  <c r="BM16" i="8" s="1"/>
  <c r="BO16" i="8" s="1"/>
  <c r="BQ16" i="8" s="1"/>
  <c r="BS16" i="8" s="1"/>
  <c r="BU16" i="8" s="1"/>
  <c r="BW16" i="8" s="1"/>
  <c r="BY16" i="8" s="1"/>
  <c r="CA16" i="8" s="1"/>
  <c r="CC16" i="8" s="1"/>
  <c r="BE16" i="9" s="1"/>
  <c r="BG16" i="9" s="1"/>
  <c r="BI16" i="9" s="1"/>
  <c r="BK16" i="9" s="1"/>
  <c r="BM16" i="9" s="1"/>
  <c r="BO16" i="9" s="1"/>
  <c r="BQ16" i="9" s="1"/>
  <c r="BS16" i="9" s="1"/>
  <c r="BU16" i="9" s="1"/>
  <c r="BW16" i="9" s="1"/>
  <c r="BY16" i="9" s="1"/>
  <c r="BZ16" i="9" s="1"/>
  <c r="CA16" i="9" s="1"/>
  <c r="AW7" i="6"/>
  <c r="AY7" i="6" s="1"/>
  <c r="BE7" i="7" s="1"/>
  <c r="BG7" i="7" s="1"/>
  <c r="BI7" i="7" s="1"/>
  <c r="BK7" i="7" s="1"/>
  <c r="BM7" i="7" s="1"/>
  <c r="BO7" i="7" s="1"/>
  <c r="BQ7" i="7" s="1"/>
  <c r="BS7" i="7" s="1"/>
  <c r="BU7" i="7" s="1"/>
  <c r="BW7" i="7" s="1"/>
  <c r="BY7" i="7" s="1"/>
  <c r="CA7" i="7" s="1"/>
  <c r="CC7" i="7" s="1"/>
  <c r="BE7" i="8" s="1"/>
  <c r="BG7" i="8" s="1"/>
  <c r="BI7" i="8" s="1"/>
  <c r="BK7" i="8" s="1"/>
  <c r="BM7" i="8" s="1"/>
  <c r="BO7" i="8" s="1"/>
  <c r="BQ7" i="8" s="1"/>
  <c r="BS7" i="8" s="1"/>
  <c r="BU7" i="8" s="1"/>
  <c r="BW7" i="8" s="1"/>
  <c r="BY7" i="8" s="1"/>
  <c r="CA7" i="8" s="1"/>
  <c r="CC7" i="8" s="1"/>
  <c r="BE7" i="9" s="1"/>
  <c r="BG7" i="9" s="1"/>
  <c r="BI7" i="9" s="1"/>
  <c r="BK7" i="9" s="1"/>
  <c r="BM7" i="9" s="1"/>
  <c r="BO7" i="9" s="1"/>
  <c r="BQ7" i="9" s="1"/>
  <c r="BS7" i="9" s="1"/>
  <c r="BU7" i="9" s="1"/>
  <c r="BW7" i="9" s="1"/>
  <c r="BY7" i="9" s="1"/>
  <c r="BZ7" i="9" s="1"/>
  <c r="BG14" i="8"/>
  <c r="BI14" i="8" s="1"/>
  <c r="BK14" i="8" s="1"/>
  <c r="BM14" i="8" s="1"/>
  <c r="BO14" i="8" s="1"/>
  <c r="BQ14" i="8" s="1"/>
  <c r="BS14" i="8" s="1"/>
  <c r="BU14" i="8" s="1"/>
  <c r="BW14" i="8" s="1"/>
  <c r="BY14" i="8" s="1"/>
  <c r="CA14" i="8" s="1"/>
  <c r="CC14" i="8" s="1"/>
  <c r="BE14" i="9" s="1"/>
  <c r="BG14" i="9" s="1"/>
  <c r="BI14" i="9" s="1"/>
  <c r="BK14" i="9" s="1"/>
  <c r="BM14" i="9" s="1"/>
  <c r="BO14" i="9" s="1"/>
  <c r="BQ14" i="9" s="1"/>
  <c r="BS14" i="9" s="1"/>
  <c r="BU14" i="9" s="1"/>
  <c r="BW14" i="9" s="1"/>
  <c r="BY14" i="9" s="1"/>
  <c r="BZ14" i="9" s="1"/>
  <c r="CA14" i="9" s="1"/>
  <c r="AS30" i="6"/>
  <c r="AU30" i="6" s="1"/>
  <c r="AW30" i="6" s="1"/>
  <c r="AY30" i="6" s="1"/>
  <c r="BE30" i="7" s="1"/>
  <c r="BG30" i="7" s="1"/>
  <c r="BI30" i="7" s="1"/>
  <c r="BK30" i="7" s="1"/>
  <c r="BL30" i="7" s="1"/>
  <c r="BM30" i="7" s="1"/>
  <c r="BO30" i="7" s="1"/>
  <c r="BQ30" i="7" s="1"/>
  <c r="BS30" i="7" s="1"/>
  <c r="BU30" i="7" s="1"/>
  <c r="BW30" i="7" s="1"/>
  <c r="BY30" i="7" s="1"/>
  <c r="CA30" i="7" s="1"/>
  <c r="CC30" i="7" s="1"/>
  <c r="BE30" i="8" s="1"/>
  <c r="BG30" i="8" s="1"/>
  <c r="BI30" i="8" s="1"/>
  <c r="BK30" i="8" s="1"/>
  <c r="BM30" i="8" s="1"/>
  <c r="BO30" i="8" s="1"/>
  <c r="BQ30" i="8" s="1"/>
  <c r="BS30" i="8" s="1"/>
  <c r="BU30" i="8" s="1"/>
  <c r="BW30" i="8" s="1"/>
  <c r="BY30" i="8" s="1"/>
  <c r="CA30" i="8" s="1"/>
  <c r="CC30" i="8" s="1"/>
  <c r="BE30" i="9" s="1"/>
  <c r="BG30" i="9" s="1"/>
  <c r="BI30" i="9" s="1"/>
  <c r="BK30" i="9" s="1"/>
  <c r="BM30" i="9" s="1"/>
  <c r="BO30" i="9" s="1"/>
  <c r="BQ30" i="9" s="1"/>
  <c r="BS30" i="9" s="1"/>
  <c r="BU30" i="9" s="1"/>
  <c r="BW30" i="9" s="1"/>
  <c r="BY30" i="9" s="1"/>
  <c r="BG22" i="9"/>
  <c r="BI22" i="9" s="1"/>
  <c r="BK22" i="9" s="1"/>
  <c r="BM22" i="9" s="1"/>
  <c r="BO22" i="9" s="1"/>
  <c r="BQ22" i="9" s="1"/>
  <c r="BS22" i="9" s="1"/>
  <c r="BU22" i="9" s="1"/>
  <c r="BW22" i="9" s="1"/>
  <c r="BY22" i="9" s="1"/>
  <c r="BZ22" i="9" s="1"/>
  <c r="CA22" i="9" s="1"/>
  <c r="BG52" i="8"/>
  <c r="BI52" i="8" s="1"/>
  <c r="BK52" i="8" s="1"/>
  <c r="BL52" i="8" s="1"/>
  <c r="BM52" i="8" s="1"/>
  <c r="BO52" i="8" s="1"/>
  <c r="BQ52" i="8" s="1"/>
  <c r="BS52" i="8" s="1"/>
  <c r="BU52" i="8" s="1"/>
  <c r="BW52" i="8" s="1"/>
  <c r="BY52" i="8" s="1"/>
  <c r="CA52" i="8" s="1"/>
  <c r="CC52" i="8" s="1"/>
  <c r="BE52" i="9" s="1"/>
  <c r="BG52" i="9" s="1"/>
  <c r="BG12" i="8"/>
  <c r="BI12" i="8" s="1"/>
  <c r="BK12" i="8" s="1"/>
  <c r="BM12" i="8" s="1"/>
  <c r="BO12" i="8" s="1"/>
  <c r="BQ12" i="8" s="1"/>
  <c r="BS12" i="8" s="1"/>
  <c r="BU12" i="8" s="1"/>
  <c r="BW12" i="8" s="1"/>
  <c r="BY12" i="8" s="1"/>
  <c r="CA12" i="8" s="1"/>
  <c r="CC12" i="8" s="1"/>
  <c r="BE12" i="9" s="1"/>
  <c r="BG12" i="9" s="1"/>
  <c r="BI12" i="9" s="1"/>
  <c r="BK12" i="9" s="1"/>
  <c r="BM12" i="9" s="1"/>
  <c r="BO12" i="9" s="1"/>
  <c r="BQ12" i="9" s="1"/>
  <c r="BS12" i="9" s="1"/>
  <c r="BU12" i="9" s="1"/>
  <c r="BW12" i="9" s="1"/>
  <c r="BY12" i="9" s="1"/>
  <c r="BZ12" i="9" s="1"/>
  <c r="CA12" i="9" s="1"/>
  <c r="BG76" i="8"/>
  <c r="BI76" i="8" s="1"/>
  <c r="BK76" i="8" s="1"/>
  <c r="BL76" i="8" s="1"/>
  <c r="BM76" i="8" s="1"/>
  <c r="BG57" i="7"/>
  <c r="BI57" i="7" s="1"/>
  <c r="BK57" i="7" s="1"/>
  <c r="BM57" i="7" s="1"/>
  <c r="BO57" i="7" s="1"/>
  <c r="BQ57" i="7" s="1"/>
  <c r="BS57" i="7" s="1"/>
  <c r="BU57" i="7" s="1"/>
  <c r="BW57" i="7" s="1"/>
  <c r="BY57" i="7" s="1"/>
  <c r="CA57" i="7" s="1"/>
  <c r="CC57" i="7" s="1"/>
  <c r="BE57" i="8" s="1"/>
  <c r="BG57" i="8" s="1"/>
  <c r="BI57" i="8" s="1"/>
  <c r="BK57" i="8" s="1"/>
  <c r="BL57" i="8" s="1"/>
  <c r="BM57" i="8" s="1"/>
  <c r="BO57" i="8" s="1"/>
  <c r="BQ57" i="8" s="1"/>
  <c r="BS57" i="8" s="1"/>
  <c r="BU57" i="8" s="1"/>
  <c r="BW57" i="8" s="1"/>
  <c r="BY57" i="8" s="1"/>
  <c r="CA57" i="8" s="1"/>
  <c r="CC57" i="8" s="1"/>
  <c r="BE57" i="9" s="1"/>
  <c r="BG57" i="9" s="1"/>
  <c r="BG33" i="7"/>
  <c r="BI33" i="7" s="1"/>
  <c r="BK33" i="7" s="1"/>
  <c r="BM33" i="7" s="1"/>
  <c r="BO33" i="7" s="1"/>
  <c r="BQ33" i="7" s="1"/>
  <c r="BR33" i="7" s="1"/>
  <c r="BS33" i="7" s="1"/>
  <c r="AY27" i="6"/>
  <c r="BE27" i="7" s="1"/>
  <c r="BG27" i="7" s="1"/>
  <c r="BG45" i="9"/>
  <c r="BI45" i="9" s="1"/>
  <c r="BK45" i="9" s="1"/>
  <c r="BM45" i="9" s="1"/>
  <c r="BO45" i="9" s="1"/>
  <c r="BQ45" i="9" s="1"/>
  <c r="BS45" i="9" s="1"/>
  <c r="BU45" i="9" s="1"/>
  <c r="BW45" i="9" s="1"/>
  <c r="BY45" i="9" s="1"/>
  <c r="BZ45" i="9" s="1"/>
  <c r="F75" i="26"/>
  <c r="I74" i="3"/>
  <c r="F46" i="26"/>
  <c r="I45" i="3"/>
  <c r="F39" i="26"/>
  <c r="I38" i="3"/>
  <c r="F22" i="26"/>
  <c r="I21" i="3"/>
  <c r="B6" i="22"/>
  <c r="D11" i="1"/>
  <c r="F35" i="26"/>
  <c r="I34" i="3"/>
  <c r="F21" i="26"/>
  <c r="I20" i="3"/>
  <c r="F31" i="26"/>
  <c r="I30" i="3"/>
  <c r="F38" i="26"/>
  <c r="I37" i="3"/>
  <c r="F8" i="26"/>
  <c r="I7" i="3"/>
  <c r="F57" i="26"/>
  <c r="I56" i="3"/>
  <c r="AV26" i="6"/>
  <c r="AW26" i="6" s="1"/>
  <c r="AY26" i="6" s="1"/>
  <c r="BE26" i="7" s="1"/>
  <c r="BG26" i="7" s="1"/>
  <c r="BI26" i="7" s="1"/>
  <c r="BK26" i="7" s="1"/>
  <c r="F26" i="26"/>
  <c r="I25" i="3"/>
  <c r="F33" i="26"/>
  <c r="I32" i="3"/>
  <c r="F41" i="26"/>
  <c r="I40" i="3"/>
  <c r="F9" i="26"/>
  <c r="I8" i="3"/>
  <c r="F40" i="26"/>
  <c r="I39" i="3"/>
  <c r="F20" i="26"/>
  <c r="I19" i="3"/>
  <c r="F27" i="26"/>
  <c r="I26" i="3"/>
  <c r="F63" i="26"/>
  <c r="I62" i="3"/>
  <c r="F45" i="26"/>
  <c r="I44" i="3"/>
  <c r="F36" i="26"/>
  <c r="I35" i="3"/>
  <c r="F7" i="26"/>
  <c r="I6" i="3"/>
  <c r="F43" i="26"/>
  <c r="I42" i="3"/>
  <c r="F34" i="26"/>
  <c r="I33" i="3"/>
  <c r="F25" i="26"/>
  <c r="I24" i="3"/>
  <c r="BL42" i="7"/>
  <c r="BM42" i="7" s="1"/>
  <c r="BO42" i="7" s="1"/>
  <c r="BQ42" i="7" s="1"/>
  <c r="BS42" i="7" s="1"/>
  <c r="BU42" i="7" s="1"/>
  <c r="BW42" i="7" s="1"/>
  <c r="BY42" i="7" s="1"/>
  <c r="CA42" i="7" s="1"/>
  <c r="CC42" i="7" s="1"/>
  <c r="BE42" i="8" s="1"/>
  <c r="BG42" i="8" s="1"/>
  <c r="BI42" i="8" s="1"/>
  <c r="BZ54" i="9"/>
  <c r="CA54" i="9" s="1"/>
  <c r="BV66" i="9"/>
  <c r="BW66" i="9" s="1"/>
  <c r="F32" i="26"/>
  <c r="I31" i="3"/>
  <c r="C10" i="25"/>
  <c r="C15" i="24"/>
  <c r="D10" i="22"/>
  <c r="D13" i="1"/>
  <c r="BX50" i="9"/>
  <c r="BY50" i="9" s="1"/>
  <c r="H9" i="20"/>
  <c r="K9" i="20"/>
  <c r="H4" i="20"/>
  <c r="K4" i="20"/>
  <c r="V82" i="9"/>
  <c r="C42" i="4"/>
  <c r="I42" i="4" s="1"/>
  <c r="BB81" i="8"/>
  <c r="F78" i="26"/>
  <c r="I77" i="3"/>
  <c r="BV68" i="7"/>
  <c r="BW68" i="7" s="1"/>
  <c r="G51" i="3"/>
  <c r="G41" i="3"/>
  <c r="BZ11" i="9"/>
  <c r="CA11" i="9" s="1"/>
  <c r="AX36" i="6"/>
  <c r="AY36" i="6" s="1"/>
  <c r="BE36" i="7" s="1"/>
  <c r="BG36" i="7" s="1"/>
  <c r="BI36" i="7" s="1"/>
  <c r="BK36" i="7" s="1"/>
  <c r="BM36" i="7" s="1"/>
  <c r="F53" i="26"/>
  <c r="I52" i="3"/>
  <c r="F24" i="26"/>
  <c r="I23" i="3"/>
  <c r="F23" i="26"/>
  <c r="I22" i="3"/>
  <c r="H11" i="20"/>
  <c r="K11" i="20"/>
  <c r="G14" i="20"/>
  <c r="G15" i="20" s="1"/>
  <c r="M15" i="20" s="1"/>
  <c r="C41" i="30"/>
  <c r="M4" i="20"/>
  <c r="H13" i="20"/>
  <c r="K13" i="20"/>
  <c r="F82" i="9"/>
  <c r="C38" i="4"/>
  <c r="R82" i="9"/>
  <c r="C41" i="4"/>
  <c r="I41" i="4" s="1"/>
  <c r="BB81" i="9"/>
  <c r="I25" i="4"/>
  <c r="I37" i="4" s="1"/>
  <c r="C37" i="4"/>
  <c r="G64" i="3"/>
  <c r="G80" i="3"/>
  <c r="G73" i="3"/>
  <c r="G72" i="3"/>
  <c r="G70" i="3"/>
  <c r="G68" i="3"/>
  <c r="AP65" i="6"/>
  <c r="AQ65" i="6" s="1"/>
  <c r="AS65" i="6" s="1"/>
  <c r="AX35" i="6"/>
  <c r="AY35" i="6" s="1"/>
  <c r="BE35" i="7" s="1"/>
  <c r="BG35" i="7" s="1"/>
  <c r="BI35" i="7" s="1"/>
  <c r="BK35" i="7" s="1"/>
  <c r="BM35" i="7" s="1"/>
  <c r="G15" i="3"/>
  <c r="G11" i="3"/>
  <c r="G5" i="3"/>
  <c r="BL74" i="8"/>
  <c r="BM74" i="8" s="1"/>
  <c r="BO74" i="8" s="1"/>
  <c r="BQ74" i="8" s="1"/>
  <c r="BS74" i="8" s="1"/>
  <c r="BU74" i="8" s="1"/>
  <c r="BW74" i="8" s="1"/>
  <c r="BY74" i="8" s="1"/>
  <c r="CA74" i="8" s="1"/>
  <c r="CC74" i="8" s="1"/>
  <c r="BE74" i="9" s="1"/>
  <c r="BG74" i="9" s="1"/>
  <c r="BI74" i="9" s="1"/>
  <c r="BK74" i="9" s="1"/>
  <c r="BM74" i="9" s="1"/>
  <c r="BO74" i="9" s="1"/>
  <c r="BQ74" i="9" s="1"/>
  <c r="BS74" i="9" s="1"/>
  <c r="BU74" i="9" s="1"/>
  <c r="BW74" i="9" s="1"/>
  <c r="BY74" i="9" s="1"/>
  <c r="CB64" i="7"/>
  <c r="CC64" i="7" s="1"/>
  <c r="BE64" i="8" s="1"/>
  <c r="BG64" i="8" s="1"/>
  <c r="BI64" i="8" s="1"/>
  <c r="BK64" i="8" s="1"/>
  <c r="BM64" i="8" s="1"/>
  <c r="BO64" i="8" s="1"/>
  <c r="BQ64" i="8" s="1"/>
  <c r="BS64" i="8" s="1"/>
  <c r="BU64" i="8" s="1"/>
  <c r="BW64" i="8" s="1"/>
  <c r="BY64" i="8" s="1"/>
  <c r="CA64" i="8" s="1"/>
  <c r="CC64" i="8" s="1"/>
  <c r="BE64" i="9" s="1"/>
  <c r="BG64" i="9" s="1"/>
  <c r="BI64" i="9" s="1"/>
  <c r="BK64" i="9" s="1"/>
  <c r="BM64" i="9" s="1"/>
  <c r="BO64" i="9" s="1"/>
  <c r="BQ64" i="9" s="1"/>
  <c r="BS64" i="9" s="1"/>
  <c r="BU64" i="9" s="1"/>
  <c r="BW64" i="9" s="1"/>
  <c r="BY64" i="9" s="1"/>
  <c r="BZ53" i="9"/>
  <c r="CA53" i="9" s="1"/>
  <c r="G50" i="3"/>
  <c r="AH81" i="6"/>
  <c r="G4" i="3"/>
  <c r="G66" i="3"/>
  <c r="BN44" i="7"/>
  <c r="BO44" i="7" s="1"/>
  <c r="BQ44" i="7" s="1"/>
  <c r="BS44" i="7" s="1"/>
  <c r="BU44" i="7" s="1"/>
  <c r="G36" i="3"/>
  <c r="BI38" i="9"/>
  <c r="BK38" i="9" s="1"/>
  <c r="BM38" i="9" s="1"/>
  <c r="BO38" i="9" s="1"/>
  <c r="BQ38" i="9" s="1"/>
  <c r="BS38" i="9" s="1"/>
  <c r="BU38" i="9" s="1"/>
  <c r="BW38" i="9" s="1"/>
  <c r="BY38" i="9" s="1"/>
  <c r="BN29" i="9"/>
  <c r="BO29" i="9" s="1"/>
  <c r="BQ29" i="9" s="1"/>
  <c r="BS29" i="9" s="1"/>
  <c r="BU29" i="9" s="1"/>
  <c r="BW29" i="9" s="1"/>
  <c r="BG31" i="7"/>
  <c r="BI31" i="7" s="1"/>
  <c r="BK31" i="7" s="1"/>
  <c r="BM31" i="7" s="1"/>
  <c r="BO31" i="7" s="1"/>
  <c r="BQ31" i="7" s="1"/>
  <c r="BS31" i="7" s="1"/>
  <c r="BU31" i="7" s="1"/>
  <c r="BW31" i="7" s="1"/>
  <c r="BY31" i="7" s="1"/>
  <c r="CA31" i="7" s="1"/>
  <c r="CC31" i="7" s="1"/>
  <c r="BE31" i="8" s="1"/>
  <c r="BG31" i="8" s="1"/>
  <c r="BI31" i="8" s="1"/>
  <c r="BK31" i="8" s="1"/>
  <c r="BZ20" i="9"/>
  <c r="CA20" i="9" s="1"/>
  <c r="AV49" i="6"/>
  <c r="AW49" i="6" s="1"/>
  <c r="AT48" i="6"/>
  <c r="AU48" i="6" s="1"/>
  <c r="AW48" i="6" s="1"/>
  <c r="BZ17" i="9"/>
  <c r="CA17" i="9" s="1"/>
  <c r="AY5" i="6"/>
  <c r="BE5" i="7" s="1"/>
  <c r="BG5" i="7" s="1"/>
  <c r="BI5" i="7" s="1"/>
  <c r="BK5" i="7" s="1"/>
  <c r="BM5" i="7" s="1"/>
  <c r="BO5" i="7" s="1"/>
  <c r="BQ5" i="7" s="1"/>
  <c r="BS5" i="7" s="1"/>
  <c r="BU5" i="7" s="1"/>
  <c r="BW5" i="7" s="1"/>
  <c r="BY5" i="7" s="1"/>
  <c r="CA5" i="7" s="1"/>
  <c r="CC5" i="7" s="1"/>
  <c r="BE5" i="8" s="1"/>
  <c r="BG5" i="8" s="1"/>
  <c r="BI5" i="8" s="1"/>
  <c r="BK5" i="8" s="1"/>
  <c r="BM5" i="8" s="1"/>
  <c r="BO5" i="8" s="1"/>
  <c r="BQ5" i="8" s="1"/>
  <c r="BS5" i="8" s="1"/>
  <c r="BU5" i="8" s="1"/>
  <c r="BW5" i="8" s="1"/>
  <c r="BY5" i="8" s="1"/>
  <c r="CA5" i="8" s="1"/>
  <c r="CC5" i="8" s="1"/>
  <c r="BE5" i="9" s="1"/>
  <c r="BG5" i="9" s="1"/>
  <c r="BI5" i="9" s="1"/>
  <c r="BK5" i="9" s="1"/>
  <c r="BM5" i="9" s="1"/>
  <c r="BO5" i="9" s="1"/>
  <c r="BQ5" i="9" s="1"/>
  <c r="BS5" i="9" s="1"/>
  <c r="BU5" i="9" s="1"/>
  <c r="D12" i="23"/>
  <c r="F62" i="26"/>
  <c r="I61" i="3"/>
  <c r="BF70" i="7"/>
  <c r="BG70" i="7" s="1"/>
  <c r="BI70" i="7" s="1"/>
  <c r="BK70" i="7" s="1"/>
  <c r="BM70" i="7" s="1"/>
  <c r="BO70" i="7" s="1"/>
  <c r="F17" i="26"/>
  <c r="I16" i="3"/>
  <c r="BH75" i="9"/>
  <c r="BI75" i="9" s="1"/>
  <c r="BK75" i="9" s="1"/>
  <c r="BM75" i="9" s="1"/>
  <c r="BO75" i="9" s="1"/>
  <c r="BQ75" i="9" s="1"/>
  <c r="BS75" i="9" s="1"/>
  <c r="BU75" i="9" s="1"/>
  <c r="BW75" i="9" s="1"/>
  <c r="AX6" i="6"/>
  <c r="AY6" i="6" s="1"/>
  <c r="BE6" i="7" s="1"/>
  <c r="BG6" i="7" s="1"/>
  <c r="BI6" i="7" s="1"/>
  <c r="BK6" i="7" s="1"/>
  <c r="BM6" i="7" s="1"/>
  <c r="BO6" i="7" s="1"/>
  <c r="BQ6" i="7" s="1"/>
  <c r="BS6" i="7" s="1"/>
  <c r="BU6" i="7" s="1"/>
  <c r="BW6" i="7" s="1"/>
  <c r="BY6" i="7" s="1"/>
  <c r="CA6" i="7" s="1"/>
  <c r="CC6" i="7" s="1"/>
  <c r="BE6" i="8" s="1"/>
  <c r="BG6" i="8" s="1"/>
  <c r="BI6" i="8" s="1"/>
  <c r="BK6" i="8" s="1"/>
  <c r="BM6" i="8" s="1"/>
  <c r="BO6" i="8" s="1"/>
  <c r="BQ6" i="8" s="1"/>
  <c r="BS6" i="8" s="1"/>
  <c r="BU6" i="8" s="1"/>
  <c r="BW6" i="8" s="1"/>
  <c r="BY6" i="8" s="1"/>
  <c r="CA6" i="8" s="1"/>
  <c r="CC6" i="8" s="1"/>
  <c r="BE6" i="9" s="1"/>
  <c r="BG6" i="9" s="1"/>
  <c r="BI6" i="9" s="1"/>
  <c r="BK6" i="9" s="1"/>
  <c r="BM6" i="9" s="1"/>
  <c r="BO6" i="9" s="1"/>
  <c r="BQ6" i="9" s="1"/>
  <c r="BS6" i="9" s="1"/>
  <c r="BU6" i="9" s="1"/>
  <c r="BW6" i="9" s="1"/>
  <c r="BY6" i="9" s="1"/>
  <c r="F44" i="26"/>
  <c r="I43" i="3"/>
  <c r="F29" i="26"/>
  <c r="I28" i="3"/>
  <c r="G79" i="3"/>
  <c r="AT79" i="6"/>
  <c r="AU79" i="6" s="1"/>
  <c r="BF71" i="7"/>
  <c r="BG71" i="7" s="1"/>
  <c r="BI71" i="7" s="1"/>
  <c r="BK71" i="7" s="1"/>
  <c r="BM71" i="7" s="1"/>
  <c r="BO71" i="7" s="1"/>
  <c r="BQ71" i="7" s="1"/>
  <c r="BS71" i="7" s="1"/>
  <c r="BU71" i="7" s="1"/>
  <c r="BW71" i="7" s="1"/>
  <c r="BY71" i="7" s="1"/>
  <c r="CA71" i="7" s="1"/>
  <c r="CC71" i="7" s="1"/>
  <c r="BE71" i="8" s="1"/>
  <c r="BG71" i="8" s="1"/>
  <c r="BI71" i="8" s="1"/>
  <c r="BK71" i="8" s="1"/>
  <c r="BM71" i="8" s="1"/>
  <c r="BO71" i="8" s="1"/>
  <c r="BQ71" i="8" s="1"/>
  <c r="BV69" i="7"/>
  <c r="BW69" i="7" s="1"/>
  <c r="BV67" i="7"/>
  <c r="BW67" i="7" s="1"/>
  <c r="BG61" i="9"/>
  <c r="BI61" i="9" s="1"/>
  <c r="BK61" i="9" s="1"/>
  <c r="BM61" i="9" s="1"/>
  <c r="BO61" i="9" s="1"/>
  <c r="BQ61" i="9" s="1"/>
  <c r="BS61" i="9" s="1"/>
  <c r="BU61" i="9" s="1"/>
  <c r="BW61" i="9" s="1"/>
  <c r="BY61" i="9" s="1"/>
  <c r="G18" i="3"/>
  <c r="G14" i="3"/>
  <c r="G10" i="3"/>
  <c r="G27" i="3"/>
  <c r="BL60" i="7"/>
  <c r="BM60" i="7" s="1"/>
  <c r="BO60" i="7" s="1"/>
  <c r="BQ60" i="7" s="1"/>
  <c r="BL56" i="7"/>
  <c r="BM56" i="7" s="1"/>
  <c r="BO56" i="7" s="1"/>
  <c r="BQ56" i="7" s="1"/>
  <c r="BS56" i="7" s="1"/>
  <c r="BU56" i="7" s="1"/>
  <c r="BW56" i="7" s="1"/>
  <c r="BY56" i="7" s="1"/>
  <c r="CA56" i="7" s="1"/>
  <c r="CC56" i="7" s="1"/>
  <c r="BE56" i="8" s="1"/>
  <c r="BG56" i="8" s="1"/>
  <c r="BI56" i="8" s="1"/>
  <c r="BK56" i="8" s="1"/>
  <c r="BM56" i="8" s="1"/>
  <c r="BO56" i="8" s="1"/>
  <c r="BQ56" i="8" s="1"/>
  <c r="BS56" i="8" s="1"/>
  <c r="BU56" i="8" s="1"/>
  <c r="BW56" i="8" s="1"/>
  <c r="BY56" i="8" s="1"/>
  <c r="CA56" i="8" s="1"/>
  <c r="CC56" i="8" s="1"/>
  <c r="BE56" i="9" s="1"/>
  <c r="BG56" i="9" s="1"/>
  <c r="BI56" i="9" s="1"/>
  <c r="BK56" i="9" s="1"/>
  <c r="BM56" i="9" s="1"/>
  <c r="BO56" i="9" s="1"/>
  <c r="BQ56" i="9" s="1"/>
  <c r="BS56" i="9" s="1"/>
  <c r="BU56" i="9" s="1"/>
  <c r="BW56" i="9" s="1"/>
  <c r="BY56" i="9" s="1"/>
  <c r="G53" i="3"/>
  <c r="G48" i="3"/>
  <c r="BB81" i="7"/>
  <c r="BZ63" i="9"/>
  <c r="CA63" i="9" s="1"/>
  <c r="BZ51" i="9"/>
  <c r="CA51" i="9" s="1"/>
  <c r="BG43" i="9"/>
  <c r="BI43" i="9" s="1"/>
  <c r="BK43" i="9" s="1"/>
  <c r="BM43" i="9" s="1"/>
  <c r="BO43" i="9" s="1"/>
  <c r="BQ43" i="9" s="1"/>
  <c r="BS43" i="9" s="1"/>
  <c r="BU43" i="9" s="1"/>
  <c r="BW43" i="9" s="1"/>
  <c r="BY43" i="9" s="1"/>
  <c r="C11" i="4"/>
  <c r="I4" i="4"/>
  <c r="I11" i="4" s="1"/>
  <c r="BZ62" i="9"/>
  <c r="CA62" i="9" s="1"/>
  <c r="G29" i="3"/>
  <c r="AT47" i="6"/>
  <c r="AU47" i="6" s="1"/>
  <c r="AW47" i="6" s="1"/>
  <c r="BG25" i="7"/>
  <c r="BI25" i="7" s="1"/>
  <c r="BK25" i="7" s="1"/>
  <c r="BM25" i="7" s="1"/>
  <c r="BO25" i="7" s="1"/>
  <c r="BQ25" i="7" s="1"/>
  <c r="BS25" i="7" s="1"/>
  <c r="BU25" i="7" s="1"/>
  <c r="BW25" i="7" s="1"/>
  <c r="BY25" i="7" s="1"/>
  <c r="CA25" i="7" s="1"/>
  <c r="CC25" i="7" s="1"/>
  <c r="BE25" i="8" s="1"/>
  <c r="BG25" i="8" s="1"/>
  <c r="BI25" i="8" s="1"/>
  <c r="BK25" i="8" s="1"/>
  <c r="BM25" i="8" s="1"/>
  <c r="C10" i="24"/>
  <c r="B8" i="22"/>
  <c r="C8" i="25"/>
  <c r="H11" i="1"/>
  <c r="AT46" i="6"/>
  <c r="AU46" i="6" s="1"/>
  <c r="AW46" i="6" s="1"/>
  <c r="BT13" i="7"/>
  <c r="BU13" i="7" s="1"/>
  <c r="BW13" i="7" s="1"/>
  <c r="BY13" i="7" s="1"/>
  <c r="CA13" i="7" s="1"/>
  <c r="CC13" i="7" s="1"/>
  <c r="BE13" i="8" s="1"/>
  <c r="BG13" i="8" s="1"/>
  <c r="BI13" i="8" s="1"/>
  <c r="BK13" i="8" s="1"/>
  <c r="BM13" i="8" s="1"/>
  <c r="BO13" i="8" s="1"/>
  <c r="BQ13" i="8" s="1"/>
  <c r="BS13" i="8" s="1"/>
  <c r="BU13" i="8" s="1"/>
  <c r="BW13" i="8" s="1"/>
  <c r="BY13" i="8" s="1"/>
  <c r="CA13" i="8" s="1"/>
  <c r="CC13" i="8" s="1"/>
  <c r="BE13" i="9" s="1"/>
  <c r="BG13" i="9" s="1"/>
  <c r="F60" i="26"/>
  <c r="I59" i="3"/>
  <c r="N82" i="9"/>
  <c r="C40" i="4"/>
  <c r="I40" i="4" s="1"/>
  <c r="AH82" i="9"/>
  <c r="C45" i="4"/>
  <c r="I45" i="4" s="1"/>
  <c r="F59" i="26"/>
  <c r="I58" i="3"/>
  <c r="BZ72" i="9"/>
  <c r="CA72" i="9" s="1"/>
  <c r="F66" i="26"/>
  <c r="I65" i="3"/>
  <c r="G12" i="3"/>
  <c r="F79" i="26"/>
  <c r="I78" i="3"/>
  <c r="F58" i="26"/>
  <c r="I57" i="3"/>
  <c r="BL55" i="7"/>
  <c r="BM55" i="7" s="1"/>
  <c r="BO55" i="7" s="1"/>
  <c r="BQ55" i="7" s="1"/>
  <c r="BS55" i="7" s="1"/>
  <c r="BU55" i="7" s="1"/>
  <c r="BZ41" i="9"/>
  <c r="CA41" i="9" s="1"/>
  <c r="BG21" i="7"/>
  <c r="BI21" i="7" s="1"/>
  <c r="BK21" i="7" s="1"/>
  <c r="BM21" i="7" s="1"/>
  <c r="BO21" i="7" s="1"/>
  <c r="BQ21" i="7" s="1"/>
  <c r="BS21" i="7" s="1"/>
  <c r="BU21" i="7" s="1"/>
  <c r="BW21" i="7" s="1"/>
  <c r="BY21" i="7" s="1"/>
  <c r="CA21" i="7" s="1"/>
  <c r="CC21" i="7" s="1"/>
  <c r="BE21" i="8" s="1"/>
  <c r="BG21" i="8" s="1"/>
  <c r="BI21" i="8" s="1"/>
  <c r="BK21" i="8" s="1"/>
  <c r="BM21" i="8" s="1"/>
  <c r="BO21" i="8" s="1"/>
  <c r="BQ21" i="8" s="1"/>
  <c r="BS21" i="8" s="1"/>
  <c r="BU21" i="8" s="1"/>
  <c r="BW21" i="8" s="1"/>
  <c r="BY21" i="8" s="1"/>
  <c r="CA21" i="8" s="1"/>
  <c r="CC21" i="8" s="1"/>
  <c r="BE21" i="9" s="1"/>
  <c r="BG21" i="9" s="1"/>
  <c r="BI21" i="9" s="1"/>
  <c r="BK21" i="9" s="1"/>
  <c r="BM21" i="9" s="1"/>
  <c r="BO21" i="9" s="1"/>
  <c r="BQ21" i="9" s="1"/>
  <c r="BS21" i="9" s="1"/>
  <c r="BU21" i="9" s="1"/>
  <c r="BZ73" i="9"/>
  <c r="CA73" i="9" s="1"/>
  <c r="H10" i="20"/>
  <c r="K10" i="20"/>
  <c r="M11" i="20"/>
  <c r="F15" i="20"/>
  <c r="H8" i="20"/>
  <c r="K8" i="20"/>
  <c r="M8" i="20"/>
  <c r="M5" i="20"/>
  <c r="L5" i="20"/>
  <c r="K12" i="20"/>
  <c r="H12" i="20"/>
  <c r="AD82" i="9"/>
  <c r="C44" i="4"/>
  <c r="I44" i="4" s="1"/>
  <c r="AL82" i="9"/>
  <c r="C46" i="4"/>
  <c r="I46" i="4" s="1"/>
  <c r="G60" i="3"/>
  <c r="G76" i="3"/>
  <c r="F64" i="26"/>
  <c r="I63" i="3"/>
  <c r="AP77" i="6"/>
  <c r="AQ77" i="6" s="1"/>
  <c r="G71" i="3"/>
  <c r="G69" i="3"/>
  <c r="G67" i="3"/>
  <c r="G55" i="3"/>
  <c r="G17" i="3"/>
  <c r="G13" i="3"/>
  <c r="G9" i="3"/>
  <c r="AT78" i="6"/>
  <c r="AU78" i="6" s="1"/>
  <c r="AW78" i="6" s="1"/>
  <c r="AY78" i="6" s="1"/>
  <c r="BE78" i="7" s="1"/>
  <c r="G54" i="3"/>
  <c r="I12" i="4"/>
  <c r="I24" i="4" s="1"/>
  <c r="C24" i="4"/>
  <c r="BG59" i="7"/>
  <c r="BI59" i="7" s="1"/>
  <c r="BK59" i="7" s="1"/>
  <c r="BM59" i="7" s="1"/>
  <c r="BO59" i="7" s="1"/>
  <c r="BQ59" i="7" s="1"/>
  <c r="BS59" i="7" s="1"/>
  <c r="BU59" i="7" s="1"/>
  <c r="BW59" i="7" s="1"/>
  <c r="BY59" i="7" s="1"/>
  <c r="CA59" i="7" s="1"/>
  <c r="CC59" i="7" s="1"/>
  <c r="BE59" i="8" s="1"/>
  <c r="BG59" i="8" s="1"/>
  <c r="BI59" i="8" s="1"/>
  <c r="BK59" i="8" s="1"/>
  <c r="BM59" i="8" s="1"/>
  <c r="BO59" i="8" s="1"/>
  <c r="BQ59" i="8" s="1"/>
  <c r="BS59" i="8" s="1"/>
  <c r="BU59" i="8" s="1"/>
  <c r="BW59" i="8" s="1"/>
  <c r="BY59" i="8" s="1"/>
  <c r="CA59" i="8" s="1"/>
  <c r="CC59" i="8" s="1"/>
  <c r="BE59" i="9" s="1"/>
  <c r="BG59" i="9" s="1"/>
  <c r="BI59" i="9" s="1"/>
  <c r="BK59" i="9" s="1"/>
  <c r="BM59" i="9" s="1"/>
  <c r="BO59" i="9" s="1"/>
  <c r="BQ59" i="9" s="1"/>
  <c r="BS59" i="9" s="1"/>
  <c r="BU59" i="9" s="1"/>
  <c r="BW59" i="9" s="1"/>
  <c r="BY59" i="9" s="1"/>
  <c r="G46" i="3"/>
  <c r="BH34" i="8"/>
  <c r="BI34" i="8" s="1"/>
  <c r="BK34" i="8" s="1"/>
  <c r="BM34" i="8" s="1"/>
  <c r="BO34" i="8" s="1"/>
  <c r="BQ34" i="8" s="1"/>
  <c r="BS34" i="8" s="1"/>
  <c r="BU34" i="8" s="1"/>
  <c r="BW34" i="8" s="1"/>
  <c r="BY34" i="8" s="1"/>
  <c r="CA34" i="8" s="1"/>
  <c r="CC34" i="8" s="1"/>
  <c r="BE34" i="9" s="1"/>
  <c r="BG34" i="9" s="1"/>
  <c r="BI34" i="9" s="1"/>
  <c r="BK34" i="9" s="1"/>
  <c r="BM34" i="9" s="1"/>
  <c r="BO34" i="9" s="1"/>
  <c r="BQ34" i="9" s="1"/>
  <c r="BS34" i="9" s="1"/>
  <c r="BU34" i="9" s="1"/>
  <c r="BW34" i="9" s="1"/>
  <c r="BY34" i="9" s="1"/>
  <c r="AQ4" i="6"/>
  <c r="AS4" i="6" s="1"/>
  <c r="AU4" i="6" s="1"/>
  <c r="G47" i="3"/>
  <c r="AR19" i="6"/>
  <c r="AS19" i="6" s="1"/>
  <c r="AU19" i="6" s="1"/>
  <c r="AW19" i="6" s="1"/>
  <c r="AY19" i="6" s="1"/>
  <c r="BE19" i="7" s="1"/>
  <c r="BL15" i="9"/>
  <c r="BM15" i="9" s="1"/>
  <c r="BO15" i="9" s="1"/>
  <c r="BQ15" i="9" s="1"/>
  <c r="BS15" i="9" s="1"/>
  <c r="BU15" i="9" s="1"/>
  <c r="BW15" i="9" s="1"/>
  <c r="BY15" i="9" s="1"/>
  <c r="AV58" i="6"/>
  <c r="AW58" i="6" s="1"/>
  <c r="BV40" i="8"/>
  <c r="BW40" i="8" s="1"/>
  <c r="BY40" i="8" s="1"/>
  <c r="CA40" i="8" s="1"/>
  <c r="CC40" i="8" s="1"/>
  <c r="BE40" i="9" s="1"/>
  <c r="BG40" i="9" s="1"/>
  <c r="BI40" i="9" s="1"/>
  <c r="BK40" i="9" s="1"/>
  <c r="BM40" i="9" s="1"/>
  <c r="BO40" i="9" s="1"/>
  <c r="BQ40" i="9" s="1"/>
  <c r="BS40" i="9" s="1"/>
  <c r="BU40" i="9" s="1"/>
  <c r="BW40" i="9" s="1"/>
  <c r="BY40" i="9" s="1"/>
  <c r="BT28" i="7"/>
  <c r="BU28" i="7" s="1"/>
  <c r="BW28" i="7" s="1"/>
  <c r="BY28" i="7" s="1"/>
  <c r="CA28" i="7" s="1"/>
  <c r="CC28" i="7" s="1"/>
  <c r="BE28" i="8" s="1"/>
  <c r="BG28" i="8" s="1"/>
  <c r="BI28" i="8" s="1"/>
  <c r="BK28" i="8" s="1"/>
  <c r="BM28" i="8" s="1"/>
  <c r="BO28" i="8" s="1"/>
  <c r="BF24" i="9"/>
  <c r="BG24" i="9" s="1"/>
  <c r="BI24" i="9" s="1"/>
  <c r="BK24" i="9" s="1"/>
  <c r="BM24" i="9" s="1"/>
  <c r="BO24" i="9" s="1"/>
  <c r="BQ24" i="9" s="1"/>
  <c r="BS24" i="9" s="1"/>
  <c r="BU24" i="9" s="1"/>
  <c r="BW24" i="9" s="1"/>
  <c r="BY24" i="9" s="1"/>
  <c r="BG23" i="7"/>
  <c r="BI23" i="7" s="1"/>
  <c r="BK23" i="7" s="1"/>
  <c r="BM23" i="7" s="1"/>
  <c r="BO23" i="7" s="1"/>
  <c r="BQ23" i="7" s="1"/>
  <c r="BS23" i="7" s="1"/>
  <c r="BU23" i="7" s="1"/>
  <c r="BW23" i="7" s="1"/>
  <c r="BY23" i="7" s="1"/>
  <c r="CA23" i="7" s="1"/>
  <c r="CC23" i="7" s="1"/>
  <c r="BE23" i="8" s="1"/>
  <c r="BG23" i="8" s="1"/>
  <c r="BI23" i="8" s="1"/>
  <c r="BK23" i="8" s="1"/>
  <c r="BM23" i="8" s="1"/>
  <c r="BO23" i="8" s="1"/>
  <c r="BQ23" i="8" s="1"/>
  <c r="BS23" i="8" s="1"/>
  <c r="BU23" i="8" s="1"/>
  <c r="BW23" i="8" s="1"/>
  <c r="BY23" i="8" s="1"/>
  <c r="CA23" i="8" s="1"/>
  <c r="CC23" i="8" s="1"/>
  <c r="BE23" i="9" s="1"/>
  <c r="BG23" i="9" s="1"/>
  <c r="BI23" i="9" s="1"/>
  <c r="BK23" i="9" s="1"/>
  <c r="BM23" i="9" s="1"/>
  <c r="BO23" i="9" s="1"/>
  <c r="BQ23" i="9" s="1"/>
  <c r="BS23" i="9" s="1"/>
  <c r="BU23" i="9" s="1"/>
  <c r="BW23" i="9" s="1"/>
  <c r="BY23" i="9" s="1"/>
  <c r="BG8" i="7"/>
  <c r="BI8" i="7" s="1"/>
  <c r="BK8" i="7" s="1"/>
  <c r="BM8" i="7" s="1"/>
  <c r="BO8" i="7" s="1"/>
  <c r="BQ8" i="7" s="1"/>
  <c r="BS8" i="7" s="1"/>
  <c r="BV5" i="9" l="1"/>
  <c r="BW5" i="9" s="1"/>
  <c r="BY5" i="9" s="1"/>
  <c r="BZ5" i="9" s="1"/>
  <c r="CA5" i="9" s="1"/>
  <c r="CA7" i="9"/>
  <c r="CB7" i="9" s="1"/>
  <c r="CC7" i="9" s="1"/>
  <c r="BE7" i="10" s="1"/>
  <c r="CA45" i="9"/>
  <c r="CB45" i="9" s="1"/>
  <c r="CC45" i="9" s="1"/>
  <c r="BE45" i="10" s="1"/>
  <c r="BZ40" i="9"/>
  <c r="CA40" i="9" s="1"/>
  <c r="CB17" i="9"/>
  <c r="CC17" i="9" s="1"/>
  <c r="BE17" i="10" s="1"/>
  <c r="AT80" i="6"/>
  <c r="AU80" i="6" s="1"/>
  <c r="CB73" i="9"/>
  <c r="CC73" i="9" s="1"/>
  <c r="BE73" i="10" s="1"/>
  <c r="CB72" i="9"/>
  <c r="CC72" i="9" s="1"/>
  <c r="BE72" i="10" s="1"/>
  <c r="CB62" i="9"/>
  <c r="CC62" i="9" s="1"/>
  <c r="BE62" i="10" s="1"/>
  <c r="CB51" i="9"/>
  <c r="CC51" i="9" s="1"/>
  <c r="BE51" i="10" s="1"/>
  <c r="BZ6" i="9"/>
  <c r="CA6" i="9" s="1"/>
  <c r="AX48" i="6"/>
  <c r="AY48" i="6" s="1"/>
  <c r="BE48" i="7" s="1"/>
  <c r="BG48" i="7" s="1"/>
  <c r="BI48" i="7" s="1"/>
  <c r="BK48" i="7" s="1"/>
  <c r="BM48" i="7" s="1"/>
  <c r="BX29" i="9"/>
  <c r="BY29" i="9" s="1"/>
  <c r="BZ74" i="9"/>
  <c r="CA74" i="9" s="1"/>
  <c r="BN35" i="7"/>
  <c r="BO35" i="7" s="1"/>
  <c r="CB11" i="9"/>
  <c r="CC11" i="9" s="1"/>
  <c r="BE11" i="10" s="1"/>
  <c r="BJ42" i="8"/>
  <c r="BK42" i="8" s="1"/>
  <c r="BZ30" i="9"/>
  <c r="CA30" i="9" s="1"/>
  <c r="BH57" i="9"/>
  <c r="BI57" i="9" s="1"/>
  <c r="CB63" i="9"/>
  <c r="CC63" i="9" s="1"/>
  <c r="BE63" i="10" s="1"/>
  <c r="BX67" i="7"/>
  <c r="BY67" i="7" s="1"/>
  <c r="CA67" i="7" s="1"/>
  <c r="BX75" i="9"/>
  <c r="BY75" i="9" s="1"/>
  <c r="AT65" i="6"/>
  <c r="AU65" i="6" s="1"/>
  <c r="AW65" i="6" s="1"/>
  <c r="AY65" i="6" s="1"/>
  <c r="BE65" i="7" s="1"/>
  <c r="BG65" i="7" s="1"/>
  <c r="BX66" i="9"/>
  <c r="BY66" i="9" s="1"/>
  <c r="BT33" i="7"/>
  <c r="BU33" i="7" s="1"/>
  <c r="BW33" i="7" s="1"/>
  <c r="BY33" i="7" s="1"/>
  <c r="CA33" i="7" s="1"/>
  <c r="CC33" i="7" s="1"/>
  <c r="BE33" i="8" s="1"/>
  <c r="BG33" i="8" s="1"/>
  <c r="BI33" i="8" s="1"/>
  <c r="BK33" i="8" s="1"/>
  <c r="BM33" i="8" s="1"/>
  <c r="BO33" i="8" s="1"/>
  <c r="BQ33" i="8" s="1"/>
  <c r="CB14" i="9"/>
  <c r="CC14" i="9" s="1"/>
  <c r="BE14" i="10" s="1"/>
  <c r="BZ15" i="9"/>
  <c r="CA15" i="9" s="1"/>
  <c r="CB41" i="9"/>
  <c r="CC41" i="9" s="1"/>
  <c r="BE41" i="10" s="1"/>
  <c r="AX47" i="6"/>
  <c r="AY47" i="6" s="1"/>
  <c r="BE47" i="7" s="1"/>
  <c r="BG47" i="7" s="1"/>
  <c r="BI47" i="7" s="1"/>
  <c r="BK47" i="7" s="1"/>
  <c r="BM47" i="7" s="1"/>
  <c r="BX69" i="7"/>
  <c r="BY69" i="7" s="1"/>
  <c r="CA69" i="7" s="1"/>
  <c r="BH52" i="9"/>
  <c r="BI52" i="9" s="1"/>
  <c r="CB53" i="9"/>
  <c r="CC53" i="9" s="1"/>
  <c r="BE53" i="10" s="1"/>
  <c r="CB37" i="9"/>
  <c r="CC37" i="9" s="1"/>
  <c r="BE37" i="10" s="1"/>
  <c r="CB22" i="9"/>
  <c r="CC22" i="9" s="1"/>
  <c r="BE22" i="10" s="1"/>
  <c r="BR60" i="7"/>
  <c r="BS60" i="7" s="1"/>
  <c r="AX9" i="6"/>
  <c r="AY9" i="6" s="1"/>
  <c r="BE9" i="7" s="1"/>
  <c r="BZ64" i="9"/>
  <c r="CA64" i="9" s="1"/>
  <c r="BX68" i="7"/>
  <c r="BY68" i="7" s="1"/>
  <c r="CA68" i="7" s="1"/>
  <c r="CB54" i="9"/>
  <c r="CC54" i="9" s="1"/>
  <c r="BE54" i="10" s="1"/>
  <c r="CB39" i="9"/>
  <c r="CC39" i="9" s="1"/>
  <c r="BE39" i="10" s="1"/>
  <c r="BL26" i="7"/>
  <c r="BM26" i="7" s="1"/>
  <c r="BT8" i="7"/>
  <c r="BU8" i="7" s="1"/>
  <c r="BW8" i="7" s="1"/>
  <c r="BY8" i="7" s="1"/>
  <c r="CA8" i="7" s="1"/>
  <c r="CC8" i="7" s="1"/>
  <c r="BE8" i="8" s="1"/>
  <c r="BG8" i="8" s="1"/>
  <c r="BI8" i="8" s="1"/>
  <c r="BK8" i="8" s="1"/>
  <c r="BF19" i="7"/>
  <c r="BG19" i="7" s="1"/>
  <c r="BI19" i="7" s="1"/>
  <c r="BK19" i="7" s="1"/>
  <c r="BM19" i="7" s="1"/>
  <c r="BO19" i="7" s="1"/>
  <c r="BQ19" i="7" s="1"/>
  <c r="BS19" i="7" s="1"/>
  <c r="BU19" i="7" s="1"/>
  <c r="BW19" i="7" s="1"/>
  <c r="BY19" i="7" s="1"/>
  <c r="CA19" i="7" s="1"/>
  <c r="BZ56" i="9"/>
  <c r="CA56" i="9" s="1"/>
  <c r="F28" i="26"/>
  <c r="I27" i="3"/>
  <c r="AV79" i="6"/>
  <c r="AW79" i="6" s="1"/>
  <c r="AY79" i="6" s="1"/>
  <c r="BE79" i="7" s="1"/>
  <c r="BH27" i="7"/>
  <c r="BI27" i="7" s="1"/>
  <c r="BV44" i="7"/>
  <c r="BW44" i="7" s="1"/>
  <c r="BY44" i="7" s="1"/>
  <c r="CA44" i="7" s="1"/>
  <c r="F65" i="26"/>
  <c r="I64" i="3"/>
  <c r="F42" i="26"/>
  <c r="I41" i="3"/>
  <c r="BN76" i="8"/>
  <c r="BO76" i="8" s="1"/>
  <c r="CB16" i="9"/>
  <c r="CC16" i="9" s="1"/>
  <c r="BE16" i="10" s="1"/>
  <c r="BZ23" i="9"/>
  <c r="CA23" i="9" s="1"/>
  <c r="F10" i="26"/>
  <c r="I9" i="3"/>
  <c r="F68" i="26"/>
  <c r="I67" i="3"/>
  <c r="F61" i="26"/>
  <c r="I60" i="3"/>
  <c r="D8" i="22"/>
  <c r="H15" i="1" s="1"/>
  <c r="L9" i="1" s="1"/>
  <c r="C12" i="23"/>
  <c r="E12" i="23" s="1"/>
  <c r="BN25" i="8"/>
  <c r="BO25" i="8" s="1"/>
  <c r="BQ25" i="8" s="1"/>
  <c r="BS25" i="8" s="1"/>
  <c r="BU25" i="8" s="1"/>
  <c r="BW25" i="8" s="1"/>
  <c r="BY25" i="8" s="1"/>
  <c r="CA25" i="8" s="1"/>
  <c r="CC25" i="8" s="1"/>
  <c r="BE25" i="9" s="1"/>
  <c r="BG25" i="9" s="1"/>
  <c r="BI25" i="9" s="1"/>
  <c r="F11" i="26"/>
  <c r="I10" i="3"/>
  <c r="F80" i="26"/>
  <c r="I79" i="3"/>
  <c r="BL31" i="8"/>
  <c r="BM31" i="8" s="1"/>
  <c r="BO31" i="8" s="1"/>
  <c r="BQ31" i="8" s="1"/>
  <c r="BS31" i="8" s="1"/>
  <c r="BU31" i="8" s="1"/>
  <c r="BW31" i="8" s="1"/>
  <c r="BY31" i="8" s="1"/>
  <c r="CA31" i="8" s="1"/>
  <c r="CC31" i="8" s="1"/>
  <c r="BE31" i="9" s="1"/>
  <c r="BG31" i="9" s="1"/>
  <c r="BI31" i="9" s="1"/>
  <c r="BK31" i="9" s="1"/>
  <c r="BM31" i="9" s="1"/>
  <c r="BO31" i="9" s="1"/>
  <c r="BQ31" i="9" s="1"/>
  <c r="BS31" i="9" s="1"/>
  <c r="BU31" i="9" s="1"/>
  <c r="BW31" i="9" s="1"/>
  <c r="BY31" i="9" s="1"/>
  <c r="F37" i="26"/>
  <c r="I36" i="3"/>
  <c r="F51" i="26"/>
  <c r="I50" i="3"/>
  <c r="F12" i="26"/>
  <c r="I11" i="3"/>
  <c r="F73" i="26"/>
  <c r="I72" i="3"/>
  <c r="F52" i="26"/>
  <c r="I51" i="3"/>
  <c r="BP28" i="8"/>
  <c r="BQ28" i="8" s="1"/>
  <c r="AX58" i="6"/>
  <c r="AY58" i="6" s="1"/>
  <c r="BE58" i="7" s="1"/>
  <c r="BF78" i="7"/>
  <c r="BG78" i="7" s="1"/>
  <c r="AR77" i="6"/>
  <c r="AS77" i="6" s="1"/>
  <c r="F13" i="26"/>
  <c r="I12" i="3"/>
  <c r="AX46" i="6"/>
  <c r="AY46" i="6" s="1"/>
  <c r="BE46" i="7" s="1"/>
  <c r="BG46" i="7" s="1"/>
  <c r="BI46" i="7" s="1"/>
  <c r="BK46" i="7" s="1"/>
  <c r="BM46" i="7" s="1"/>
  <c r="F30" i="26"/>
  <c r="I29" i="3"/>
  <c r="BZ32" i="9"/>
  <c r="CA32" i="9" s="1"/>
  <c r="BN36" i="7"/>
  <c r="BO36" i="7" s="1"/>
  <c r="BZ24" i="9"/>
  <c r="CA24" i="9" s="1"/>
  <c r="F47" i="26"/>
  <c r="I46" i="3"/>
  <c r="F14" i="26"/>
  <c r="I13" i="3"/>
  <c r="BV55" i="7"/>
  <c r="BW55" i="7" s="1"/>
  <c r="BH13" i="9"/>
  <c r="BI13" i="9" s="1"/>
  <c r="BK13" i="9" s="1"/>
  <c r="BM13" i="9" s="1"/>
  <c r="BO13" i="9" s="1"/>
  <c r="BQ13" i="9" s="1"/>
  <c r="BS13" i="9" s="1"/>
  <c r="BU13" i="9" s="1"/>
  <c r="BW13" i="9" s="1"/>
  <c r="C6" i="23"/>
  <c r="F49" i="26"/>
  <c r="I48" i="3"/>
  <c r="F15" i="26"/>
  <c r="I14" i="3"/>
  <c r="BR71" i="8"/>
  <c r="BS71" i="8" s="1"/>
  <c r="BU71" i="8" s="1"/>
  <c r="BW71" i="8" s="1"/>
  <c r="BY71" i="8" s="1"/>
  <c r="CA71" i="8" s="1"/>
  <c r="CC71" i="8" s="1"/>
  <c r="BE71" i="9" s="1"/>
  <c r="BG71" i="9" s="1"/>
  <c r="BI71" i="9" s="1"/>
  <c r="BK71" i="9" s="1"/>
  <c r="BM71" i="9" s="1"/>
  <c r="BO71" i="9" s="1"/>
  <c r="BQ71" i="9" s="1"/>
  <c r="BS71" i="9" s="1"/>
  <c r="BU71" i="9" s="1"/>
  <c r="CB18" i="9"/>
  <c r="CC18" i="9" s="1"/>
  <c r="BE18" i="10" s="1"/>
  <c r="BP70" i="7"/>
  <c r="BQ70" i="7" s="1"/>
  <c r="L15" i="20"/>
  <c r="AX49" i="6"/>
  <c r="AY49" i="6" s="1"/>
  <c r="BE49" i="7" s="1"/>
  <c r="CB20" i="9"/>
  <c r="CC20" i="9" s="1"/>
  <c r="BE20" i="10" s="1"/>
  <c r="F67" i="26"/>
  <c r="I66" i="3"/>
  <c r="F16" i="26"/>
  <c r="I15" i="3"/>
  <c r="F74" i="26"/>
  <c r="I73" i="3"/>
  <c r="C50" i="4"/>
  <c r="C77" i="4" s="1"/>
  <c r="I38" i="4"/>
  <c r="I50" i="4" s="1"/>
  <c r="I77" i="4" s="1"/>
  <c r="CB12" i="9"/>
  <c r="CC12" i="9" s="1"/>
  <c r="BE12" i="10" s="1"/>
  <c r="BZ50" i="9"/>
  <c r="CA50" i="9" s="1"/>
  <c r="CB10" i="9"/>
  <c r="CC10" i="9" s="1"/>
  <c r="BE10" i="10" s="1"/>
  <c r="BZ34" i="9"/>
  <c r="CA34" i="9" s="1"/>
  <c r="F56" i="26"/>
  <c r="I55" i="3"/>
  <c r="F77" i="26"/>
  <c r="I76" i="3"/>
  <c r="BZ43" i="9"/>
  <c r="CA43" i="9" s="1"/>
  <c r="BZ61" i="9"/>
  <c r="CA61" i="9" s="1"/>
  <c r="BZ38" i="9"/>
  <c r="CA38" i="9" s="1"/>
  <c r="F6" i="26"/>
  <c r="I5" i="3"/>
  <c r="F71" i="26"/>
  <c r="I70" i="3"/>
  <c r="K14" i="20"/>
  <c r="K15" i="20" s="1"/>
  <c r="H14" i="20"/>
  <c r="H15" i="20" s="1"/>
  <c r="M14" i="20"/>
  <c r="F48" i="26"/>
  <c r="I47" i="3"/>
  <c r="F55" i="26"/>
  <c r="I54" i="3"/>
  <c r="F70" i="26"/>
  <c r="I69" i="3"/>
  <c r="AV4" i="6"/>
  <c r="AW4" i="6" s="1"/>
  <c r="AY4" i="6" s="1"/>
  <c r="BE4" i="7" s="1"/>
  <c r="BG4" i="7" s="1"/>
  <c r="BI4" i="7" s="1"/>
  <c r="BK4" i="7" s="1"/>
  <c r="BM4" i="7" s="1"/>
  <c r="BZ59" i="9"/>
  <c r="CA59" i="9" s="1"/>
  <c r="F18" i="26"/>
  <c r="I17" i="3"/>
  <c r="F72" i="26"/>
  <c r="I71" i="3"/>
  <c r="BV21" i="9"/>
  <c r="BW21" i="9" s="1"/>
  <c r="H9" i="1"/>
  <c r="D5" i="22"/>
  <c r="F54" i="26"/>
  <c r="I53" i="3"/>
  <c r="F19" i="26"/>
  <c r="I18" i="3"/>
  <c r="F5" i="26"/>
  <c r="I4" i="3"/>
  <c r="G81" i="3"/>
  <c r="F69" i="26"/>
  <c r="I68" i="3"/>
  <c r="F81" i="26"/>
  <c r="I80" i="3"/>
  <c r="CB43" i="9" l="1"/>
  <c r="CC43" i="9" s="1"/>
  <c r="BE43" i="10" s="1"/>
  <c r="BX13" i="9"/>
  <c r="BY13" i="9" s="1"/>
  <c r="BR28" i="8"/>
  <c r="BS28" i="8" s="1"/>
  <c r="BU28" i="8" s="1"/>
  <c r="BW28" i="8" s="1"/>
  <c r="BY28" i="8" s="1"/>
  <c r="CB23" i="9"/>
  <c r="CC23" i="9" s="1"/>
  <c r="BE23" i="10" s="1"/>
  <c r="BF79" i="7"/>
  <c r="BG79" i="7" s="1"/>
  <c r="BF39" i="10"/>
  <c r="BG39" i="10" s="1"/>
  <c r="BF14" i="10"/>
  <c r="BG14" i="10" s="1"/>
  <c r="CB30" i="9"/>
  <c r="CC30" i="9" s="1"/>
  <c r="BE30" i="10" s="1"/>
  <c r="BP35" i="7"/>
  <c r="BQ35" i="7" s="1"/>
  <c r="BS35" i="7" s="1"/>
  <c r="BU35" i="7" s="1"/>
  <c r="BN48" i="7"/>
  <c r="BO48" i="7" s="1"/>
  <c r="BQ48" i="7" s="1"/>
  <c r="BS48" i="7" s="1"/>
  <c r="BU48" i="7" s="1"/>
  <c r="BW48" i="7" s="1"/>
  <c r="BY48" i="7" s="1"/>
  <c r="BF72" i="10"/>
  <c r="BG72" i="10" s="1"/>
  <c r="BF17" i="10"/>
  <c r="BG17" i="10" s="1"/>
  <c r="CB34" i="9"/>
  <c r="CC34" i="9" s="1"/>
  <c r="BE34" i="10" s="1"/>
  <c r="BF12" i="10"/>
  <c r="BG12" i="10" s="1"/>
  <c r="BX55" i="7"/>
  <c r="BY55" i="7" s="1"/>
  <c r="CB32" i="9"/>
  <c r="CC32" i="9" s="1"/>
  <c r="BE32" i="10" s="1"/>
  <c r="BF7" i="10"/>
  <c r="BG7" i="10" s="1"/>
  <c r="CB19" i="7"/>
  <c r="CC19" i="7" s="1"/>
  <c r="BE19" i="8" s="1"/>
  <c r="BG19" i="8" s="1"/>
  <c r="BI19" i="8" s="1"/>
  <c r="BF54" i="10"/>
  <c r="BG54" i="10" s="1"/>
  <c r="BF41" i="10"/>
  <c r="BG41" i="10" s="1"/>
  <c r="CB74" i="9"/>
  <c r="CC74" i="9" s="1"/>
  <c r="BE74" i="10" s="1"/>
  <c r="CB6" i="9"/>
  <c r="CC6" i="9" s="1"/>
  <c r="BE6" i="10" s="1"/>
  <c r="CB40" i="9"/>
  <c r="CC40" i="9" s="1"/>
  <c r="BE40" i="10" s="1"/>
  <c r="BF10" i="10"/>
  <c r="BG10" i="10" s="1"/>
  <c r="BV71" i="9"/>
  <c r="BW71" i="9" s="1"/>
  <c r="CB24" i="9"/>
  <c r="CC24" i="9" s="1"/>
  <c r="BE24" i="10" s="1"/>
  <c r="BH78" i="7"/>
  <c r="BI78" i="7" s="1"/>
  <c r="BK78" i="7" s="1"/>
  <c r="BF16" i="10"/>
  <c r="BG16" i="10" s="1"/>
  <c r="BL8" i="8"/>
  <c r="BM8" i="8" s="1"/>
  <c r="BO8" i="8" s="1"/>
  <c r="BQ8" i="8" s="1"/>
  <c r="CB68" i="7"/>
  <c r="CC68" i="7" s="1"/>
  <c r="BE68" i="8" s="1"/>
  <c r="BG68" i="8" s="1"/>
  <c r="BI68" i="8" s="1"/>
  <c r="BJ52" i="9"/>
  <c r="BK52" i="9" s="1"/>
  <c r="BM52" i="9" s="1"/>
  <c r="BO52" i="9" s="1"/>
  <c r="BQ52" i="9" s="1"/>
  <c r="BS52" i="9" s="1"/>
  <c r="BF63" i="10"/>
  <c r="BG63" i="10" s="1"/>
  <c r="BF51" i="10"/>
  <c r="BG51" i="10" s="1"/>
  <c r="BN4" i="7"/>
  <c r="BO4" i="7" s="1"/>
  <c r="BQ4" i="7" s="1"/>
  <c r="BS4" i="7" s="1"/>
  <c r="BU4" i="7" s="1"/>
  <c r="BW4" i="7" s="1"/>
  <c r="BY4" i="7" s="1"/>
  <c r="CA4" i="7" s="1"/>
  <c r="CC4" i="7" s="1"/>
  <c r="BE4" i="8" s="1"/>
  <c r="BG4" i="8" s="1"/>
  <c r="BI4" i="8" s="1"/>
  <c r="BK4" i="8" s="1"/>
  <c r="BM4" i="8" s="1"/>
  <c r="BO4" i="8" s="1"/>
  <c r="BQ4" i="8" s="1"/>
  <c r="BS4" i="8" s="1"/>
  <c r="BU4" i="8" s="1"/>
  <c r="BW4" i="8" s="1"/>
  <c r="BY4" i="8" s="1"/>
  <c r="CA4" i="8" s="1"/>
  <c r="CC4" i="8" s="1"/>
  <c r="BE4" i="9" s="1"/>
  <c r="BG4" i="9" s="1"/>
  <c r="BI4" i="9" s="1"/>
  <c r="BK4" i="9" s="1"/>
  <c r="BM4" i="9" s="1"/>
  <c r="BO4" i="9" s="1"/>
  <c r="BQ4" i="9" s="1"/>
  <c r="BS4" i="9" s="1"/>
  <c r="BU4" i="9" s="1"/>
  <c r="BW4" i="9" s="1"/>
  <c r="BY4" i="9" s="1"/>
  <c r="CB61" i="9"/>
  <c r="CC61" i="9" s="1"/>
  <c r="BE61" i="10" s="1"/>
  <c r="CB50" i="9"/>
  <c r="CC50" i="9" s="1"/>
  <c r="BE50" i="10" s="1"/>
  <c r="C18" i="25"/>
  <c r="B5" i="22"/>
  <c r="B11" i="1"/>
  <c r="BR70" i="7"/>
  <c r="BS70" i="7" s="1"/>
  <c r="BP36" i="7"/>
  <c r="BQ36" i="7" s="1"/>
  <c r="BS36" i="7" s="1"/>
  <c r="BU36" i="7" s="1"/>
  <c r="BW36" i="7" s="1"/>
  <c r="BY36" i="7" s="1"/>
  <c r="CA36" i="7" s="1"/>
  <c r="CC36" i="7" s="1"/>
  <c r="BE36" i="8" s="1"/>
  <c r="BG36" i="8" s="1"/>
  <c r="BI36" i="8" s="1"/>
  <c r="BK36" i="8" s="1"/>
  <c r="BM36" i="8" s="1"/>
  <c r="BF58" i="7"/>
  <c r="BG58" i="7" s="1"/>
  <c r="BZ31" i="9"/>
  <c r="CA31" i="9" s="1"/>
  <c r="BJ27" i="7"/>
  <c r="BK27" i="7" s="1"/>
  <c r="BN26" i="7"/>
  <c r="BO26" i="7" s="1"/>
  <c r="BF37" i="10"/>
  <c r="BG37" i="10" s="1"/>
  <c r="CB69" i="7"/>
  <c r="CC69" i="7" s="1"/>
  <c r="BE69" i="8" s="1"/>
  <c r="BG69" i="8" s="1"/>
  <c r="BI69" i="8" s="1"/>
  <c r="BZ75" i="9"/>
  <c r="CA75" i="9" s="1"/>
  <c r="BJ57" i="9"/>
  <c r="BK57" i="9" s="1"/>
  <c r="BM57" i="9" s="1"/>
  <c r="BO57" i="9" s="1"/>
  <c r="BQ57" i="9" s="1"/>
  <c r="BS57" i="9" s="1"/>
  <c r="BF11" i="10"/>
  <c r="BG11" i="10" s="1"/>
  <c r="BF62" i="10"/>
  <c r="BG62" i="10" s="1"/>
  <c r="AV80" i="6"/>
  <c r="AW80" i="6" s="1"/>
  <c r="BN47" i="7"/>
  <c r="BO47" i="7" s="1"/>
  <c r="BQ47" i="7" s="1"/>
  <c r="BS47" i="7" s="1"/>
  <c r="BU47" i="7" s="1"/>
  <c r="BW47" i="7" s="1"/>
  <c r="BY47" i="7" s="1"/>
  <c r="CA47" i="7" s="1"/>
  <c r="CC47" i="7" s="1"/>
  <c r="BE47" i="8" s="1"/>
  <c r="BG47" i="8" s="1"/>
  <c r="BI47" i="8" s="1"/>
  <c r="BK47" i="8" s="1"/>
  <c r="BM47" i="8" s="1"/>
  <c r="BF45" i="10"/>
  <c r="BG45" i="10" s="1"/>
  <c r="D6" i="23"/>
  <c r="C22" i="23"/>
  <c r="CB59" i="9"/>
  <c r="CC59" i="9" s="1"/>
  <c r="BE59" i="10" s="1"/>
  <c r="BF20" i="10"/>
  <c r="BG20" i="10" s="1"/>
  <c r="BN46" i="7"/>
  <c r="BO46" i="7" s="1"/>
  <c r="BQ46" i="7" s="1"/>
  <c r="BS46" i="7" s="1"/>
  <c r="BU46" i="7" s="1"/>
  <c r="BW46" i="7" s="1"/>
  <c r="BY46" i="7" s="1"/>
  <c r="CA46" i="7" s="1"/>
  <c r="CC46" i="7" s="1"/>
  <c r="BE46" i="8" s="1"/>
  <c r="BG46" i="8" s="1"/>
  <c r="BI46" i="8" s="1"/>
  <c r="BK46" i="8" s="1"/>
  <c r="BM46" i="8" s="1"/>
  <c r="AT77" i="6"/>
  <c r="AU77" i="6" s="1"/>
  <c r="BX21" i="9"/>
  <c r="BY21" i="9" s="1"/>
  <c r="CB38" i="9"/>
  <c r="CC38" i="9" s="1"/>
  <c r="BE38" i="10" s="1"/>
  <c r="CB5" i="9"/>
  <c r="CC5" i="9" s="1"/>
  <c r="BE5" i="10" s="1"/>
  <c r="CB64" i="9"/>
  <c r="CC64" i="9" s="1"/>
  <c r="BE64" i="10" s="1"/>
  <c r="BT60" i="7"/>
  <c r="BU60" i="7" s="1"/>
  <c r="CB15" i="9"/>
  <c r="CC15" i="9" s="1"/>
  <c r="BE15" i="10" s="1"/>
  <c r="BR33" i="8"/>
  <c r="BS33" i="8" s="1"/>
  <c r="BU33" i="8" s="1"/>
  <c r="BW33" i="8" s="1"/>
  <c r="BY33" i="8" s="1"/>
  <c r="CA33" i="8" s="1"/>
  <c r="CC33" i="8" s="1"/>
  <c r="BE33" i="9" s="1"/>
  <c r="BG33" i="9" s="1"/>
  <c r="BI33" i="9" s="1"/>
  <c r="BK33" i="9" s="1"/>
  <c r="BM33" i="9" s="1"/>
  <c r="BO33" i="9" s="1"/>
  <c r="BQ33" i="9" s="1"/>
  <c r="BS33" i="9" s="1"/>
  <c r="BU33" i="9" s="1"/>
  <c r="BW33" i="9" s="1"/>
  <c r="BY33" i="9" s="1"/>
  <c r="BH65" i="7"/>
  <c r="BI65" i="7" s="1"/>
  <c r="BK65" i="7" s="1"/>
  <c r="BM65" i="7" s="1"/>
  <c r="CB67" i="7"/>
  <c r="CC67" i="7" s="1"/>
  <c r="BE67" i="8" s="1"/>
  <c r="BG67" i="8" s="1"/>
  <c r="BI67" i="8" s="1"/>
  <c r="BL42" i="8"/>
  <c r="BM42" i="8" s="1"/>
  <c r="BO42" i="8" s="1"/>
  <c r="BZ29" i="9"/>
  <c r="CA29" i="9" s="1"/>
  <c r="BF73" i="10"/>
  <c r="BG73" i="10" s="1"/>
  <c r="D11" i="22"/>
  <c r="B14" i="22"/>
  <c r="B15" i="1"/>
  <c r="L6" i="1" s="1"/>
  <c r="BF49" i="7"/>
  <c r="BG49" i="7" s="1"/>
  <c r="BJ25" i="9"/>
  <c r="BK25" i="9" s="1"/>
  <c r="BM25" i="9" s="1"/>
  <c r="CB44" i="7"/>
  <c r="CC44" i="7" s="1"/>
  <c r="BE44" i="8" s="1"/>
  <c r="CB56" i="9"/>
  <c r="CC56" i="9" s="1"/>
  <c r="BE56" i="10" s="1"/>
  <c r="BF9" i="7"/>
  <c r="BG9" i="7" s="1"/>
  <c r="BI9" i="7" s="1"/>
  <c r="BK9" i="7" s="1"/>
  <c r="BF22" i="10"/>
  <c r="BG22" i="10" s="1"/>
  <c r="BF53" i="10"/>
  <c r="BG53" i="10" s="1"/>
  <c r="BZ66" i="9"/>
  <c r="CA66" i="9" s="1"/>
  <c r="BF18" i="10"/>
  <c r="BG18" i="10" s="1"/>
  <c r="F82" i="26"/>
  <c r="BP76" i="8"/>
  <c r="BQ76" i="8" s="1"/>
  <c r="BS76" i="8" s="1"/>
  <c r="BH49" i="7" l="1"/>
  <c r="BI49" i="7" s="1"/>
  <c r="BH73" i="10"/>
  <c r="BI73" i="10" s="1"/>
  <c r="BF64" i="10"/>
  <c r="BG64" i="10" s="1"/>
  <c r="BN47" i="8"/>
  <c r="BO47" i="8" s="1"/>
  <c r="CB31" i="9"/>
  <c r="CC31" i="9" s="1"/>
  <c r="BE31" i="10" s="1"/>
  <c r="BF30" i="10"/>
  <c r="BG30" i="10" s="1"/>
  <c r="BH79" i="7"/>
  <c r="BI79" i="7" s="1"/>
  <c r="BK79" i="7" s="1"/>
  <c r="BH53" i="10"/>
  <c r="BI53" i="10" s="1"/>
  <c r="CB29" i="9"/>
  <c r="CC29" i="9" s="1"/>
  <c r="BE29" i="10" s="1"/>
  <c r="BZ21" i="9"/>
  <c r="CA21" i="9" s="1"/>
  <c r="BH11" i="10"/>
  <c r="BI11" i="10" s="1"/>
  <c r="BT70" i="7"/>
  <c r="BU70" i="7" s="1"/>
  <c r="BW70" i="7" s="1"/>
  <c r="BY70" i="7" s="1"/>
  <c r="CA70" i="7" s="1"/>
  <c r="CC70" i="7" s="1"/>
  <c r="BE70" i="8" s="1"/>
  <c r="BG70" i="8" s="1"/>
  <c r="BI70" i="8" s="1"/>
  <c r="BK70" i="8" s="1"/>
  <c r="BM70" i="8" s="1"/>
  <c r="BO70" i="8" s="1"/>
  <c r="BQ70" i="8" s="1"/>
  <c r="BF50" i="10"/>
  <c r="BG50" i="10" s="1"/>
  <c r="BT52" i="9"/>
  <c r="BU52" i="9" s="1"/>
  <c r="BF6" i="10"/>
  <c r="BG6" i="10" s="1"/>
  <c r="BH54" i="10"/>
  <c r="BI54" i="10" s="1"/>
  <c r="BH72" i="10"/>
  <c r="BI72" i="10" s="1"/>
  <c r="BH14" i="10"/>
  <c r="BI14" i="10" s="1"/>
  <c r="BF23" i="10"/>
  <c r="BG23" i="10" s="1"/>
  <c r="BF43" i="10"/>
  <c r="BG43" i="10" s="1"/>
  <c r="BH18" i="10"/>
  <c r="BI18" i="10" s="1"/>
  <c r="BP42" i="8"/>
  <c r="BQ42" i="8" s="1"/>
  <c r="BH20" i="10"/>
  <c r="BI20" i="10" s="1"/>
  <c r="BT57" i="9"/>
  <c r="BU57" i="9" s="1"/>
  <c r="BH51" i="10"/>
  <c r="BI51" i="10" s="1"/>
  <c r="BJ68" i="8"/>
  <c r="BK68" i="8" s="1"/>
  <c r="BM68" i="8" s="1"/>
  <c r="BO68" i="8" s="1"/>
  <c r="BQ68" i="8" s="1"/>
  <c r="BS68" i="8" s="1"/>
  <c r="BU68" i="8" s="1"/>
  <c r="BW68" i="8" s="1"/>
  <c r="BY68" i="8" s="1"/>
  <c r="CA68" i="8" s="1"/>
  <c r="CC68" i="8" s="1"/>
  <c r="BE68" i="9" s="1"/>
  <c r="BG68" i="9" s="1"/>
  <c r="BI68" i="9" s="1"/>
  <c r="BK68" i="9" s="1"/>
  <c r="BM68" i="9" s="1"/>
  <c r="BO68" i="9" s="1"/>
  <c r="BQ68" i="9" s="1"/>
  <c r="BS68" i="9" s="1"/>
  <c r="BU68" i="9" s="1"/>
  <c r="BW68" i="9" s="1"/>
  <c r="BY68" i="9" s="1"/>
  <c r="BL78" i="7"/>
  <c r="BM78" i="7" s="1"/>
  <c r="BO78" i="7" s="1"/>
  <c r="BH10" i="10"/>
  <c r="BI10" i="10" s="1"/>
  <c r="BF74" i="10"/>
  <c r="BG74" i="10" s="1"/>
  <c r="BF32" i="10"/>
  <c r="BG32" i="10" s="1"/>
  <c r="BF34" i="10"/>
  <c r="BG34" i="10" s="1"/>
  <c r="BZ48" i="7"/>
  <c r="CA48" i="7" s="1"/>
  <c r="BZ28" i="8"/>
  <c r="CA28" i="8" s="1"/>
  <c r="CC28" i="8" s="1"/>
  <c r="BE28" i="9" s="1"/>
  <c r="BG28" i="9" s="1"/>
  <c r="BI28" i="9" s="1"/>
  <c r="BK28" i="9" s="1"/>
  <c r="BM28" i="9" s="1"/>
  <c r="BJ67" i="8"/>
  <c r="BK67" i="8" s="1"/>
  <c r="BM67" i="8" s="1"/>
  <c r="BO67" i="8" s="1"/>
  <c r="BQ67" i="8" s="1"/>
  <c r="BS67" i="8" s="1"/>
  <c r="BU67" i="8" s="1"/>
  <c r="BW67" i="8" s="1"/>
  <c r="BY67" i="8" s="1"/>
  <c r="CA67" i="8" s="1"/>
  <c r="CC67" i="8" s="1"/>
  <c r="BE67" i="9" s="1"/>
  <c r="BG67" i="9" s="1"/>
  <c r="BI67" i="9" s="1"/>
  <c r="BH45" i="10"/>
  <c r="BI45" i="10" s="1"/>
  <c r="BH37" i="10"/>
  <c r="BI37" i="10" s="1"/>
  <c r="BR8" i="8"/>
  <c r="BS8" i="8" s="1"/>
  <c r="BU8" i="8" s="1"/>
  <c r="BW8" i="8" s="1"/>
  <c r="BY8" i="8" s="1"/>
  <c r="CA8" i="8" s="1"/>
  <c r="CC8" i="8" s="1"/>
  <c r="BE8" i="9" s="1"/>
  <c r="BG8" i="9" s="1"/>
  <c r="BI8" i="9" s="1"/>
  <c r="BK8" i="9" s="1"/>
  <c r="BM8" i="9" s="1"/>
  <c r="BO8" i="9" s="1"/>
  <c r="BQ8" i="9" s="1"/>
  <c r="BS8" i="9" s="1"/>
  <c r="BU8" i="9" s="1"/>
  <c r="BW8" i="9" s="1"/>
  <c r="BY8" i="9" s="1"/>
  <c r="BF24" i="10"/>
  <c r="BG24" i="10" s="1"/>
  <c r="BZ55" i="7"/>
  <c r="CA55" i="7" s="1"/>
  <c r="CC55" i="7" s="1"/>
  <c r="BE55" i="8" s="1"/>
  <c r="BV35" i="7"/>
  <c r="BW35" i="7" s="1"/>
  <c r="BH22" i="10"/>
  <c r="BI22" i="10" s="1"/>
  <c r="BZ4" i="9"/>
  <c r="CA4" i="9" s="1"/>
  <c r="BJ19" i="8"/>
  <c r="BK19" i="8" s="1"/>
  <c r="BM19" i="8" s="1"/>
  <c r="BO19" i="8" s="1"/>
  <c r="BQ19" i="8" s="1"/>
  <c r="BS19" i="8" s="1"/>
  <c r="BU19" i="8" s="1"/>
  <c r="BW19" i="8" s="1"/>
  <c r="BY19" i="8" s="1"/>
  <c r="CA19" i="8" s="1"/>
  <c r="CC19" i="8" s="1"/>
  <c r="BE19" i="9" s="1"/>
  <c r="BG19" i="9" s="1"/>
  <c r="BI19" i="9" s="1"/>
  <c r="BK19" i="9" s="1"/>
  <c r="BM19" i="9" s="1"/>
  <c r="BO19" i="9" s="1"/>
  <c r="BQ19" i="9" s="1"/>
  <c r="BS19" i="9" s="1"/>
  <c r="BU19" i="9" s="1"/>
  <c r="BW19" i="9" s="1"/>
  <c r="BH12" i="10"/>
  <c r="BI12" i="10" s="1"/>
  <c r="BH17" i="10"/>
  <c r="BI17" i="10" s="1"/>
  <c r="BH39" i="10"/>
  <c r="BI39" i="10" s="1"/>
  <c r="BZ13" i="9"/>
  <c r="CA13" i="9" s="1"/>
  <c r="F13" i="1"/>
  <c r="BF56" i="10"/>
  <c r="BG56" i="10" s="1"/>
  <c r="BZ33" i="9"/>
  <c r="CA33" i="9" s="1"/>
  <c r="BV60" i="7"/>
  <c r="BW60" i="7" s="1"/>
  <c r="BF38" i="10"/>
  <c r="BG38" i="10" s="1"/>
  <c r="CB75" i="9"/>
  <c r="CC75" i="9" s="1"/>
  <c r="BE75" i="10" s="1"/>
  <c r="BL27" i="7"/>
  <c r="BM27" i="7" s="1"/>
  <c r="BH16" i="10"/>
  <c r="BI16" i="10" s="1"/>
  <c r="BT76" i="8"/>
  <c r="BU76" i="8" s="1"/>
  <c r="BW76" i="8" s="1"/>
  <c r="BY76" i="8" s="1"/>
  <c r="CA76" i="8" s="1"/>
  <c r="BL9" i="7"/>
  <c r="BM9" i="7" s="1"/>
  <c r="BF44" i="8"/>
  <c r="BG44" i="8" s="1"/>
  <c r="BI44" i="8" s="1"/>
  <c r="BK44" i="8" s="1"/>
  <c r="BF15" i="10"/>
  <c r="BG15" i="10" s="1"/>
  <c r="AV77" i="6"/>
  <c r="AW77" i="6" s="1"/>
  <c r="AY77" i="6" s="1"/>
  <c r="BE77" i="7" s="1"/>
  <c r="BF59" i="10"/>
  <c r="BG59" i="10" s="1"/>
  <c r="BH62" i="10"/>
  <c r="BI62" i="10" s="1"/>
  <c r="BJ69" i="8"/>
  <c r="BK69" i="8" s="1"/>
  <c r="BM69" i="8" s="1"/>
  <c r="BO69" i="8" s="1"/>
  <c r="BQ69" i="8" s="1"/>
  <c r="BS69" i="8" s="1"/>
  <c r="BU69" i="8" s="1"/>
  <c r="BW69" i="8" s="1"/>
  <c r="BY69" i="8" s="1"/>
  <c r="CA69" i="8" s="1"/>
  <c r="CC69" i="8" s="1"/>
  <c r="BE69" i="9" s="1"/>
  <c r="BG69" i="9" s="1"/>
  <c r="BI69" i="9" s="1"/>
  <c r="BK69" i="9" s="1"/>
  <c r="BM69" i="9" s="1"/>
  <c r="BO69" i="9" s="1"/>
  <c r="BQ69" i="9" s="1"/>
  <c r="BS69" i="9" s="1"/>
  <c r="BU69" i="9" s="1"/>
  <c r="BW69" i="9" s="1"/>
  <c r="BY69" i="9" s="1"/>
  <c r="BP26" i="7"/>
  <c r="BQ26" i="7" s="1"/>
  <c r="BN36" i="8"/>
  <c r="BO36" i="8" s="1"/>
  <c r="B11" i="22"/>
  <c r="B13" i="22" s="1"/>
  <c r="B15" i="22" s="1"/>
  <c r="A18" i="22" s="1"/>
  <c r="B20" i="22"/>
  <c r="B7" i="1" s="1"/>
  <c r="C6" i="25"/>
  <c r="C11" i="25" s="1"/>
  <c r="BF61" i="10"/>
  <c r="BG61" i="10" s="1"/>
  <c r="BX71" i="9"/>
  <c r="BY71" i="9" s="1"/>
  <c r="BF40" i="10"/>
  <c r="BG40" i="10" s="1"/>
  <c r="BH7" i="10"/>
  <c r="BI7" i="10" s="1"/>
  <c r="CB66" i="9"/>
  <c r="CC66" i="9" s="1"/>
  <c r="BE66" i="10" s="1"/>
  <c r="BN46" i="8"/>
  <c r="BO46" i="8" s="1"/>
  <c r="AX80" i="6"/>
  <c r="AY80" i="6" s="1"/>
  <c r="BE80" i="7" s="1"/>
  <c r="BH58" i="7"/>
  <c r="BI58" i="7" s="1"/>
  <c r="BH63" i="10"/>
  <c r="BI63" i="10" s="1"/>
  <c r="BH41" i="10"/>
  <c r="BI41" i="10" s="1"/>
  <c r="BN25" i="9"/>
  <c r="BO25" i="9" s="1"/>
  <c r="BQ25" i="9" s="1"/>
  <c r="BS25" i="9" s="1"/>
  <c r="BU25" i="9" s="1"/>
  <c r="BW25" i="9" s="1"/>
  <c r="BN65" i="7"/>
  <c r="BO65" i="7" s="1"/>
  <c r="BQ65" i="7" s="1"/>
  <c r="BS65" i="7" s="1"/>
  <c r="BF5" i="10"/>
  <c r="BG5" i="10" s="1"/>
  <c r="E6" i="23"/>
  <c r="D22" i="23"/>
  <c r="E22" i="23" s="1"/>
  <c r="BX25" i="9" l="1"/>
  <c r="BY25" i="9" s="1"/>
  <c r="BN9" i="7"/>
  <c r="BO9" i="7" s="1"/>
  <c r="BX60" i="7"/>
  <c r="BY60" i="7" s="1"/>
  <c r="CA60" i="7" s="1"/>
  <c r="BF55" i="8"/>
  <c r="BG55" i="8" s="1"/>
  <c r="BH34" i="10"/>
  <c r="BI34" i="10" s="1"/>
  <c r="BR70" i="8"/>
  <c r="BS70" i="8" s="1"/>
  <c r="BU70" i="8" s="1"/>
  <c r="BW70" i="8" s="1"/>
  <c r="BY70" i="8" s="1"/>
  <c r="CA70" i="8" s="1"/>
  <c r="CC70" i="8" s="1"/>
  <c r="BE70" i="9" s="1"/>
  <c r="BG70" i="9" s="1"/>
  <c r="BI70" i="9" s="1"/>
  <c r="BK70" i="9" s="1"/>
  <c r="BM70" i="9" s="1"/>
  <c r="BO70" i="9" s="1"/>
  <c r="BQ70" i="9" s="1"/>
  <c r="BS70" i="9" s="1"/>
  <c r="BU70" i="9" s="1"/>
  <c r="BL79" i="7"/>
  <c r="BM79" i="7" s="1"/>
  <c r="BF77" i="7"/>
  <c r="BG77" i="7" s="1"/>
  <c r="BJ67" i="9"/>
  <c r="BK67" i="9" s="1"/>
  <c r="BM67" i="9" s="1"/>
  <c r="BO67" i="9" s="1"/>
  <c r="BQ67" i="9" s="1"/>
  <c r="BS67" i="9" s="1"/>
  <c r="BU67" i="9" s="1"/>
  <c r="BW67" i="9" s="1"/>
  <c r="BY67" i="9" s="1"/>
  <c r="BJ49" i="7"/>
  <c r="BK49" i="7" s="1"/>
  <c r="BJ62" i="10"/>
  <c r="BK62" i="10" s="1"/>
  <c r="BH15" i="10"/>
  <c r="BI15" i="10" s="1"/>
  <c r="BF75" i="10"/>
  <c r="BG75" i="10" s="1"/>
  <c r="BX19" i="9"/>
  <c r="BY19" i="9" s="1"/>
  <c r="BN28" i="9"/>
  <c r="BO28" i="9" s="1"/>
  <c r="BQ28" i="9" s="1"/>
  <c r="BP78" i="7"/>
  <c r="BQ78" i="7" s="1"/>
  <c r="BV52" i="9"/>
  <c r="BW52" i="9" s="1"/>
  <c r="BY52" i="9" s="1"/>
  <c r="BH64" i="10"/>
  <c r="BI64" i="10" s="1"/>
  <c r="BT65" i="7"/>
  <c r="BU65" i="7" s="1"/>
  <c r="BW65" i="7" s="1"/>
  <c r="BL44" i="8"/>
  <c r="BM44" i="8" s="1"/>
  <c r="BJ16" i="10"/>
  <c r="BK16" i="10" s="1"/>
  <c r="BH38" i="10"/>
  <c r="BI38" i="10" s="1"/>
  <c r="BX35" i="7"/>
  <c r="BY35" i="7" s="1"/>
  <c r="CB48" i="7"/>
  <c r="CC48" i="7" s="1"/>
  <c r="BE48" i="8" s="1"/>
  <c r="BH74" i="10"/>
  <c r="BI74" i="10" s="1"/>
  <c r="BV57" i="9"/>
  <c r="BW57" i="9" s="1"/>
  <c r="BY57" i="9" s="1"/>
  <c r="BH50" i="10"/>
  <c r="BI50" i="10" s="1"/>
  <c r="CB21" i="9"/>
  <c r="CC21" i="9" s="1"/>
  <c r="BE21" i="10" s="1"/>
  <c r="BF31" i="10"/>
  <c r="BG31" i="10" s="1"/>
  <c r="BJ41" i="10"/>
  <c r="BK41" i="10" s="1"/>
  <c r="BP46" i="8"/>
  <c r="BQ46" i="8" s="1"/>
  <c r="BZ71" i="9"/>
  <c r="CA71" i="9" s="1"/>
  <c r="BZ68" i="9"/>
  <c r="CA68" i="9" s="1"/>
  <c r="BH43" i="10"/>
  <c r="BI43" i="10" s="1"/>
  <c r="BJ53" i="10"/>
  <c r="BK53" i="10" s="1"/>
  <c r="BH30" i="10"/>
  <c r="BI30" i="10" s="1"/>
  <c r="BP47" i="8"/>
  <c r="BQ47" i="8" s="1"/>
  <c r="BJ73" i="10"/>
  <c r="BK73" i="10" s="1"/>
  <c r="C23" i="23"/>
  <c r="C6" i="24"/>
  <c r="C13" i="24" s="1"/>
  <c r="C16" i="24" s="1"/>
  <c r="BJ58" i="7"/>
  <c r="BK58" i="7" s="1"/>
  <c r="BJ7" i="10"/>
  <c r="BK7" i="10" s="1"/>
  <c r="BP36" i="8"/>
  <c r="BQ36" i="8" s="1"/>
  <c r="BH56" i="10"/>
  <c r="BI56" i="10" s="1"/>
  <c r="BJ12" i="10"/>
  <c r="BK12" i="10" s="1"/>
  <c r="CB4" i="9"/>
  <c r="CC4" i="9" s="1"/>
  <c r="BE4" i="10" s="1"/>
  <c r="BH24" i="10"/>
  <c r="BI24" i="10" s="1"/>
  <c r="BH32" i="10"/>
  <c r="BI32" i="10" s="1"/>
  <c r="BJ10" i="10"/>
  <c r="BK10" i="10" s="1"/>
  <c r="BR42" i="8"/>
  <c r="BS42" i="8" s="1"/>
  <c r="BJ14" i="10"/>
  <c r="BK14" i="10" s="1"/>
  <c r="BH5" i="10"/>
  <c r="BI5" i="10" s="1"/>
  <c r="BJ63" i="10"/>
  <c r="BK63" i="10" s="1"/>
  <c r="BF80" i="7"/>
  <c r="BG80" i="7" s="1"/>
  <c r="BR26" i="7"/>
  <c r="BS26" i="7" s="1"/>
  <c r="CB76" i="8"/>
  <c r="CC76" i="8" s="1"/>
  <c r="BE76" i="9" s="1"/>
  <c r="BG76" i="9" s="1"/>
  <c r="BN27" i="7"/>
  <c r="BO27" i="7" s="1"/>
  <c r="CB33" i="9"/>
  <c r="CC33" i="9" s="1"/>
  <c r="BE33" i="10" s="1"/>
  <c r="CB13" i="9"/>
  <c r="CC13" i="9" s="1"/>
  <c r="BE13" i="10" s="1"/>
  <c r="BJ17" i="10"/>
  <c r="BK17" i="10" s="1"/>
  <c r="BJ22" i="10"/>
  <c r="BK22" i="10" s="1"/>
  <c r="BZ8" i="9"/>
  <c r="CA8" i="9" s="1"/>
  <c r="BJ45" i="10"/>
  <c r="BK45" i="10" s="1"/>
  <c r="BJ51" i="10"/>
  <c r="BK51" i="10" s="1"/>
  <c r="BJ20" i="10"/>
  <c r="BK20" i="10" s="1"/>
  <c r="BJ18" i="10"/>
  <c r="BK18" i="10" s="1"/>
  <c r="BH23" i="10"/>
  <c r="BI23" i="10" s="1"/>
  <c r="BJ72" i="10"/>
  <c r="BK72" i="10" s="1"/>
  <c r="BH6" i="10"/>
  <c r="BI6" i="10" s="1"/>
  <c r="BJ11" i="10"/>
  <c r="BK11" i="10" s="1"/>
  <c r="BF29" i="10"/>
  <c r="BG29" i="10" s="1"/>
  <c r="BZ69" i="9"/>
  <c r="CA69" i="9" s="1"/>
  <c r="BH59" i="10"/>
  <c r="BI59" i="10" s="1"/>
  <c r="BJ39" i="10"/>
  <c r="BK39" i="10" s="1"/>
  <c r="BJ37" i="10"/>
  <c r="BK37" i="10" s="1"/>
  <c r="BJ54" i="10"/>
  <c r="BK54" i="10" s="1"/>
  <c r="BF66" i="10"/>
  <c r="BG66" i="10" s="1"/>
  <c r="BH40" i="10"/>
  <c r="BI40" i="10" s="1"/>
  <c r="BH61" i="10"/>
  <c r="BI61" i="10" s="1"/>
  <c r="BJ40" i="10" l="1"/>
  <c r="BK40" i="10" s="1"/>
  <c r="CB69" i="9"/>
  <c r="CC69" i="9" s="1"/>
  <c r="BE69" i="10" s="1"/>
  <c r="BP27" i="7"/>
  <c r="BQ27" i="7" s="1"/>
  <c r="BL10" i="10"/>
  <c r="BM10" i="10" s="1"/>
  <c r="BJ56" i="10"/>
  <c r="BK56" i="10" s="1"/>
  <c r="BH31" i="10"/>
  <c r="BI31" i="10" s="1"/>
  <c r="BZ19" i="9"/>
  <c r="CA19" i="9" s="1"/>
  <c r="BH77" i="7"/>
  <c r="BI77" i="7" s="1"/>
  <c r="BJ34" i="10"/>
  <c r="BK34" i="10" s="1"/>
  <c r="BH66" i="10"/>
  <c r="BI66" i="10" s="1"/>
  <c r="BJ5" i="10"/>
  <c r="BK5" i="10" s="1"/>
  <c r="BJ32" i="10"/>
  <c r="BK32" i="10" s="1"/>
  <c r="BZ52" i="9"/>
  <c r="CA52" i="9" s="1"/>
  <c r="BL62" i="10"/>
  <c r="BM62" i="10" s="1"/>
  <c r="BH55" i="8"/>
  <c r="BI55" i="8" s="1"/>
  <c r="BZ25" i="9"/>
  <c r="CA25" i="9" s="1"/>
  <c r="BL54" i="10"/>
  <c r="BM54" i="10" s="1"/>
  <c r="BL51" i="10"/>
  <c r="BM51" i="10" s="1"/>
  <c r="BL22" i="10"/>
  <c r="BM22" i="10" s="1"/>
  <c r="BL14" i="10"/>
  <c r="BM14" i="10" s="1"/>
  <c r="BL53" i="10"/>
  <c r="BM53" i="10" s="1"/>
  <c r="BJ74" i="10"/>
  <c r="BK74" i="10" s="1"/>
  <c r="BR78" i="7"/>
  <c r="BS78" i="7" s="1"/>
  <c r="BL49" i="7"/>
  <c r="BM49" i="7" s="1"/>
  <c r="CB60" i="7"/>
  <c r="CC60" i="7" s="1"/>
  <c r="BE60" i="8" s="1"/>
  <c r="BG60" i="8" s="1"/>
  <c r="BI60" i="8" s="1"/>
  <c r="BK60" i="8" s="1"/>
  <c r="BL37" i="10"/>
  <c r="BM37" i="10" s="1"/>
  <c r="BL72" i="10"/>
  <c r="BM72" i="10" s="1"/>
  <c r="BL45" i="10"/>
  <c r="BM45" i="10" s="1"/>
  <c r="BF33" i="10"/>
  <c r="BG33" i="10" s="1"/>
  <c r="BT42" i="8"/>
  <c r="BU42" i="8" s="1"/>
  <c r="BR47" i="8"/>
  <c r="BS47" i="8" s="1"/>
  <c r="BL41" i="10"/>
  <c r="BM41" i="10" s="1"/>
  <c r="BJ50" i="10"/>
  <c r="BK50" i="10" s="1"/>
  <c r="BR28" i="9"/>
  <c r="BS28" i="9" s="1"/>
  <c r="BZ67" i="9"/>
  <c r="CA67" i="9" s="1"/>
  <c r="BV70" i="9"/>
  <c r="BW70" i="9" s="1"/>
  <c r="BT26" i="7"/>
  <c r="BU26" i="7" s="1"/>
  <c r="BL63" i="10"/>
  <c r="BM63" i="10" s="1"/>
  <c r="BJ24" i="10"/>
  <c r="BK24" i="10" s="1"/>
  <c r="BL73" i="10"/>
  <c r="BM73" i="10" s="1"/>
  <c r="BF48" i="8"/>
  <c r="BG48" i="8" s="1"/>
  <c r="BJ64" i="10"/>
  <c r="BK64" i="10" s="1"/>
  <c r="BP9" i="7"/>
  <c r="BQ9" i="7" s="1"/>
  <c r="BJ61" i="10"/>
  <c r="BK61" i="10" s="1"/>
  <c r="BJ59" i="10"/>
  <c r="BK59" i="10" s="1"/>
  <c r="BJ6" i="10"/>
  <c r="BK6" i="10" s="1"/>
  <c r="BL20" i="10"/>
  <c r="BM20" i="10" s="1"/>
  <c r="BF13" i="10"/>
  <c r="BG13" i="10" s="1"/>
  <c r="BR36" i="8"/>
  <c r="BS36" i="8" s="1"/>
  <c r="BJ30" i="10"/>
  <c r="BK30" i="10" s="1"/>
  <c r="CB71" i="9"/>
  <c r="CC71" i="9" s="1"/>
  <c r="BE71" i="10" s="1"/>
  <c r="BZ57" i="9"/>
  <c r="CA57" i="9" s="1"/>
  <c r="BN44" i="8"/>
  <c r="BO44" i="8" s="1"/>
  <c r="BQ44" i="8" s="1"/>
  <c r="BS44" i="8" s="1"/>
  <c r="BU44" i="8" s="1"/>
  <c r="BJ15" i="10"/>
  <c r="BK15" i="10" s="1"/>
  <c r="C17" i="24"/>
  <c r="C14" i="25"/>
  <c r="C15" i="25" s="1"/>
  <c r="C19" i="25" s="1"/>
  <c r="BH29" i="10"/>
  <c r="BI29" i="10" s="1"/>
  <c r="BJ23" i="10"/>
  <c r="BK23" i="10" s="1"/>
  <c r="BL12" i="10"/>
  <c r="BM12" i="10" s="1"/>
  <c r="BL58" i="7"/>
  <c r="BM58" i="7" s="1"/>
  <c r="BO58" i="7" s="1"/>
  <c r="BQ58" i="7" s="1"/>
  <c r="BS58" i="7" s="1"/>
  <c r="BJ43" i="10"/>
  <c r="BK43" i="10" s="1"/>
  <c r="BF21" i="10"/>
  <c r="BG21" i="10" s="1"/>
  <c r="BJ38" i="10"/>
  <c r="BK38" i="10" s="1"/>
  <c r="BL39" i="10"/>
  <c r="BM39" i="10" s="1"/>
  <c r="BL11" i="10"/>
  <c r="BM11" i="10" s="1"/>
  <c r="BL18" i="10"/>
  <c r="BM18" i="10" s="1"/>
  <c r="CB8" i="9"/>
  <c r="CC8" i="9" s="1"/>
  <c r="BE8" i="10" s="1"/>
  <c r="BL17" i="10"/>
  <c r="BM17" i="10" s="1"/>
  <c r="BH76" i="9"/>
  <c r="BI76" i="9" s="1"/>
  <c r="BK76" i="9" s="1"/>
  <c r="BM76" i="9" s="1"/>
  <c r="BO76" i="9" s="1"/>
  <c r="BH80" i="7"/>
  <c r="BI80" i="7" s="1"/>
  <c r="BF4" i="10"/>
  <c r="BG4" i="10" s="1"/>
  <c r="BL7" i="10"/>
  <c r="BM7" i="10" s="1"/>
  <c r="CB68" i="9"/>
  <c r="CC68" i="9" s="1"/>
  <c r="BE68" i="10" s="1"/>
  <c r="BR46" i="8"/>
  <c r="BS46" i="8" s="1"/>
  <c r="BU46" i="8" s="1"/>
  <c r="BZ35" i="7"/>
  <c r="CA35" i="7" s="1"/>
  <c r="BL16" i="10"/>
  <c r="BM16" i="10" s="1"/>
  <c r="BX65" i="7"/>
  <c r="BY65" i="7" s="1"/>
  <c r="BH75" i="10"/>
  <c r="BI75" i="10" s="1"/>
  <c r="BN79" i="7"/>
  <c r="BO79" i="7" s="1"/>
  <c r="BQ79" i="7" s="1"/>
  <c r="CB35" i="7" l="1"/>
  <c r="CC35" i="7" s="1"/>
  <c r="BE35" i="8" s="1"/>
  <c r="BL43" i="10"/>
  <c r="BM43" i="10" s="1"/>
  <c r="BJ55" i="8"/>
  <c r="BK55" i="8" s="1"/>
  <c r="BM55" i="8" s="1"/>
  <c r="BL34" i="10"/>
  <c r="BM34" i="10" s="1"/>
  <c r="BZ65" i="7"/>
  <c r="CA65" i="7" s="1"/>
  <c r="BL38" i="10"/>
  <c r="BM38" i="10" s="1"/>
  <c r="BL23" i="10"/>
  <c r="BM23" i="10" s="1"/>
  <c r="BT36" i="8"/>
  <c r="BU36" i="8" s="1"/>
  <c r="BT47" i="8"/>
  <c r="BU47" i="8" s="1"/>
  <c r="BN49" i="7"/>
  <c r="BO49" i="7" s="1"/>
  <c r="BL5" i="10"/>
  <c r="BM5" i="10" s="1"/>
  <c r="BJ77" i="7"/>
  <c r="BK77" i="7" s="1"/>
  <c r="BR27" i="7"/>
  <c r="BS27" i="7" s="1"/>
  <c r="BU27" i="7" s="1"/>
  <c r="BW27" i="7" s="1"/>
  <c r="BY27" i="7" s="1"/>
  <c r="CA27" i="7" s="1"/>
  <c r="CC27" i="7" s="1"/>
  <c r="BE27" i="8" s="1"/>
  <c r="BG27" i="8" s="1"/>
  <c r="BI27" i="8" s="1"/>
  <c r="BK27" i="8" s="1"/>
  <c r="BM27" i="8" s="1"/>
  <c r="BO27" i="8" s="1"/>
  <c r="BQ27" i="8" s="1"/>
  <c r="BS27" i="8" s="1"/>
  <c r="BL30" i="10"/>
  <c r="BM30" i="10" s="1"/>
  <c r="BF8" i="10"/>
  <c r="BG8" i="10" s="1"/>
  <c r="BL6" i="10"/>
  <c r="BM6" i="10" s="1"/>
  <c r="CB67" i="9"/>
  <c r="CC67" i="9" s="1"/>
  <c r="BE67" i="10" s="1"/>
  <c r="BT78" i="7"/>
  <c r="BU78" i="7" s="1"/>
  <c r="BL56" i="10"/>
  <c r="BM56" i="10" s="1"/>
  <c r="BF69" i="10"/>
  <c r="BG69" i="10" s="1"/>
  <c r="BL60" i="8"/>
  <c r="BM60" i="8" s="1"/>
  <c r="BO60" i="8" s="1"/>
  <c r="BL32" i="10"/>
  <c r="BM32" i="10" s="1"/>
  <c r="BL15" i="10"/>
  <c r="BM15" i="10" s="1"/>
  <c r="BP76" i="9"/>
  <c r="BQ76" i="9" s="1"/>
  <c r="BS76" i="9" s="1"/>
  <c r="BF71" i="10"/>
  <c r="BG71" i="10" s="1"/>
  <c r="BV26" i="7"/>
  <c r="BW26" i="7" s="1"/>
  <c r="CB25" i="9"/>
  <c r="CC25" i="9" s="1"/>
  <c r="BE25" i="10" s="1"/>
  <c r="CB52" i="9"/>
  <c r="CC52" i="9" s="1"/>
  <c r="BE52" i="10" s="1"/>
  <c r="BL40" i="10"/>
  <c r="BM40" i="10" s="1"/>
  <c r="BH4" i="10"/>
  <c r="BI4" i="10" s="1"/>
  <c r="BN12" i="10"/>
  <c r="BO12" i="10" s="1"/>
  <c r="BL61" i="10"/>
  <c r="BM61" i="10" s="1"/>
  <c r="BX70" i="9"/>
  <c r="BY70" i="9" s="1"/>
  <c r="BV42" i="8"/>
  <c r="BW42" i="8" s="1"/>
  <c r="BL74" i="10"/>
  <c r="BM74" i="10" s="1"/>
  <c r="BN14" i="10"/>
  <c r="BO14" i="10" s="1"/>
  <c r="BN51" i="10"/>
  <c r="BO51" i="10" s="1"/>
  <c r="BN62" i="10"/>
  <c r="BO62" i="10" s="1"/>
  <c r="BJ66" i="10"/>
  <c r="BK66" i="10" s="1"/>
  <c r="BJ31" i="10"/>
  <c r="BK31" i="10" s="1"/>
  <c r="BN10" i="10"/>
  <c r="BO10" i="10" s="1"/>
  <c r="BR79" i="7"/>
  <c r="BS79" i="7" s="1"/>
  <c r="BF68" i="10"/>
  <c r="BG68" i="10" s="1"/>
  <c r="BN11" i="10"/>
  <c r="BO11" i="10" s="1"/>
  <c r="BN73" i="10"/>
  <c r="BO73" i="10" s="1"/>
  <c r="BT28" i="9"/>
  <c r="BU28" i="9" s="1"/>
  <c r="BW28" i="9" s="1"/>
  <c r="BN45" i="10"/>
  <c r="BO45" i="10" s="1"/>
  <c r="BJ75" i="10"/>
  <c r="BK75" i="10" s="1"/>
  <c r="BV46" i="8"/>
  <c r="BW46" i="8" s="1"/>
  <c r="BY46" i="8" s="1"/>
  <c r="CA46" i="8" s="1"/>
  <c r="CC46" i="8" s="1"/>
  <c r="BE46" i="9" s="1"/>
  <c r="BG46" i="9" s="1"/>
  <c r="BI46" i="9" s="1"/>
  <c r="BK46" i="9" s="1"/>
  <c r="BJ80" i="7"/>
  <c r="BK80" i="7" s="1"/>
  <c r="BN17" i="10"/>
  <c r="BO17" i="10" s="1"/>
  <c r="BN18" i="10"/>
  <c r="BO18" i="10" s="1"/>
  <c r="BN39" i="10"/>
  <c r="BO39" i="10" s="1"/>
  <c r="BH21" i="10"/>
  <c r="BI21" i="10" s="1"/>
  <c r="BT58" i="7"/>
  <c r="BU58" i="7" s="1"/>
  <c r="C21" i="25"/>
  <c r="C22" i="25" s="1"/>
  <c r="G50" i="26"/>
  <c r="G76" i="26"/>
  <c r="G23" i="26"/>
  <c r="G17" i="26"/>
  <c r="G33" i="26"/>
  <c r="G25" i="26"/>
  <c r="G46" i="26"/>
  <c r="G24" i="26"/>
  <c r="G64" i="26"/>
  <c r="G40" i="26"/>
  <c r="G75" i="26"/>
  <c r="G62" i="26"/>
  <c r="G78" i="26"/>
  <c r="G45" i="26"/>
  <c r="G8" i="26"/>
  <c r="G66" i="26"/>
  <c r="G60" i="26"/>
  <c r="G53" i="26"/>
  <c r="G32" i="26"/>
  <c r="G20" i="26"/>
  <c r="G31" i="26"/>
  <c r="G59" i="26"/>
  <c r="G36" i="26"/>
  <c r="G41" i="26"/>
  <c r="G35" i="26"/>
  <c r="G58" i="26"/>
  <c r="G44" i="26"/>
  <c r="G43" i="26"/>
  <c r="G9" i="26"/>
  <c r="G21" i="26"/>
  <c r="G29" i="26"/>
  <c r="G63" i="26"/>
  <c r="G26" i="26"/>
  <c r="G22" i="26"/>
  <c r="G7" i="26"/>
  <c r="G39" i="26"/>
  <c r="G79" i="26"/>
  <c r="G27" i="26"/>
  <c r="G57" i="26"/>
  <c r="G34" i="26"/>
  <c r="G38" i="26"/>
  <c r="G13" i="26"/>
  <c r="G54" i="26"/>
  <c r="G70" i="26"/>
  <c r="G77" i="26"/>
  <c r="G10" i="26"/>
  <c r="G12" i="26"/>
  <c r="G18" i="26"/>
  <c r="G80" i="26"/>
  <c r="G42" i="26"/>
  <c r="G56" i="26"/>
  <c r="G30" i="26"/>
  <c r="G51" i="26"/>
  <c r="G48" i="26"/>
  <c r="G16" i="26"/>
  <c r="G37" i="26"/>
  <c r="G67" i="26"/>
  <c r="G14" i="26"/>
  <c r="G6" i="26"/>
  <c r="G28" i="26"/>
  <c r="G74" i="26"/>
  <c r="G81" i="26"/>
  <c r="G69" i="26"/>
  <c r="G72" i="26"/>
  <c r="G52" i="26"/>
  <c r="G61" i="26"/>
  <c r="G15" i="26"/>
  <c r="G47" i="26"/>
  <c r="G11" i="26"/>
  <c r="G71" i="26"/>
  <c r="G65" i="26"/>
  <c r="G19" i="26"/>
  <c r="G5" i="26"/>
  <c r="G49" i="26"/>
  <c r="G68" i="26"/>
  <c r="G55" i="26"/>
  <c r="G73" i="26"/>
  <c r="C20" i="25"/>
  <c r="BV44" i="8"/>
  <c r="BW44" i="8" s="1"/>
  <c r="BY44" i="8" s="1"/>
  <c r="CA44" i="8" s="1"/>
  <c r="BN20" i="10"/>
  <c r="BO20" i="10" s="1"/>
  <c r="BL59" i="10"/>
  <c r="BM59" i="10" s="1"/>
  <c r="BR9" i="7"/>
  <c r="BS9" i="7" s="1"/>
  <c r="BU9" i="7" s="1"/>
  <c r="BH48" i="8"/>
  <c r="BI48" i="8" s="1"/>
  <c r="BK48" i="8" s="1"/>
  <c r="BM48" i="8" s="1"/>
  <c r="BL24" i="10"/>
  <c r="BM24" i="10" s="1"/>
  <c r="BL50" i="10"/>
  <c r="BM50" i="10" s="1"/>
  <c r="BH33" i="10"/>
  <c r="BI33" i="10" s="1"/>
  <c r="BN72" i="10"/>
  <c r="BO72" i="10" s="1"/>
  <c r="BN53" i="10"/>
  <c r="BO53" i="10" s="1"/>
  <c r="BN22" i="10"/>
  <c r="BO22" i="10" s="1"/>
  <c r="BN54" i="10"/>
  <c r="BO54" i="10" s="1"/>
  <c r="CB19" i="9"/>
  <c r="CC19" i="9" s="1"/>
  <c r="BE19" i="10" s="1"/>
  <c r="BJ29" i="10"/>
  <c r="BK29" i="10" s="1"/>
  <c r="CB57" i="9"/>
  <c r="CC57" i="9" s="1"/>
  <c r="BE57" i="10" s="1"/>
  <c r="BH13" i="10"/>
  <c r="BI13" i="10" s="1"/>
  <c r="BL64" i="10"/>
  <c r="BM64" i="10" s="1"/>
  <c r="BN63" i="10"/>
  <c r="BO63" i="10" s="1"/>
  <c r="BN41" i="10"/>
  <c r="BO41" i="10" s="1"/>
  <c r="BN37" i="10"/>
  <c r="BO37" i="10" s="1"/>
  <c r="BN16" i="10"/>
  <c r="BO16" i="10" s="1"/>
  <c r="BN7" i="10"/>
  <c r="BO7" i="10" s="1"/>
  <c r="G82" i="26" l="1"/>
  <c r="BP41" i="10"/>
  <c r="BQ41" i="10" s="1"/>
  <c r="BN24" i="10"/>
  <c r="BO24" i="10" s="1"/>
  <c r="BV58" i="7"/>
  <c r="BW58" i="7" s="1"/>
  <c r="BL66" i="10"/>
  <c r="BM66" i="10" s="1"/>
  <c r="BP12" i="10"/>
  <c r="BQ12" i="10" s="1"/>
  <c r="BF52" i="10"/>
  <c r="BG52" i="10" s="1"/>
  <c r="BH71" i="10"/>
  <c r="BI71" i="10" s="1"/>
  <c r="BN5" i="10"/>
  <c r="BO5" i="10" s="1"/>
  <c r="BN23" i="10"/>
  <c r="BO23" i="10" s="1"/>
  <c r="BJ13" i="10"/>
  <c r="BK13" i="10" s="1"/>
  <c r="BF19" i="10"/>
  <c r="BG19" i="10" s="1"/>
  <c r="BJ33" i="10"/>
  <c r="BK33" i="10" s="1"/>
  <c r="BN48" i="8"/>
  <c r="BO48" i="8" s="1"/>
  <c r="BP62" i="10"/>
  <c r="BQ62" i="10" s="1"/>
  <c r="BT76" i="9"/>
  <c r="BU76" i="9" s="1"/>
  <c r="BW76" i="9" s="1"/>
  <c r="BN56" i="10"/>
  <c r="BO56" i="10" s="1"/>
  <c r="BP49" i="7"/>
  <c r="BQ49" i="7" s="1"/>
  <c r="BF35" i="8"/>
  <c r="BG35" i="8" s="1"/>
  <c r="BI35" i="8" s="1"/>
  <c r="BK35" i="8" s="1"/>
  <c r="BM35" i="8" s="1"/>
  <c r="BO35" i="8" s="1"/>
  <c r="BQ35" i="8" s="1"/>
  <c r="BS35" i="8" s="1"/>
  <c r="BU35" i="8" s="1"/>
  <c r="BW35" i="8" s="1"/>
  <c r="BY35" i="8" s="1"/>
  <c r="CA35" i="8" s="1"/>
  <c r="CC35" i="8" s="1"/>
  <c r="BE35" i="9" s="1"/>
  <c r="BG35" i="9" s="1"/>
  <c r="BI35" i="9" s="1"/>
  <c r="BK35" i="9" s="1"/>
  <c r="BM35" i="9" s="1"/>
  <c r="BO35" i="9" s="1"/>
  <c r="BQ35" i="9" s="1"/>
  <c r="BS35" i="9" s="1"/>
  <c r="BU35" i="9" s="1"/>
  <c r="BW35" i="9" s="1"/>
  <c r="BY35" i="9" s="1"/>
  <c r="BF57" i="10"/>
  <c r="BG57" i="10" s="1"/>
  <c r="BP54" i="10"/>
  <c r="BQ54" i="10" s="1"/>
  <c r="BP20" i="10"/>
  <c r="BQ20" i="10" s="1"/>
  <c r="BP10" i="10"/>
  <c r="BQ10" i="10" s="1"/>
  <c r="BN74" i="10"/>
  <c r="BO74" i="10" s="1"/>
  <c r="BN15" i="10"/>
  <c r="BO15" i="10" s="1"/>
  <c r="BV78" i="7"/>
  <c r="BW78" i="7" s="1"/>
  <c r="BH8" i="10"/>
  <c r="BI8" i="10" s="1"/>
  <c r="BV47" i="8"/>
  <c r="BW47" i="8" s="1"/>
  <c r="BN55" i="8"/>
  <c r="BO55" i="8" s="1"/>
  <c r="BQ55" i="8" s="1"/>
  <c r="BP37" i="10"/>
  <c r="BQ37" i="10" s="1"/>
  <c r="BL46" i="9"/>
  <c r="BM46" i="9" s="1"/>
  <c r="BL31" i="10"/>
  <c r="BM31" i="10" s="1"/>
  <c r="BX42" i="8"/>
  <c r="BY42" i="8" s="1"/>
  <c r="BN40" i="10"/>
  <c r="BO40" i="10" s="1"/>
  <c r="BX26" i="7"/>
  <c r="BY26" i="7" s="1"/>
  <c r="BF67" i="10"/>
  <c r="BG67" i="10" s="1"/>
  <c r="BL77" i="7"/>
  <c r="BM77" i="7" s="1"/>
  <c r="BV36" i="8"/>
  <c r="BW36" i="8" s="1"/>
  <c r="CB65" i="7"/>
  <c r="CC65" i="7" s="1"/>
  <c r="BE65" i="8" s="1"/>
  <c r="BP7" i="10"/>
  <c r="BQ7" i="10" s="1"/>
  <c r="BP63" i="10"/>
  <c r="BQ63" i="10" s="1"/>
  <c r="BL29" i="10"/>
  <c r="BM29" i="10" s="1"/>
  <c r="BX28" i="9"/>
  <c r="BY28" i="9" s="1"/>
  <c r="BT79" i="7"/>
  <c r="BU79" i="7" s="1"/>
  <c r="BH69" i="10"/>
  <c r="BI69" i="10" s="1"/>
  <c r="BN6" i="10"/>
  <c r="BO6" i="10" s="1"/>
  <c r="BN34" i="10"/>
  <c r="BO34" i="10" s="1"/>
  <c r="BP16" i="10"/>
  <c r="BQ16" i="10" s="1"/>
  <c r="BN64" i="10"/>
  <c r="BO64" i="10" s="1"/>
  <c r="BP22" i="10"/>
  <c r="BQ22" i="10" s="1"/>
  <c r="BP72" i="10"/>
  <c r="BQ72" i="10" s="1"/>
  <c r="BN50" i="10"/>
  <c r="BO50" i="10" s="1"/>
  <c r="BN59" i="10"/>
  <c r="BO59" i="10" s="1"/>
  <c r="CB44" i="8"/>
  <c r="CC44" i="8" s="1"/>
  <c r="BE44" i="9" s="1"/>
  <c r="BP18" i="10"/>
  <c r="BQ18" i="10" s="1"/>
  <c r="BL75" i="10"/>
  <c r="BM75" i="10" s="1"/>
  <c r="BP14" i="10"/>
  <c r="BQ14" i="10" s="1"/>
  <c r="BN32" i="10"/>
  <c r="BO32" i="10" s="1"/>
  <c r="BN43" i="10"/>
  <c r="BO43" i="10" s="1"/>
  <c r="BP53" i="10"/>
  <c r="BQ53" i="10" s="1"/>
  <c r="BV9" i="7"/>
  <c r="BW9" i="7" s="1"/>
  <c r="BJ21" i="10"/>
  <c r="BK21" i="10" s="1"/>
  <c r="BL80" i="7"/>
  <c r="BM80" i="7" s="1"/>
  <c r="BO80" i="7" s="1"/>
  <c r="BQ80" i="7" s="1"/>
  <c r="BS80" i="7" s="1"/>
  <c r="BP11" i="10"/>
  <c r="BQ11" i="10" s="1"/>
  <c r="BN61" i="10"/>
  <c r="BO61" i="10" s="1"/>
  <c r="BJ4" i="10"/>
  <c r="BK4" i="10" s="1"/>
  <c r="BN30" i="10"/>
  <c r="BO30" i="10" s="1"/>
  <c r="BN38" i="10"/>
  <c r="BO38" i="10" s="1"/>
  <c r="BP39" i="10"/>
  <c r="BQ39" i="10" s="1"/>
  <c r="BP17" i="10"/>
  <c r="BQ17" i="10" s="1"/>
  <c r="BP45" i="10"/>
  <c r="BQ45" i="10" s="1"/>
  <c r="BP73" i="10"/>
  <c r="BQ73" i="10" s="1"/>
  <c r="BH68" i="10"/>
  <c r="BI68" i="10" s="1"/>
  <c r="BP51" i="10"/>
  <c r="BQ51" i="10" s="1"/>
  <c r="BZ70" i="9"/>
  <c r="CA70" i="9" s="1"/>
  <c r="BF25" i="10"/>
  <c r="BG25" i="10" s="1"/>
  <c r="BP60" i="8"/>
  <c r="BQ60" i="8" s="1"/>
  <c r="BT27" i="8"/>
  <c r="BU27" i="8" s="1"/>
  <c r="BW27" i="8" s="1"/>
  <c r="BR60" i="8" l="1"/>
  <c r="BS60" i="8" s="1"/>
  <c r="BU60" i="8" s="1"/>
  <c r="BW60" i="8" s="1"/>
  <c r="BR51" i="10"/>
  <c r="BS51" i="10" s="1"/>
  <c r="BL4" i="10"/>
  <c r="BM4" i="10" s="1"/>
  <c r="BR53" i="10"/>
  <c r="BS53" i="10" s="1"/>
  <c r="BN29" i="10"/>
  <c r="BO29" i="10" s="1"/>
  <c r="BF65" i="8"/>
  <c r="BG65" i="8" s="1"/>
  <c r="BH67" i="10"/>
  <c r="BI67" i="10" s="1"/>
  <c r="BR37" i="10"/>
  <c r="BS37" i="10" s="1"/>
  <c r="BP48" i="8"/>
  <c r="BQ48" i="8" s="1"/>
  <c r="BJ71" i="10"/>
  <c r="BK71" i="10" s="1"/>
  <c r="BH25" i="10"/>
  <c r="BI25" i="10" s="1"/>
  <c r="BP38" i="10"/>
  <c r="BQ38" i="10" s="1"/>
  <c r="BP61" i="10"/>
  <c r="BQ61" i="10" s="1"/>
  <c r="BF44" i="9"/>
  <c r="BG44" i="9" s="1"/>
  <c r="BP6" i="10"/>
  <c r="BQ6" i="10" s="1"/>
  <c r="BZ26" i="7"/>
  <c r="CA26" i="7" s="1"/>
  <c r="BN31" i="10"/>
  <c r="BO31" i="10" s="1"/>
  <c r="BR55" i="8"/>
  <c r="BS55" i="8" s="1"/>
  <c r="BU55" i="8" s="1"/>
  <c r="BX78" i="7"/>
  <c r="BY78" i="7" s="1"/>
  <c r="BH57" i="10"/>
  <c r="BI57" i="10" s="1"/>
  <c r="BL33" i="10"/>
  <c r="BM33" i="10" s="1"/>
  <c r="BH52" i="10"/>
  <c r="BI52" i="10" s="1"/>
  <c r="BR41" i="10"/>
  <c r="BS41" i="10" s="1"/>
  <c r="BR17" i="10"/>
  <c r="BS17" i="10" s="1"/>
  <c r="BR11" i="10"/>
  <c r="BS11" i="10" s="1"/>
  <c r="BN75" i="10"/>
  <c r="BO75" i="10" s="1"/>
  <c r="BP59" i="10"/>
  <c r="BQ59" i="10" s="1"/>
  <c r="BR16" i="10"/>
  <c r="BS16" i="10" s="1"/>
  <c r="BP40" i="10"/>
  <c r="BQ40" i="10" s="1"/>
  <c r="BX47" i="8"/>
  <c r="BY47" i="8" s="1"/>
  <c r="CA47" i="8" s="1"/>
  <c r="CC47" i="8" s="1"/>
  <c r="BE47" i="9" s="1"/>
  <c r="BG47" i="9" s="1"/>
  <c r="BI47" i="9" s="1"/>
  <c r="BP15" i="10"/>
  <c r="BQ15" i="10" s="1"/>
  <c r="BR20" i="10"/>
  <c r="BS20" i="10" s="1"/>
  <c r="BH19" i="10"/>
  <c r="BI19" i="10" s="1"/>
  <c r="BR12" i="10"/>
  <c r="BS12" i="10" s="1"/>
  <c r="BR73" i="10"/>
  <c r="BS73" i="10" s="1"/>
  <c r="BX9" i="7"/>
  <c r="BY9" i="7" s="1"/>
  <c r="BP32" i="10"/>
  <c r="BQ32" i="10" s="1"/>
  <c r="BR22" i="10"/>
  <c r="BS22" i="10" s="1"/>
  <c r="BR7" i="10"/>
  <c r="BS7" i="10" s="1"/>
  <c r="BN77" i="7"/>
  <c r="BO77" i="7" s="1"/>
  <c r="BQ77" i="7" s="1"/>
  <c r="BS77" i="7" s="1"/>
  <c r="BP74" i="10"/>
  <c r="BQ74" i="10" s="1"/>
  <c r="BL13" i="10"/>
  <c r="BM13" i="10" s="1"/>
  <c r="BR45" i="10"/>
  <c r="BS45" i="10" s="1"/>
  <c r="BP43" i="10"/>
  <c r="BQ43" i="10" s="1"/>
  <c r="BR14" i="10"/>
  <c r="BS14" i="10" s="1"/>
  <c r="BR18" i="10"/>
  <c r="BS18" i="10" s="1"/>
  <c r="BR72" i="10"/>
  <c r="BS72" i="10" s="1"/>
  <c r="BP64" i="10"/>
  <c r="BQ64" i="10" s="1"/>
  <c r="BP34" i="10"/>
  <c r="BQ34" i="10" s="1"/>
  <c r="BJ69" i="10"/>
  <c r="BK69" i="10" s="1"/>
  <c r="BZ28" i="9"/>
  <c r="CA28" i="9" s="1"/>
  <c r="BR63" i="10"/>
  <c r="BS63" i="10" s="1"/>
  <c r="BZ42" i="8"/>
  <c r="CA42" i="8" s="1"/>
  <c r="CC42" i="8" s="1"/>
  <c r="BE42" i="9" s="1"/>
  <c r="BG42" i="9" s="1"/>
  <c r="BI42" i="9" s="1"/>
  <c r="BK42" i="9" s="1"/>
  <c r="BN46" i="9"/>
  <c r="BO46" i="9" s="1"/>
  <c r="BJ8" i="10"/>
  <c r="BK8" i="10" s="1"/>
  <c r="BR10" i="10"/>
  <c r="BS10" i="10" s="1"/>
  <c r="BR54" i="10"/>
  <c r="BS54" i="10" s="1"/>
  <c r="BP56" i="10"/>
  <c r="BQ56" i="10" s="1"/>
  <c r="BR62" i="10"/>
  <c r="BS62" i="10" s="1"/>
  <c r="BP24" i="10"/>
  <c r="BQ24" i="10" s="1"/>
  <c r="CB70" i="9"/>
  <c r="CC70" i="9" s="1"/>
  <c r="BE70" i="10" s="1"/>
  <c r="BT80" i="7"/>
  <c r="BU80" i="7" s="1"/>
  <c r="BW80" i="7" s="1"/>
  <c r="BY80" i="7" s="1"/>
  <c r="BZ35" i="9"/>
  <c r="CA35" i="9" s="1"/>
  <c r="BP5" i="10"/>
  <c r="BQ5" i="10" s="1"/>
  <c r="BN66" i="10"/>
  <c r="BO66" i="10" s="1"/>
  <c r="BJ68" i="10"/>
  <c r="BK68" i="10" s="1"/>
  <c r="BR39" i="10"/>
  <c r="BS39" i="10" s="1"/>
  <c r="BP30" i="10"/>
  <c r="BQ30" i="10" s="1"/>
  <c r="BX27" i="8"/>
  <c r="BY27" i="8" s="1"/>
  <c r="CA27" i="8" s="1"/>
  <c r="BL21" i="10"/>
  <c r="BM21" i="10" s="1"/>
  <c r="BP50" i="10"/>
  <c r="BQ50" i="10" s="1"/>
  <c r="BV79" i="7"/>
  <c r="BW79" i="7" s="1"/>
  <c r="BX36" i="8"/>
  <c r="BY36" i="8" s="1"/>
  <c r="CA36" i="8" s="1"/>
  <c r="CC36" i="8" s="1"/>
  <c r="BE36" i="9" s="1"/>
  <c r="BG36" i="9" s="1"/>
  <c r="BI36" i="9" s="1"/>
  <c r="BK36" i="9" s="1"/>
  <c r="BR49" i="7"/>
  <c r="BS49" i="7" s="1"/>
  <c r="BX76" i="9"/>
  <c r="BY76" i="9" s="1"/>
  <c r="BP23" i="10"/>
  <c r="BQ23" i="10" s="1"/>
  <c r="BX58" i="7"/>
  <c r="BY58" i="7" s="1"/>
  <c r="BP66" i="10" l="1"/>
  <c r="BQ66" i="10" s="1"/>
  <c r="BT54" i="10"/>
  <c r="BU54" i="10" s="1"/>
  <c r="BT72" i="10"/>
  <c r="BU72" i="10" s="1"/>
  <c r="BT12" i="10"/>
  <c r="BU12" i="10" s="1"/>
  <c r="BR59" i="10"/>
  <c r="BS59" i="10" s="1"/>
  <c r="BR6" i="10"/>
  <c r="BS6" i="10" s="1"/>
  <c r="BT53" i="10"/>
  <c r="BU53" i="10" s="1"/>
  <c r="BT49" i="7"/>
  <c r="BU49" i="7" s="1"/>
  <c r="BR50" i="10"/>
  <c r="BS50" i="10" s="1"/>
  <c r="BT62" i="10"/>
  <c r="BU62" i="10" s="1"/>
  <c r="BT10" i="10"/>
  <c r="BU10" i="10" s="1"/>
  <c r="BR34" i="10"/>
  <c r="BS34" i="10" s="1"/>
  <c r="BT18" i="10"/>
  <c r="BU18" i="10" s="1"/>
  <c r="BJ19" i="10"/>
  <c r="BK19" i="10" s="1"/>
  <c r="BP75" i="10"/>
  <c r="BQ75" i="10" s="1"/>
  <c r="BJ67" i="10"/>
  <c r="BK67" i="10" s="1"/>
  <c r="BN4" i="10"/>
  <c r="BO4" i="10" s="1"/>
  <c r="BL36" i="9"/>
  <c r="BM36" i="9" s="1"/>
  <c r="BO36" i="9" s="1"/>
  <c r="BF70" i="10"/>
  <c r="BG70" i="10" s="1"/>
  <c r="BR74" i="10"/>
  <c r="BS74" i="10" s="1"/>
  <c r="BT22" i="10"/>
  <c r="BU22" i="10" s="1"/>
  <c r="BT20" i="10"/>
  <c r="BU20" i="10" s="1"/>
  <c r="BR40" i="10"/>
  <c r="BS40" i="10" s="1"/>
  <c r="BN33" i="10"/>
  <c r="BO33" i="10" s="1"/>
  <c r="BJ25" i="10"/>
  <c r="BK25" i="10" s="1"/>
  <c r="BH65" i="8"/>
  <c r="BI65" i="8" s="1"/>
  <c r="BT51" i="10"/>
  <c r="BU51" i="10" s="1"/>
  <c r="BZ58" i="7"/>
  <c r="CA58" i="7" s="1"/>
  <c r="CC58" i="7" s="1"/>
  <c r="BE58" i="8" s="1"/>
  <c r="BL42" i="9"/>
  <c r="BM42" i="9" s="1"/>
  <c r="CB35" i="9"/>
  <c r="CC35" i="9" s="1"/>
  <c r="BE35" i="10" s="1"/>
  <c r="BT77" i="7"/>
  <c r="BU77" i="7" s="1"/>
  <c r="BW77" i="7" s="1"/>
  <c r="BY77" i="7" s="1"/>
  <c r="BR32" i="10"/>
  <c r="BS32" i="10" s="1"/>
  <c r="BR15" i="10"/>
  <c r="BS15" i="10" s="1"/>
  <c r="BT16" i="10"/>
  <c r="BU16" i="10" s="1"/>
  <c r="CB26" i="7"/>
  <c r="CC26" i="7" s="1"/>
  <c r="BE26" i="8" s="1"/>
  <c r="BG26" i="8" s="1"/>
  <c r="BI26" i="8" s="1"/>
  <c r="BK26" i="8" s="1"/>
  <c r="BM26" i="8" s="1"/>
  <c r="BO26" i="8" s="1"/>
  <c r="BQ26" i="8" s="1"/>
  <c r="BS26" i="8" s="1"/>
  <c r="BU26" i="8" s="1"/>
  <c r="BW26" i="8" s="1"/>
  <c r="BY26" i="8" s="1"/>
  <c r="CA26" i="8" s="1"/>
  <c r="CC26" i="8" s="1"/>
  <c r="BE26" i="9" s="1"/>
  <c r="BG26" i="9" s="1"/>
  <c r="BR61" i="10"/>
  <c r="BS61" i="10" s="1"/>
  <c r="BP29" i="10"/>
  <c r="BQ29" i="10" s="1"/>
  <c r="BX60" i="8"/>
  <c r="BY60" i="8" s="1"/>
  <c r="CA60" i="8" s="1"/>
  <c r="BX79" i="7"/>
  <c r="BY79" i="7" s="1"/>
  <c r="CA79" i="7" s="1"/>
  <c r="BR30" i="10"/>
  <c r="BS30" i="10" s="1"/>
  <c r="BR5" i="10"/>
  <c r="BS5" i="10" s="1"/>
  <c r="BR24" i="10"/>
  <c r="BS24" i="10" s="1"/>
  <c r="BP46" i="9"/>
  <c r="BQ46" i="9" s="1"/>
  <c r="BS46" i="9" s="1"/>
  <c r="BU46" i="9" s="1"/>
  <c r="BL69" i="10"/>
  <c r="BM69" i="10" s="1"/>
  <c r="BR43" i="10"/>
  <c r="BS43" i="10" s="1"/>
  <c r="BJ47" i="9"/>
  <c r="BK47" i="9" s="1"/>
  <c r="BT17" i="10"/>
  <c r="BU17" i="10" s="1"/>
  <c r="BJ57" i="10"/>
  <c r="BK57" i="10" s="1"/>
  <c r="BV55" i="8"/>
  <c r="BW55" i="8" s="1"/>
  <c r="BH44" i="9"/>
  <c r="BI44" i="9" s="1"/>
  <c r="BL71" i="10"/>
  <c r="BM71" i="10" s="1"/>
  <c r="BN21" i="10"/>
  <c r="BO21" i="10" s="1"/>
  <c r="BL68" i="10"/>
  <c r="BM68" i="10" s="1"/>
  <c r="BJ52" i="10"/>
  <c r="BK52" i="10" s="1"/>
  <c r="BR38" i="10"/>
  <c r="BS38" i="10" s="1"/>
  <c r="BT37" i="10"/>
  <c r="BU37" i="10" s="1"/>
  <c r="BR23" i="10"/>
  <c r="BS23" i="10" s="1"/>
  <c r="BZ80" i="7"/>
  <c r="CA80" i="7" s="1"/>
  <c r="CC80" i="7" s="1"/>
  <c r="BE80" i="8" s="1"/>
  <c r="BG80" i="8" s="1"/>
  <c r="BI80" i="8" s="1"/>
  <c r="BK80" i="8" s="1"/>
  <c r="BM80" i="8" s="1"/>
  <c r="BO80" i="8" s="1"/>
  <c r="BR56" i="10"/>
  <c r="BS56" i="10" s="1"/>
  <c r="BT63" i="10"/>
  <c r="BU63" i="10" s="1"/>
  <c r="BR64" i="10"/>
  <c r="BS64" i="10" s="1"/>
  <c r="BN13" i="10"/>
  <c r="BO13" i="10" s="1"/>
  <c r="BZ9" i="7"/>
  <c r="CA9" i="7" s="1"/>
  <c r="BZ76" i="9"/>
  <c r="CA76" i="9" s="1"/>
  <c r="CB27" i="8"/>
  <c r="CC27" i="8" s="1"/>
  <c r="BE27" i="9" s="1"/>
  <c r="BG27" i="9" s="1"/>
  <c r="BT39" i="10"/>
  <c r="BU39" i="10" s="1"/>
  <c r="BL8" i="10"/>
  <c r="BM8" i="10" s="1"/>
  <c r="CB28" i="9"/>
  <c r="CC28" i="9" s="1"/>
  <c r="BE28" i="10" s="1"/>
  <c r="BT14" i="10"/>
  <c r="BU14" i="10" s="1"/>
  <c r="BT45" i="10"/>
  <c r="BU45" i="10" s="1"/>
  <c r="BT7" i="10"/>
  <c r="BU7" i="10" s="1"/>
  <c r="BT73" i="10"/>
  <c r="BU73" i="10" s="1"/>
  <c r="BT11" i="10"/>
  <c r="BU11" i="10" s="1"/>
  <c r="BT41" i="10"/>
  <c r="BU41" i="10" s="1"/>
  <c r="BZ78" i="7"/>
  <c r="CA78" i="7" s="1"/>
  <c r="BP31" i="10"/>
  <c r="BQ31" i="10" s="1"/>
  <c r="BR48" i="8"/>
  <c r="BS48" i="8" s="1"/>
  <c r="BH27" i="9" l="1"/>
  <c r="BI27" i="9" s="1"/>
  <c r="CB78" i="7"/>
  <c r="CC78" i="7" s="1"/>
  <c r="BE78" i="8" s="1"/>
  <c r="BG78" i="8" s="1"/>
  <c r="BT23" i="10"/>
  <c r="BU23" i="10" s="1"/>
  <c r="BZ77" i="7"/>
  <c r="CA77" i="7" s="1"/>
  <c r="BT40" i="10"/>
  <c r="BU40" i="10" s="1"/>
  <c r="BL19" i="10"/>
  <c r="BM19" i="10" s="1"/>
  <c r="CB9" i="7"/>
  <c r="CC9" i="7" s="1"/>
  <c r="BE9" i="8" s="1"/>
  <c r="BG9" i="8" s="1"/>
  <c r="BT43" i="10"/>
  <c r="BU43" i="10" s="1"/>
  <c r="BT30" i="10"/>
  <c r="BU30" i="10" s="1"/>
  <c r="BF35" i="10"/>
  <c r="BG35" i="10" s="1"/>
  <c r="CB60" i="8"/>
  <c r="CC60" i="8" s="1"/>
  <c r="BE60" i="9" s="1"/>
  <c r="CB76" i="9"/>
  <c r="CC76" i="9" s="1"/>
  <c r="BE76" i="10" s="1"/>
  <c r="BX55" i="8"/>
  <c r="BY55" i="8" s="1"/>
  <c r="CA55" i="8" s="1"/>
  <c r="BT24" i="10"/>
  <c r="BU24" i="10" s="1"/>
  <c r="CB79" i="7"/>
  <c r="CC79" i="7" s="1"/>
  <c r="BE79" i="8" s="1"/>
  <c r="BT61" i="10"/>
  <c r="BU61" i="10" s="1"/>
  <c r="BT15" i="10"/>
  <c r="BU15" i="10" s="1"/>
  <c r="BL25" i="10"/>
  <c r="BM25" i="10" s="1"/>
  <c r="BT6" i="10"/>
  <c r="BU6" i="10" s="1"/>
  <c r="BT38" i="10"/>
  <c r="BU38" i="10" s="1"/>
  <c r="BH26" i="9"/>
  <c r="BI26" i="9" s="1"/>
  <c r="BK26" i="9" s="1"/>
  <c r="BM26" i="9" s="1"/>
  <c r="BO26" i="9" s="1"/>
  <c r="BT32" i="10"/>
  <c r="BU32" i="10" s="1"/>
  <c r="BP33" i="10"/>
  <c r="BQ33" i="10" s="1"/>
  <c r="BH70" i="10"/>
  <c r="BI70" i="10" s="1"/>
  <c r="BT34" i="10"/>
  <c r="BU34" i="10" s="1"/>
  <c r="BT59" i="10"/>
  <c r="BU59" i="10" s="1"/>
  <c r="BV11" i="10"/>
  <c r="BW11" i="10" s="1"/>
  <c r="BV14" i="10"/>
  <c r="BW14" i="10" s="1"/>
  <c r="BN68" i="10"/>
  <c r="BO68" i="10" s="1"/>
  <c r="BN71" i="10"/>
  <c r="BO71" i="10" s="1"/>
  <c r="BR29" i="10"/>
  <c r="BS29" i="10" s="1"/>
  <c r="BR31" i="10"/>
  <c r="BS31" i="10" s="1"/>
  <c r="BV41" i="10"/>
  <c r="BW41" i="10" s="1"/>
  <c r="BV73" i="10"/>
  <c r="BW73" i="10" s="1"/>
  <c r="BV45" i="10"/>
  <c r="BW45" i="10" s="1"/>
  <c r="BF28" i="10"/>
  <c r="BG28" i="10" s="1"/>
  <c r="BV39" i="10"/>
  <c r="BW39" i="10" s="1"/>
  <c r="BP13" i="10"/>
  <c r="BQ13" i="10" s="1"/>
  <c r="BV63" i="10"/>
  <c r="BW63" i="10" s="1"/>
  <c r="BP80" i="8"/>
  <c r="BQ80" i="8" s="1"/>
  <c r="BS80" i="8" s="1"/>
  <c r="BV37" i="10"/>
  <c r="BW37" i="10" s="1"/>
  <c r="BL52" i="10"/>
  <c r="BM52" i="10" s="1"/>
  <c r="BP21" i="10"/>
  <c r="BQ21" i="10" s="1"/>
  <c r="BJ44" i="9"/>
  <c r="BK44" i="9" s="1"/>
  <c r="BM44" i="9" s="1"/>
  <c r="BL57" i="10"/>
  <c r="BM57" i="10" s="1"/>
  <c r="BL47" i="9"/>
  <c r="BM47" i="9" s="1"/>
  <c r="BN69" i="10"/>
  <c r="BO69" i="10" s="1"/>
  <c r="BV16" i="10"/>
  <c r="BW16" i="10" s="1"/>
  <c r="BF58" i="8"/>
  <c r="BG58" i="8" s="1"/>
  <c r="BJ65" i="8"/>
  <c r="BK65" i="8" s="1"/>
  <c r="BV20" i="10"/>
  <c r="BW20" i="10" s="1"/>
  <c r="BT74" i="10"/>
  <c r="BU74" i="10" s="1"/>
  <c r="BP36" i="9"/>
  <c r="BQ36" i="9" s="1"/>
  <c r="BS36" i="9" s="1"/>
  <c r="BU36" i="9" s="1"/>
  <c r="BL67" i="10"/>
  <c r="BM67" i="10" s="1"/>
  <c r="BV62" i="10"/>
  <c r="BW62" i="10" s="1"/>
  <c r="BV49" i="7"/>
  <c r="BW49" i="7" s="1"/>
  <c r="BV12" i="10"/>
  <c r="BW12" i="10" s="1"/>
  <c r="BV54" i="10"/>
  <c r="BW54" i="10" s="1"/>
  <c r="BV17" i="10"/>
  <c r="BW17" i="10" s="1"/>
  <c r="BT5" i="10"/>
  <c r="BU5" i="10" s="1"/>
  <c r="BN42" i="9"/>
  <c r="BO42" i="9" s="1"/>
  <c r="BV51" i="10"/>
  <c r="BW51" i="10" s="1"/>
  <c r="BV22" i="10"/>
  <c r="BW22" i="10" s="1"/>
  <c r="BP4" i="10"/>
  <c r="BQ4" i="10" s="1"/>
  <c r="BR75" i="10"/>
  <c r="BS75" i="10" s="1"/>
  <c r="BV18" i="10"/>
  <c r="BW18" i="10" s="1"/>
  <c r="BV10" i="10"/>
  <c r="BW10" i="10" s="1"/>
  <c r="BT50" i="10"/>
  <c r="BU50" i="10" s="1"/>
  <c r="BV53" i="10"/>
  <c r="BW53" i="10" s="1"/>
  <c r="BV72" i="10"/>
  <c r="BW72" i="10" s="1"/>
  <c r="BR66" i="10"/>
  <c r="BS66" i="10" s="1"/>
  <c r="BT48" i="8"/>
  <c r="BU48" i="8" s="1"/>
  <c r="BV7" i="10"/>
  <c r="BW7" i="10" s="1"/>
  <c r="BN8" i="10"/>
  <c r="BO8" i="10" s="1"/>
  <c r="BT64" i="10"/>
  <c r="BU64" i="10" s="1"/>
  <c r="BT56" i="10"/>
  <c r="BU56" i="10" s="1"/>
  <c r="BV46" i="9"/>
  <c r="BW46" i="9" s="1"/>
  <c r="BX49" i="7" l="1"/>
  <c r="BY49" i="7" s="1"/>
  <c r="BP69" i="10"/>
  <c r="BQ69" i="10" s="1"/>
  <c r="BX14" i="10"/>
  <c r="BY14" i="10" s="1"/>
  <c r="CB77" i="7"/>
  <c r="CC77" i="7" s="1"/>
  <c r="BE77" i="8" s="1"/>
  <c r="BX62" i="10"/>
  <c r="BY62" i="10" s="1"/>
  <c r="BL65" i="8"/>
  <c r="BM65" i="8" s="1"/>
  <c r="BN44" i="9"/>
  <c r="BO44" i="9" s="1"/>
  <c r="BQ44" i="9" s="1"/>
  <c r="BP71" i="10"/>
  <c r="BQ71" i="10" s="1"/>
  <c r="BF79" i="8"/>
  <c r="BG79" i="8" s="1"/>
  <c r="BI79" i="8" s="1"/>
  <c r="BF76" i="10"/>
  <c r="BG76" i="10" s="1"/>
  <c r="BV30" i="10"/>
  <c r="BW30" i="10" s="1"/>
  <c r="BV23" i="10"/>
  <c r="BW23" i="10" s="1"/>
  <c r="BX51" i="10"/>
  <c r="BY51" i="10" s="1"/>
  <c r="BX20" i="10"/>
  <c r="BY20" i="10" s="1"/>
  <c r="CB55" i="8"/>
  <c r="CC55" i="8" s="1"/>
  <c r="BE55" i="9" s="1"/>
  <c r="BH58" i="8"/>
  <c r="BI58" i="8" s="1"/>
  <c r="BX73" i="10"/>
  <c r="BY73" i="10" s="1"/>
  <c r="BF60" i="9"/>
  <c r="BG60" i="9" s="1"/>
  <c r="BH78" i="8"/>
  <c r="BI78" i="8" s="1"/>
  <c r="BX53" i="10"/>
  <c r="BY53" i="10" s="1"/>
  <c r="BH9" i="8"/>
  <c r="BI9" i="8" s="1"/>
  <c r="BP42" i="9"/>
  <c r="BQ42" i="9" s="1"/>
  <c r="BX54" i="10"/>
  <c r="BY54" i="10" s="1"/>
  <c r="BX63" i="10"/>
  <c r="BY63" i="10" s="1"/>
  <c r="BX72" i="10"/>
  <c r="BY72" i="10" s="1"/>
  <c r="BT75" i="10"/>
  <c r="BU75" i="10" s="1"/>
  <c r="BX12" i="10"/>
  <c r="BY12" i="10" s="1"/>
  <c r="BX16" i="10"/>
  <c r="BY16" i="10" s="1"/>
  <c r="BH28" i="10"/>
  <c r="BI28" i="10" s="1"/>
  <c r="BV40" i="10"/>
  <c r="BW40" i="10" s="1"/>
  <c r="BJ27" i="9"/>
  <c r="BK27" i="9" s="1"/>
  <c r="BX7" i="10"/>
  <c r="BY7" i="10" s="1"/>
  <c r="BV56" i="10"/>
  <c r="BW56" i="10" s="1"/>
  <c r="BP8" i="10"/>
  <c r="BQ8" i="10" s="1"/>
  <c r="BV48" i="8"/>
  <c r="BW48" i="8" s="1"/>
  <c r="BV50" i="10"/>
  <c r="BW50" i="10" s="1"/>
  <c r="BX18" i="10"/>
  <c r="BY18" i="10" s="1"/>
  <c r="BR4" i="10"/>
  <c r="BS4" i="10" s="1"/>
  <c r="BV5" i="10"/>
  <c r="BW5" i="10" s="1"/>
  <c r="BN67" i="10"/>
  <c r="BO67" i="10" s="1"/>
  <c r="BV74" i="10"/>
  <c r="BW74" i="10" s="1"/>
  <c r="BN47" i="9"/>
  <c r="BO47" i="9" s="1"/>
  <c r="BN52" i="10"/>
  <c r="BO52" i="10" s="1"/>
  <c r="BT80" i="8"/>
  <c r="BU80" i="8" s="1"/>
  <c r="BR13" i="10"/>
  <c r="BS13" i="10" s="1"/>
  <c r="BT31" i="10"/>
  <c r="BU31" i="10" s="1"/>
  <c r="BV59" i="10"/>
  <c r="BW59" i="10" s="1"/>
  <c r="BJ70" i="10"/>
  <c r="BK70" i="10" s="1"/>
  <c r="BV32" i="10"/>
  <c r="BW32" i="10" s="1"/>
  <c r="BV38" i="10"/>
  <c r="BW38" i="10" s="1"/>
  <c r="BN25" i="10"/>
  <c r="BO25" i="10" s="1"/>
  <c r="BV61" i="10"/>
  <c r="BW61" i="10" s="1"/>
  <c r="BV24" i="10"/>
  <c r="BW24" i="10" s="1"/>
  <c r="BH35" i="10"/>
  <c r="BI35" i="10" s="1"/>
  <c r="BV43" i="10"/>
  <c r="BW43" i="10" s="1"/>
  <c r="BN19" i="10"/>
  <c r="BO19" i="10" s="1"/>
  <c r="BV64" i="10"/>
  <c r="BW64" i="10" s="1"/>
  <c r="BT66" i="10"/>
  <c r="BU66" i="10" s="1"/>
  <c r="BX10" i="10"/>
  <c r="BY10" i="10" s="1"/>
  <c r="BX22" i="10"/>
  <c r="BY22" i="10" s="1"/>
  <c r="BX17" i="10"/>
  <c r="BY17" i="10" s="1"/>
  <c r="BN57" i="10"/>
  <c r="BO57" i="10" s="1"/>
  <c r="BR21" i="10"/>
  <c r="BS21" i="10" s="1"/>
  <c r="BX37" i="10"/>
  <c r="BY37" i="10" s="1"/>
  <c r="BX39" i="10"/>
  <c r="BY39" i="10" s="1"/>
  <c r="BX45" i="10"/>
  <c r="BY45" i="10" s="1"/>
  <c r="BX41" i="10"/>
  <c r="BY41" i="10" s="1"/>
  <c r="BT29" i="10"/>
  <c r="BU29" i="10" s="1"/>
  <c r="BP68" i="10"/>
  <c r="BQ68" i="10" s="1"/>
  <c r="BX11" i="10"/>
  <c r="BY11" i="10" s="1"/>
  <c r="BV34" i="10"/>
  <c r="BW34" i="10" s="1"/>
  <c r="BR33" i="10"/>
  <c r="BS33" i="10" s="1"/>
  <c r="BP26" i="9"/>
  <c r="BQ26" i="9" s="1"/>
  <c r="BV6" i="10"/>
  <c r="BW6" i="10" s="1"/>
  <c r="BV15" i="10"/>
  <c r="BW15" i="10" s="1"/>
  <c r="BX46" i="9"/>
  <c r="BY46" i="9" s="1"/>
  <c r="BV36" i="9"/>
  <c r="BW36" i="9" s="1"/>
  <c r="BZ46" i="9" l="1"/>
  <c r="CA46" i="9" s="1"/>
  <c r="BP67" i="10"/>
  <c r="BQ67" i="10" s="1"/>
  <c r="BX40" i="10"/>
  <c r="BY40" i="10" s="1"/>
  <c r="BF55" i="9"/>
  <c r="BG55" i="9" s="1"/>
  <c r="BX64" i="10"/>
  <c r="BY64" i="10" s="1"/>
  <c r="BX38" i="10"/>
  <c r="BY38" i="10" s="1"/>
  <c r="BT13" i="10"/>
  <c r="BU13" i="10" s="1"/>
  <c r="BH76" i="10"/>
  <c r="BI76" i="10" s="1"/>
  <c r="BR44" i="9"/>
  <c r="BS44" i="9" s="1"/>
  <c r="BU44" i="9" s="1"/>
  <c r="BW44" i="9" s="1"/>
  <c r="BY44" i="9" s="1"/>
  <c r="BR26" i="9"/>
  <c r="BS26" i="9" s="1"/>
  <c r="BX61" i="10"/>
  <c r="BY61" i="10" s="1"/>
  <c r="BX59" i="10"/>
  <c r="BY59" i="10" s="1"/>
  <c r="BP47" i="9"/>
  <c r="BQ47" i="9" s="1"/>
  <c r="BX50" i="10"/>
  <c r="BY50" i="10" s="1"/>
  <c r="BJ79" i="8"/>
  <c r="BK79" i="8" s="1"/>
  <c r="BF77" i="8"/>
  <c r="BG77" i="8" s="1"/>
  <c r="BP57" i="10"/>
  <c r="BQ57" i="10" s="1"/>
  <c r="BX36" i="9"/>
  <c r="BY36" i="9" s="1"/>
  <c r="BX6" i="10"/>
  <c r="BY6" i="10" s="1"/>
  <c r="BT21" i="10"/>
  <c r="BU21" i="10" s="1"/>
  <c r="BX74" i="10"/>
  <c r="BY74" i="10" s="1"/>
  <c r="BT4" i="10"/>
  <c r="BU4" i="10" s="1"/>
  <c r="BX56" i="10"/>
  <c r="BY56" i="10" s="1"/>
  <c r="BH60" i="9"/>
  <c r="BI60" i="9" s="1"/>
  <c r="BZ49" i="7"/>
  <c r="CA49" i="7" s="1"/>
  <c r="BX15" i="10"/>
  <c r="BY15" i="10" s="1"/>
  <c r="BR68" i="10"/>
  <c r="BS68" i="10" s="1"/>
  <c r="BT33" i="10"/>
  <c r="BU33" i="10" s="1"/>
  <c r="BZ11" i="10"/>
  <c r="CA11" i="10" s="1"/>
  <c r="BV29" i="10"/>
  <c r="BW29" i="10" s="1"/>
  <c r="BZ45" i="10"/>
  <c r="CA45" i="10" s="1"/>
  <c r="BZ37" i="10"/>
  <c r="CA37" i="10" s="1"/>
  <c r="BZ22" i="10"/>
  <c r="CA22" i="10" s="1"/>
  <c r="BV66" i="10"/>
  <c r="BW66" i="10" s="1"/>
  <c r="BP19" i="10"/>
  <c r="BQ19" i="10" s="1"/>
  <c r="BJ35" i="10"/>
  <c r="BK35" i="10" s="1"/>
  <c r="BL70" i="10"/>
  <c r="BM70" i="10" s="1"/>
  <c r="BV31" i="10"/>
  <c r="BW31" i="10" s="1"/>
  <c r="BV80" i="8"/>
  <c r="BW80" i="8" s="1"/>
  <c r="BY80" i="8" s="1"/>
  <c r="BR8" i="10"/>
  <c r="BS8" i="10" s="1"/>
  <c r="BZ7" i="10"/>
  <c r="CA7" i="10" s="1"/>
  <c r="BZ16" i="10"/>
  <c r="CA16" i="10" s="1"/>
  <c r="BV75" i="10"/>
  <c r="BW75" i="10" s="1"/>
  <c r="BZ63" i="10"/>
  <c r="CA63" i="10" s="1"/>
  <c r="BR42" i="9"/>
  <c r="BS42" i="9" s="1"/>
  <c r="BZ53" i="10"/>
  <c r="CA53" i="10" s="1"/>
  <c r="BJ58" i="8"/>
  <c r="BK58" i="8" s="1"/>
  <c r="BZ20" i="10"/>
  <c r="CA20" i="10" s="1"/>
  <c r="BX23" i="10"/>
  <c r="BY23" i="10" s="1"/>
  <c r="BR71" i="10"/>
  <c r="BS71" i="10" s="1"/>
  <c r="BN65" i="8"/>
  <c r="BO65" i="8" s="1"/>
  <c r="BR69" i="10"/>
  <c r="BS69" i="10" s="1"/>
  <c r="BX34" i="10"/>
  <c r="BY34" i="10" s="1"/>
  <c r="BZ41" i="10"/>
  <c r="CA41" i="10" s="1"/>
  <c r="BZ39" i="10"/>
  <c r="CA39" i="10" s="1"/>
  <c r="BZ17" i="10"/>
  <c r="CA17" i="10" s="1"/>
  <c r="BZ10" i="10"/>
  <c r="CA10" i="10" s="1"/>
  <c r="BX43" i="10"/>
  <c r="BY43" i="10" s="1"/>
  <c r="BX24" i="10"/>
  <c r="BY24" i="10" s="1"/>
  <c r="BP25" i="10"/>
  <c r="BQ25" i="10" s="1"/>
  <c r="BX32" i="10"/>
  <c r="BY32" i="10" s="1"/>
  <c r="BP52" i="10"/>
  <c r="BQ52" i="10" s="1"/>
  <c r="BX5" i="10"/>
  <c r="BY5" i="10" s="1"/>
  <c r="BZ18" i="10"/>
  <c r="CA18" i="10" s="1"/>
  <c r="BX48" i="8"/>
  <c r="BY48" i="8" s="1"/>
  <c r="BL27" i="9"/>
  <c r="BM27" i="9" s="1"/>
  <c r="BJ28" i="10"/>
  <c r="BK28" i="10" s="1"/>
  <c r="BZ12" i="10"/>
  <c r="CA12" i="10" s="1"/>
  <c r="BZ72" i="10"/>
  <c r="CA72" i="10" s="1"/>
  <c r="BZ54" i="10"/>
  <c r="CA54" i="10" s="1"/>
  <c r="BJ9" i="8"/>
  <c r="BK9" i="8" s="1"/>
  <c r="BJ78" i="8"/>
  <c r="BK78" i="8" s="1"/>
  <c r="BZ73" i="10"/>
  <c r="CA73" i="10" s="1"/>
  <c r="BZ51" i="10"/>
  <c r="CA51" i="10" s="1"/>
  <c r="BX30" i="10"/>
  <c r="BY30" i="10" s="1"/>
  <c r="BZ62" i="10"/>
  <c r="CA62" i="10" s="1"/>
  <c r="BZ14" i="10"/>
  <c r="CA14" i="10" s="1"/>
  <c r="BL78" i="8" l="1"/>
  <c r="BM78" i="8" s="1"/>
  <c r="BT71" i="10"/>
  <c r="BU71" i="10" s="1"/>
  <c r="CB37" i="10"/>
  <c r="CC37" i="10" s="1"/>
  <c r="BE37" i="11" s="1"/>
  <c r="BZ56" i="10"/>
  <c r="CA56" i="10" s="1"/>
  <c r="BZ44" i="9"/>
  <c r="CA44" i="9" s="1"/>
  <c r="BZ40" i="10"/>
  <c r="CA40" i="10" s="1"/>
  <c r="BN27" i="9"/>
  <c r="BO27" i="9" s="1"/>
  <c r="BZ32" i="10"/>
  <c r="CA32" i="10" s="1"/>
  <c r="CB17" i="10"/>
  <c r="CC17" i="10" s="1"/>
  <c r="BE17" i="11" s="1"/>
  <c r="BZ34" i="10"/>
  <c r="CA34" i="10" s="1"/>
  <c r="BZ23" i="10"/>
  <c r="CA23" i="10" s="1"/>
  <c r="BR19" i="10"/>
  <c r="BS19" i="10" s="1"/>
  <c r="BT68" i="10"/>
  <c r="BU68" i="10" s="1"/>
  <c r="BR57" i="10"/>
  <c r="BS57" i="10" s="1"/>
  <c r="BL28" i="10"/>
  <c r="BM28" i="10" s="1"/>
  <c r="CB41" i="10"/>
  <c r="CC41" i="10" s="1"/>
  <c r="BE41" i="11" s="1"/>
  <c r="BT69" i="10"/>
  <c r="BU69" i="10" s="1"/>
  <c r="BT42" i="9"/>
  <c r="BU42" i="9" s="1"/>
  <c r="BT8" i="10"/>
  <c r="BU8" i="10" s="1"/>
  <c r="BX66" i="10"/>
  <c r="BY66" i="10" s="1"/>
  <c r="BZ6" i="10"/>
  <c r="CA6" i="10" s="1"/>
  <c r="BH77" i="8"/>
  <c r="BI77" i="8" s="1"/>
  <c r="BZ61" i="10"/>
  <c r="CA61" i="10" s="1"/>
  <c r="BZ64" i="10"/>
  <c r="CA64" i="10" s="1"/>
  <c r="BZ30" i="10"/>
  <c r="CA30" i="10" s="1"/>
  <c r="BZ24" i="10"/>
  <c r="CA24" i="10" s="1"/>
  <c r="BL35" i="10"/>
  <c r="BM35" i="10" s="1"/>
  <c r="CB14" i="10"/>
  <c r="CC14" i="10" s="1"/>
  <c r="BE14" i="11" s="1"/>
  <c r="BZ5" i="10"/>
  <c r="CA5" i="10" s="1"/>
  <c r="CB20" i="10"/>
  <c r="CC20" i="10" s="1"/>
  <c r="BE20" i="11" s="1"/>
  <c r="CB62" i="10"/>
  <c r="CC62" i="10" s="1"/>
  <c r="BE62" i="11" s="1"/>
  <c r="CB73" i="10"/>
  <c r="CC73" i="10" s="1"/>
  <c r="BE73" i="11" s="1"/>
  <c r="CB54" i="10"/>
  <c r="CC54" i="10" s="1"/>
  <c r="BE54" i="11" s="1"/>
  <c r="BP65" i="8"/>
  <c r="BQ65" i="8" s="1"/>
  <c r="BS65" i="8" s="1"/>
  <c r="BL58" i="8"/>
  <c r="BM58" i="8" s="1"/>
  <c r="BO58" i="8" s="1"/>
  <c r="CB16" i="10"/>
  <c r="CC16" i="10" s="1"/>
  <c r="BE16" i="11" s="1"/>
  <c r="BN70" i="10"/>
  <c r="BO70" i="10" s="1"/>
  <c r="CB22" i="10"/>
  <c r="CC22" i="10" s="1"/>
  <c r="BE22" i="11" s="1"/>
  <c r="BZ74" i="10"/>
  <c r="CA74" i="10" s="1"/>
  <c r="BR47" i="9"/>
  <c r="BS47" i="9" s="1"/>
  <c r="BT26" i="9"/>
  <c r="BU26" i="9" s="1"/>
  <c r="BV13" i="10"/>
  <c r="BW13" i="10" s="1"/>
  <c r="BH55" i="9"/>
  <c r="BI55" i="9" s="1"/>
  <c r="CB46" i="9"/>
  <c r="CC46" i="9" s="1"/>
  <c r="BE46" i="10" s="1"/>
  <c r="CB18" i="10"/>
  <c r="CC18" i="10" s="1"/>
  <c r="BE18" i="11" s="1"/>
  <c r="BR25" i="10"/>
  <c r="BS25" i="10" s="1"/>
  <c r="BZ43" i="10"/>
  <c r="CA43" i="10" s="1"/>
  <c r="CB53" i="10"/>
  <c r="CC53" i="10" s="1"/>
  <c r="BE53" i="11" s="1"/>
  <c r="BV33" i="10"/>
  <c r="BW33" i="10" s="1"/>
  <c r="BJ60" i="9"/>
  <c r="BK60" i="9" s="1"/>
  <c r="BV21" i="10"/>
  <c r="BW21" i="10" s="1"/>
  <c r="BZ50" i="10"/>
  <c r="CA50" i="10" s="1"/>
  <c r="BZ59" i="10"/>
  <c r="CA59" i="10" s="1"/>
  <c r="BJ76" i="10"/>
  <c r="BK76" i="10" s="1"/>
  <c r="BZ38" i="10"/>
  <c r="CA38" i="10" s="1"/>
  <c r="BR67" i="10"/>
  <c r="BS67" i="10" s="1"/>
  <c r="CB51" i="10"/>
  <c r="CC51" i="10" s="1"/>
  <c r="BE51" i="11" s="1"/>
  <c r="CB12" i="10"/>
  <c r="CC12" i="10" s="1"/>
  <c r="BE12" i="11" s="1"/>
  <c r="BR52" i="10"/>
  <c r="BS52" i="10" s="1"/>
  <c r="CB63" i="10"/>
  <c r="CC63" i="10" s="1"/>
  <c r="BE63" i="11" s="1"/>
  <c r="BX31" i="10"/>
  <c r="BY31" i="10" s="1"/>
  <c r="BX29" i="10"/>
  <c r="BY29" i="10" s="1"/>
  <c r="BZ15" i="10"/>
  <c r="CA15" i="10" s="1"/>
  <c r="BV4" i="10"/>
  <c r="BW4" i="10" s="1"/>
  <c r="BZ36" i="9"/>
  <c r="CA36" i="9" s="1"/>
  <c r="BL9" i="8"/>
  <c r="BM9" i="8" s="1"/>
  <c r="CB72" i="10"/>
  <c r="CC72" i="10" s="1"/>
  <c r="BE72" i="11" s="1"/>
  <c r="BZ48" i="8"/>
  <c r="CA48" i="8" s="1"/>
  <c r="CB10" i="10"/>
  <c r="CC10" i="10" s="1"/>
  <c r="BE10" i="11" s="1"/>
  <c r="CB39" i="10"/>
  <c r="CC39" i="10" s="1"/>
  <c r="BE39" i="11" s="1"/>
  <c r="BX75" i="10"/>
  <c r="BY75" i="10" s="1"/>
  <c r="CB7" i="10"/>
  <c r="CC7" i="10" s="1"/>
  <c r="BE7" i="11" s="1"/>
  <c r="BZ80" i="8"/>
  <c r="CA80" i="8" s="1"/>
  <c r="CB45" i="10"/>
  <c r="CC45" i="10" s="1"/>
  <c r="BE45" i="11" s="1"/>
  <c r="CB11" i="10"/>
  <c r="CC11" i="10" s="1"/>
  <c r="BE11" i="11" s="1"/>
  <c r="CB49" i="7"/>
  <c r="CC49" i="7" s="1"/>
  <c r="BE49" i="8" s="1"/>
  <c r="BL79" i="8"/>
  <c r="BM79" i="8" s="1"/>
  <c r="BZ75" i="10" l="1"/>
  <c r="CA75" i="10" s="1"/>
  <c r="BF54" i="11"/>
  <c r="BG54" i="11" s="1"/>
  <c r="BV8" i="10"/>
  <c r="BW8" i="10" s="1"/>
  <c r="CB34" i="10"/>
  <c r="CC34" i="10" s="1"/>
  <c r="BE34" i="11" s="1"/>
  <c r="BF37" i="11"/>
  <c r="BG37" i="11" s="1"/>
  <c r="BF49" i="8"/>
  <c r="BG49" i="8" s="1"/>
  <c r="CB80" i="8"/>
  <c r="CC80" i="8" s="1"/>
  <c r="BE80" i="9" s="1"/>
  <c r="BG80" i="9" s="1"/>
  <c r="CB36" i="9"/>
  <c r="CC36" i="9" s="1"/>
  <c r="BE36" i="10" s="1"/>
  <c r="BF51" i="11"/>
  <c r="BG51" i="11" s="1"/>
  <c r="CB59" i="10"/>
  <c r="CC59" i="10" s="1"/>
  <c r="BE59" i="11" s="1"/>
  <c r="BT47" i="9"/>
  <c r="BU47" i="9" s="1"/>
  <c r="BP58" i="8"/>
  <c r="BQ58" i="8" s="1"/>
  <c r="CB64" i="10"/>
  <c r="CC64" i="10" s="1"/>
  <c r="BE64" i="11" s="1"/>
  <c r="CB6" i="10"/>
  <c r="CC6" i="10" s="1"/>
  <c r="BE6" i="11" s="1"/>
  <c r="BT19" i="10"/>
  <c r="BU19" i="10" s="1"/>
  <c r="BF17" i="11"/>
  <c r="BG17" i="11" s="1"/>
  <c r="BN79" i="8"/>
  <c r="BO79" i="8" s="1"/>
  <c r="BQ79" i="8" s="1"/>
  <c r="BJ55" i="9"/>
  <c r="BK55" i="9" s="1"/>
  <c r="BV68" i="10"/>
  <c r="BW68" i="10" s="1"/>
  <c r="BF72" i="11"/>
  <c r="BG72" i="11" s="1"/>
  <c r="BT67" i="10"/>
  <c r="BU67" i="10" s="1"/>
  <c r="BF18" i="11"/>
  <c r="BG18" i="11" s="1"/>
  <c r="CB74" i="10"/>
  <c r="CC74" i="10" s="1"/>
  <c r="BE74" i="11" s="1"/>
  <c r="BN35" i="10"/>
  <c r="BO35" i="10" s="1"/>
  <c r="CB61" i="10"/>
  <c r="CC61" i="10" s="1"/>
  <c r="BE61" i="11" s="1"/>
  <c r="BN28" i="10"/>
  <c r="BO28" i="10" s="1"/>
  <c r="CB32" i="10"/>
  <c r="CC32" i="10" s="1"/>
  <c r="BE32" i="11" s="1"/>
  <c r="BL76" i="10"/>
  <c r="BM76" i="10" s="1"/>
  <c r="BX21" i="10"/>
  <c r="BY21" i="10" s="1"/>
  <c r="CB30" i="10"/>
  <c r="CC30" i="10" s="1"/>
  <c r="BE30" i="11" s="1"/>
  <c r="CB40" i="10"/>
  <c r="CC40" i="10" s="1"/>
  <c r="BE40" i="11" s="1"/>
  <c r="BF11" i="11"/>
  <c r="BG11" i="11" s="1"/>
  <c r="BX4" i="10"/>
  <c r="BY4" i="10" s="1"/>
  <c r="BT52" i="10"/>
  <c r="BU52" i="10" s="1"/>
  <c r="BF10" i="11"/>
  <c r="BG10" i="11" s="1"/>
  <c r="BZ31" i="10"/>
  <c r="CA31" i="10" s="1"/>
  <c r="CB38" i="10"/>
  <c r="CC38" i="10" s="1"/>
  <c r="BE38" i="11" s="1"/>
  <c r="BX33" i="10"/>
  <c r="BY33" i="10" s="1"/>
  <c r="BF46" i="10"/>
  <c r="BG46" i="10" s="1"/>
  <c r="BF62" i="11"/>
  <c r="BG62" i="11" s="1"/>
  <c r="CB24" i="10"/>
  <c r="CC24" i="10" s="1"/>
  <c r="BE24" i="11" s="1"/>
  <c r="BV69" i="10"/>
  <c r="BW69" i="10" s="1"/>
  <c r="BT57" i="10"/>
  <c r="BU57" i="10" s="1"/>
  <c r="BP27" i="9"/>
  <c r="BQ27" i="9" s="1"/>
  <c r="CB56" i="10"/>
  <c r="CC56" i="10" s="1"/>
  <c r="BE56" i="11" s="1"/>
  <c r="BN78" i="8"/>
  <c r="BO78" i="8" s="1"/>
  <c r="BQ78" i="8" s="1"/>
  <c r="BF7" i="11"/>
  <c r="BG7" i="11" s="1"/>
  <c r="CB48" i="8"/>
  <c r="CC48" i="8" s="1"/>
  <c r="BE48" i="9" s="1"/>
  <c r="BZ29" i="10"/>
  <c r="CA29" i="10" s="1"/>
  <c r="BF12" i="11"/>
  <c r="BG12" i="11" s="1"/>
  <c r="BL60" i="9"/>
  <c r="BM60" i="9" s="1"/>
  <c r="BX13" i="10"/>
  <c r="BY13" i="10" s="1"/>
  <c r="BF22" i="11"/>
  <c r="BG22" i="11" s="1"/>
  <c r="BT65" i="8"/>
  <c r="BU65" i="8" s="1"/>
  <c r="BW65" i="8" s="1"/>
  <c r="BF73" i="11"/>
  <c r="BG73" i="11" s="1"/>
  <c r="BF14" i="11"/>
  <c r="BG14" i="11" s="1"/>
  <c r="BZ66" i="10"/>
  <c r="CA66" i="10" s="1"/>
  <c r="BF41" i="11"/>
  <c r="BG41" i="11" s="1"/>
  <c r="BF39" i="11"/>
  <c r="BG39" i="11" s="1"/>
  <c r="BN9" i="8"/>
  <c r="BO9" i="8" s="1"/>
  <c r="BF63" i="11"/>
  <c r="BG63" i="11" s="1"/>
  <c r="CB50" i="10"/>
  <c r="CC50" i="10" s="1"/>
  <c r="BE50" i="11" s="1"/>
  <c r="BF53" i="11"/>
  <c r="BG53" i="11" s="1"/>
  <c r="BT25" i="10"/>
  <c r="BU25" i="10" s="1"/>
  <c r="BF16" i="11"/>
  <c r="BG16" i="11" s="1"/>
  <c r="BF20" i="11"/>
  <c r="BG20" i="11" s="1"/>
  <c r="BJ77" i="8"/>
  <c r="BK77" i="8" s="1"/>
  <c r="BM77" i="8" s="1"/>
  <c r="BV42" i="9"/>
  <c r="BW42" i="9" s="1"/>
  <c r="BV71" i="10"/>
  <c r="BW71" i="10" s="1"/>
  <c r="BF45" i="11"/>
  <c r="BG45" i="11" s="1"/>
  <c r="CB15" i="10"/>
  <c r="CC15" i="10" s="1"/>
  <c r="BE15" i="11" s="1"/>
  <c r="CB43" i="10"/>
  <c r="CC43" i="10" s="1"/>
  <c r="BE43" i="11" s="1"/>
  <c r="BV26" i="9"/>
  <c r="BW26" i="9" s="1"/>
  <c r="BP70" i="10"/>
  <c r="BQ70" i="10" s="1"/>
  <c r="CB5" i="10"/>
  <c r="CC5" i="10" s="1"/>
  <c r="BE5" i="11" s="1"/>
  <c r="CB23" i="10"/>
  <c r="CC23" i="10" s="1"/>
  <c r="BE23" i="11" s="1"/>
  <c r="CB44" i="9"/>
  <c r="CC44" i="9" s="1"/>
  <c r="BE44" i="10" s="1"/>
  <c r="BP9" i="8" l="1"/>
  <c r="BQ9" i="8" s="1"/>
  <c r="BS9" i="8" s="1"/>
  <c r="BP35" i="10"/>
  <c r="BQ35" i="10" s="1"/>
  <c r="BX68" i="10"/>
  <c r="BY68" i="10" s="1"/>
  <c r="BX26" i="9"/>
  <c r="BY26" i="9" s="1"/>
  <c r="BN77" i="8"/>
  <c r="BO77" i="8" s="1"/>
  <c r="CB66" i="10"/>
  <c r="CC66" i="10" s="1"/>
  <c r="BE66" i="11" s="1"/>
  <c r="CB31" i="10"/>
  <c r="CC31" i="10" s="1"/>
  <c r="BE31" i="11" s="1"/>
  <c r="BL55" i="9"/>
  <c r="BM55" i="9" s="1"/>
  <c r="BH51" i="11"/>
  <c r="BI51" i="11" s="1"/>
  <c r="BH54" i="11"/>
  <c r="BI54" i="11" s="1"/>
  <c r="BH53" i="11"/>
  <c r="BI53" i="11" s="1"/>
  <c r="BR27" i="9"/>
  <c r="BS27" i="9" s="1"/>
  <c r="BH45" i="11"/>
  <c r="BI45" i="11" s="1"/>
  <c r="BH62" i="11"/>
  <c r="BI62" i="11" s="1"/>
  <c r="BR79" i="8"/>
  <c r="BS79" i="8" s="1"/>
  <c r="BU79" i="8" s="1"/>
  <c r="BX42" i="9"/>
  <c r="BY42" i="9" s="1"/>
  <c r="BH73" i="11"/>
  <c r="BI73" i="11" s="1"/>
  <c r="BX8" i="10"/>
  <c r="BY8" i="10" s="1"/>
  <c r="BX71" i="10"/>
  <c r="BY71" i="10" s="1"/>
  <c r="BH63" i="11"/>
  <c r="BI63" i="11" s="1"/>
  <c r="CB29" i="10"/>
  <c r="CC29" i="10" s="1"/>
  <c r="BE29" i="11" s="1"/>
  <c r="BX69" i="10"/>
  <c r="BY69" i="10" s="1"/>
  <c r="BH72" i="11"/>
  <c r="BI72" i="11" s="1"/>
  <c r="BH16" i="11"/>
  <c r="BI16" i="11" s="1"/>
  <c r="BH22" i="11"/>
  <c r="BI22" i="11" s="1"/>
  <c r="BH7" i="11"/>
  <c r="BI7" i="11" s="1"/>
  <c r="BV57" i="10"/>
  <c r="BW57" i="10" s="1"/>
  <c r="BF38" i="11"/>
  <c r="BG38" i="11" s="1"/>
  <c r="BF32" i="11"/>
  <c r="BG32" i="11" s="1"/>
  <c r="BF23" i="11"/>
  <c r="BG23" i="11" s="1"/>
  <c r="BR70" i="10"/>
  <c r="BS70" i="10" s="1"/>
  <c r="BF43" i="11"/>
  <c r="BG43" i="11" s="1"/>
  <c r="BH20" i="11"/>
  <c r="BI20" i="11" s="1"/>
  <c r="BV25" i="10"/>
  <c r="BW25" i="10" s="1"/>
  <c r="BF50" i="11"/>
  <c r="BG50" i="11" s="1"/>
  <c r="BH41" i="11"/>
  <c r="BI41" i="11" s="1"/>
  <c r="BH14" i="11"/>
  <c r="BI14" i="11" s="1"/>
  <c r="BX65" i="8"/>
  <c r="BY65" i="8" s="1"/>
  <c r="BZ13" i="10"/>
  <c r="CA13" i="10" s="1"/>
  <c r="BH12" i="11"/>
  <c r="BI12" i="11" s="1"/>
  <c r="BF48" i="9"/>
  <c r="BG48" i="9" s="1"/>
  <c r="BI48" i="9" s="1"/>
  <c r="BK48" i="9" s="1"/>
  <c r="BR78" i="8"/>
  <c r="BS78" i="8" s="1"/>
  <c r="BZ33" i="10"/>
  <c r="CA33" i="10" s="1"/>
  <c r="BV52" i="10"/>
  <c r="BW52" i="10" s="1"/>
  <c r="BH11" i="11"/>
  <c r="BI11" i="11" s="1"/>
  <c r="BF30" i="11"/>
  <c r="BG30" i="11" s="1"/>
  <c r="BN76" i="10"/>
  <c r="BO76" i="10" s="1"/>
  <c r="BP28" i="10"/>
  <c r="BQ28" i="10" s="1"/>
  <c r="BH18" i="11"/>
  <c r="BI18" i="11" s="1"/>
  <c r="BH17" i="11"/>
  <c r="BI17" i="11" s="1"/>
  <c r="BF6" i="11"/>
  <c r="BG6" i="11" s="1"/>
  <c r="BR58" i="8"/>
  <c r="BS58" i="8" s="1"/>
  <c r="BF59" i="11"/>
  <c r="BG59" i="11" s="1"/>
  <c r="BF36" i="10"/>
  <c r="BG36" i="10" s="1"/>
  <c r="BH49" i="8"/>
  <c r="BI49" i="8" s="1"/>
  <c r="BF34" i="11"/>
  <c r="BG34" i="11" s="1"/>
  <c r="BF44" i="10"/>
  <c r="BG44" i="10" s="1"/>
  <c r="BH39" i="11"/>
  <c r="BI39" i="11" s="1"/>
  <c r="BF56" i="11"/>
  <c r="BG56" i="11" s="1"/>
  <c r="BH46" i="10"/>
  <c r="BI46" i="10" s="1"/>
  <c r="BH10" i="11"/>
  <c r="BI10" i="11" s="1"/>
  <c r="BF40" i="11"/>
  <c r="BG40" i="11" s="1"/>
  <c r="BZ21" i="10"/>
  <c r="CA21" i="10" s="1"/>
  <c r="BF61" i="11"/>
  <c r="BG61" i="11" s="1"/>
  <c r="BF74" i="11"/>
  <c r="BG74" i="11" s="1"/>
  <c r="BV67" i="10"/>
  <c r="BW67" i="10" s="1"/>
  <c r="BV19" i="10"/>
  <c r="BW19" i="10" s="1"/>
  <c r="BF64" i="11"/>
  <c r="BG64" i="11" s="1"/>
  <c r="BV47" i="9"/>
  <c r="BW47" i="9" s="1"/>
  <c r="BH80" i="9"/>
  <c r="BI80" i="9" s="1"/>
  <c r="BH37" i="11"/>
  <c r="BI37" i="11" s="1"/>
  <c r="CB75" i="10"/>
  <c r="CC75" i="10" s="1"/>
  <c r="BE75" i="11" s="1"/>
  <c r="BF5" i="11"/>
  <c r="BG5" i="11" s="1"/>
  <c r="BF15" i="11"/>
  <c r="BG15" i="11" s="1"/>
  <c r="BN60" i="9"/>
  <c r="BO60" i="9" s="1"/>
  <c r="BF24" i="11"/>
  <c r="BG24" i="11" s="1"/>
  <c r="BZ4" i="10"/>
  <c r="CA4" i="10" s="1"/>
  <c r="CB4" i="10" l="1"/>
  <c r="CC4" i="10" s="1"/>
  <c r="BE4" i="11" s="1"/>
  <c r="BX67" i="10"/>
  <c r="BY67" i="10" s="1"/>
  <c r="BJ10" i="11"/>
  <c r="BK10" i="11" s="1"/>
  <c r="BP76" i="10"/>
  <c r="BQ76" i="10" s="1"/>
  <c r="BX52" i="10"/>
  <c r="BY52" i="10" s="1"/>
  <c r="BL48" i="9"/>
  <c r="BM48" i="9" s="1"/>
  <c r="BO48" i="9" s="1"/>
  <c r="BQ48" i="9" s="1"/>
  <c r="BS48" i="9" s="1"/>
  <c r="BU48" i="9" s="1"/>
  <c r="BT70" i="10"/>
  <c r="BU70" i="10" s="1"/>
  <c r="BJ63" i="11"/>
  <c r="BK63" i="11" s="1"/>
  <c r="BJ73" i="11"/>
  <c r="BK73" i="11" s="1"/>
  <c r="BZ26" i="9"/>
  <c r="CA26" i="9" s="1"/>
  <c r="BT9" i="8"/>
  <c r="BU9" i="8" s="1"/>
  <c r="BJ18" i="11"/>
  <c r="BK18" i="11" s="1"/>
  <c r="BJ22" i="11"/>
  <c r="BK22" i="11" s="1"/>
  <c r="BZ71" i="10"/>
  <c r="CA71" i="10" s="1"/>
  <c r="BJ62" i="11"/>
  <c r="BK62" i="11" s="1"/>
  <c r="BJ53" i="11"/>
  <c r="BK53" i="11" s="1"/>
  <c r="BZ68" i="10"/>
  <c r="CA68" i="10" s="1"/>
  <c r="BJ37" i="11"/>
  <c r="BK37" i="11" s="1"/>
  <c r="BH64" i="11"/>
  <c r="BI64" i="11" s="1"/>
  <c r="BH6" i="11"/>
  <c r="BI6" i="11" s="1"/>
  <c r="BJ20" i="11"/>
  <c r="BK20" i="11" s="1"/>
  <c r="BX57" i="10"/>
  <c r="BY57" i="10" s="1"/>
  <c r="BJ16" i="11"/>
  <c r="BK16" i="11" s="1"/>
  <c r="BJ45" i="11"/>
  <c r="BK45" i="11" s="1"/>
  <c r="BJ54" i="11"/>
  <c r="BK54" i="11" s="1"/>
  <c r="BH5" i="11"/>
  <c r="BI5" i="11" s="1"/>
  <c r="BJ80" i="9"/>
  <c r="BK80" i="9" s="1"/>
  <c r="BX19" i="10"/>
  <c r="BY19" i="10" s="1"/>
  <c r="BH61" i="11"/>
  <c r="BI61" i="11" s="1"/>
  <c r="BJ49" i="8"/>
  <c r="BK49" i="8" s="1"/>
  <c r="BJ11" i="11"/>
  <c r="BK11" i="11" s="1"/>
  <c r="BT78" i="8"/>
  <c r="BU78" i="8" s="1"/>
  <c r="BJ14" i="11"/>
  <c r="BK14" i="11" s="1"/>
  <c r="BH43" i="11"/>
  <c r="BI43" i="11" s="1"/>
  <c r="BH32" i="11"/>
  <c r="BI32" i="11" s="1"/>
  <c r="BF29" i="11"/>
  <c r="BG29" i="11" s="1"/>
  <c r="BF31" i="11"/>
  <c r="BG31" i="11" s="1"/>
  <c r="BH15" i="11"/>
  <c r="BI15" i="11" s="1"/>
  <c r="BH40" i="11"/>
  <c r="BI40" i="11" s="1"/>
  <c r="BH34" i="11"/>
  <c r="BI34" i="11" s="1"/>
  <c r="BT58" i="8"/>
  <c r="BU58" i="8" s="1"/>
  <c r="BW58" i="8" s="1"/>
  <c r="BH30" i="11"/>
  <c r="BI30" i="11" s="1"/>
  <c r="BZ65" i="8"/>
  <c r="CA65" i="8" s="1"/>
  <c r="BH38" i="11"/>
  <c r="BI38" i="11" s="1"/>
  <c r="BZ69" i="10"/>
  <c r="CA69" i="10" s="1"/>
  <c r="BZ8" i="10"/>
  <c r="CA8" i="10" s="1"/>
  <c r="BZ42" i="9"/>
  <c r="CA42" i="9" s="1"/>
  <c r="BF75" i="11"/>
  <c r="BG75" i="11" s="1"/>
  <c r="BJ46" i="10"/>
  <c r="BK46" i="10" s="1"/>
  <c r="BH36" i="10"/>
  <c r="BI36" i="10" s="1"/>
  <c r="BJ17" i="11"/>
  <c r="BK17" i="11" s="1"/>
  <c r="BJ12" i="11"/>
  <c r="BK12" i="11" s="1"/>
  <c r="BJ41" i="11"/>
  <c r="BK41" i="11" s="1"/>
  <c r="BX25" i="10"/>
  <c r="BY25" i="10" s="1"/>
  <c r="BH23" i="11"/>
  <c r="BI23" i="11" s="1"/>
  <c r="BJ7" i="11"/>
  <c r="BK7" i="11" s="1"/>
  <c r="BT27" i="9"/>
  <c r="BU27" i="9" s="1"/>
  <c r="BN55" i="9"/>
  <c r="BO55" i="9" s="1"/>
  <c r="BF66" i="11"/>
  <c r="BG66" i="11" s="1"/>
  <c r="BR35" i="10"/>
  <c r="BS35" i="10" s="1"/>
  <c r="BH24" i="11"/>
  <c r="BI24" i="11" s="1"/>
  <c r="BJ39" i="11"/>
  <c r="BK39" i="11" s="1"/>
  <c r="BR28" i="10"/>
  <c r="BS28" i="10" s="1"/>
  <c r="BP60" i="9"/>
  <c r="BQ60" i="9" s="1"/>
  <c r="BX47" i="9"/>
  <c r="BY47" i="9" s="1"/>
  <c r="BH74" i="11"/>
  <c r="BI74" i="11" s="1"/>
  <c r="CB21" i="10"/>
  <c r="CC21" i="10" s="1"/>
  <c r="BE21" i="11" s="1"/>
  <c r="BH56" i="11"/>
  <c r="BI56" i="11" s="1"/>
  <c r="BH44" i="10"/>
  <c r="BI44" i="10" s="1"/>
  <c r="BH59" i="11"/>
  <c r="BI59" i="11" s="1"/>
  <c r="CB33" i="10"/>
  <c r="CC33" i="10" s="1"/>
  <c r="BE33" i="11" s="1"/>
  <c r="CB13" i="10"/>
  <c r="CC13" i="10" s="1"/>
  <c r="BE13" i="11" s="1"/>
  <c r="BH50" i="11"/>
  <c r="BI50" i="11" s="1"/>
  <c r="BJ72" i="11"/>
  <c r="BK72" i="11" s="1"/>
  <c r="BV79" i="8"/>
  <c r="BW79" i="8" s="1"/>
  <c r="BJ51" i="11"/>
  <c r="BK51" i="11" s="1"/>
  <c r="BP77" i="8"/>
  <c r="BQ77" i="8" s="1"/>
  <c r="BF33" i="11" l="1"/>
  <c r="BG33" i="11" s="1"/>
  <c r="BL39" i="11"/>
  <c r="BM39" i="11" s="1"/>
  <c r="BJ23" i="11"/>
  <c r="BK23" i="11" s="1"/>
  <c r="BJ34" i="11"/>
  <c r="BK34" i="11" s="1"/>
  <c r="BH31" i="11"/>
  <c r="BI31" i="11" s="1"/>
  <c r="BJ59" i="11"/>
  <c r="BK59" i="11" s="1"/>
  <c r="BF21" i="11"/>
  <c r="BG21" i="11" s="1"/>
  <c r="BR60" i="9"/>
  <c r="BS60" i="9" s="1"/>
  <c r="BU60" i="9" s="1"/>
  <c r="BW60" i="9" s="1"/>
  <c r="BY60" i="9" s="1"/>
  <c r="BZ25" i="10"/>
  <c r="CA25" i="10" s="1"/>
  <c r="BJ36" i="10"/>
  <c r="BK36" i="10" s="1"/>
  <c r="BH29" i="11"/>
  <c r="BI29" i="11" s="1"/>
  <c r="BL14" i="11"/>
  <c r="BM14" i="11" s="1"/>
  <c r="BJ5" i="11"/>
  <c r="BK5" i="11" s="1"/>
  <c r="BJ6" i="11"/>
  <c r="BK6" i="11" s="1"/>
  <c r="BL18" i="11"/>
  <c r="BM18" i="11" s="1"/>
  <c r="BV70" i="10"/>
  <c r="BW70" i="10" s="1"/>
  <c r="BR76" i="10"/>
  <c r="BS76" i="10" s="1"/>
  <c r="BL41" i="11"/>
  <c r="BM41" i="11" s="1"/>
  <c r="BJ30" i="11"/>
  <c r="BK30" i="11" s="1"/>
  <c r="BV78" i="8"/>
  <c r="BW78" i="8" s="1"/>
  <c r="BJ61" i="11"/>
  <c r="BK61" i="11" s="1"/>
  <c r="BL16" i="11"/>
  <c r="BM16" i="11" s="1"/>
  <c r="BV9" i="8"/>
  <c r="BW9" i="8" s="1"/>
  <c r="BL10" i="11"/>
  <c r="BM10" i="11" s="1"/>
  <c r="BR77" i="8"/>
  <c r="BS77" i="8" s="1"/>
  <c r="BJ44" i="10"/>
  <c r="BK44" i="10" s="1"/>
  <c r="CB69" i="10"/>
  <c r="CC69" i="10" s="1"/>
  <c r="BE69" i="11" s="1"/>
  <c r="BF13" i="11"/>
  <c r="BG13" i="11" s="1"/>
  <c r="BL7" i="11"/>
  <c r="BM7" i="11" s="1"/>
  <c r="BL12" i="11"/>
  <c r="BM12" i="11" s="1"/>
  <c r="BJ38" i="11"/>
  <c r="BK38" i="11" s="1"/>
  <c r="BX58" i="8"/>
  <c r="BY58" i="8" s="1"/>
  <c r="BJ15" i="11"/>
  <c r="BK15" i="11" s="1"/>
  <c r="BL11" i="11"/>
  <c r="BM11" i="11" s="1"/>
  <c r="BZ19" i="10"/>
  <c r="CA19" i="10" s="1"/>
  <c r="BZ57" i="10"/>
  <c r="CA57" i="10" s="1"/>
  <c r="CB71" i="10"/>
  <c r="CC71" i="10" s="1"/>
  <c r="BE71" i="11" s="1"/>
  <c r="BZ67" i="10"/>
  <c r="CA67" i="10" s="1"/>
  <c r="BZ47" i="9"/>
  <c r="CA47" i="9" s="1"/>
  <c r="BL17" i="11"/>
  <c r="BM17" i="11" s="1"/>
  <c r="BJ43" i="11"/>
  <c r="BK43" i="11" s="1"/>
  <c r="BL80" i="9"/>
  <c r="BM80" i="9" s="1"/>
  <c r="BL20" i="11"/>
  <c r="BM20" i="11" s="1"/>
  <c r="BL37" i="11"/>
  <c r="BM37" i="11" s="1"/>
  <c r="BL22" i="11"/>
  <c r="BM22" i="11" s="1"/>
  <c r="BZ52" i="10"/>
  <c r="CA52" i="10" s="1"/>
  <c r="BF4" i="11"/>
  <c r="BG4" i="11" s="1"/>
  <c r="BX79" i="8"/>
  <c r="BY79" i="8" s="1"/>
  <c r="CA79" i="8" s="1"/>
  <c r="CC79" i="8" s="1"/>
  <c r="BE79" i="9" s="1"/>
  <c r="BG79" i="9" s="1"/>
  <c r="BI79" i="9" s="1"/>
  <c r="BJ50" i="11"/>
  <c r="BK50" i="11" s="1"/>
  <c r="BJ24" i="11"/>
  <c r="BK24" i="11" s="1"/>
  <c r="BH66" i="11"/>
  <c r="BI66" i="11" s="1"/>
  <c r="BL46" i="10"/>
  <c r="BM46" i="10" s="1"/>
  <c r="CB65" i="8"/>
  <c r="CC65" i="8" s="1"/>
  <c r="BE65" i="9" s="1"/>
  <c r="BL54" i="11"/>
  <c r="BM54" i="11" s="1"/>
  <c r="CB68" i="10"/>
  <c r="CC68" i="10" s="1"/>
  <c r="BE68" i="11" s="1"/>
  <c r="BL62" i="11"/>
  <c r="BM62" i="11" s="1"/>
  <c r="BL72" i="11"/>
  <c r="BM72" i="11" s="1"/>
  <c r="BJ74" i="11"/>
  <c r="BK74" i="11" s="1"/>
  <c r="BH75" i="11"/>
  <c r="BI75" i="11" s="1"/>
  <c r="BL45" i="11"/>
  <c r="BM45" i="11" s="1"/>
  <c r="BL53" i="11"/>
  <c r="BM53" i="11" s="1"/>
  <c r="BV48" i="9"/>
  <c r="BW48" i="9" s="1"/>
  <c r="BL51" i="11"/>
  <c r="BM51" i="11" s="1"/>
  <c r="BJ56" i="11"/>
  <c r="BK56" i="11" s="1"/>
  <c r="BT35" i="10"/>
  <c r="BU35" i="10" s="1"/>
  <c r="BP55" i="9"/>
  <c r="BQ55" i="9" s="1"/>
  <c r="CB8" i="10"/>
  <c r="CC8" i="10" s="1"/>
  <c r="BE8" i="11" s="1"/>
  <c r="BL49" i="8"/>
  <c r="BM49" i="8" s="1"/>
  <c r="BO49" i="8" s="1"/>
  <c r="BQ49" i="8" s="1"/>
  <c r="CB26" i="9"/>
  <c r="CC26" i="9" s="1"/>
  <c r="BE26" i="10" s="1"/>
  <c r="BL63" i="11"/>
  <c r="BM63" i="11" s="1"/>
  <c r="BT28" i="10"/>
  <c r="BU28" i="10" s="1"/>
  <c r="BV27" i="9"/>
  <c r="BW27" i="9" s="1"/>
  <c r="CB42" i="9"/>
  <c r="CC42" i="9" s="1"/>
  <c r="BE42" i="10" s="1"/>
  <c r="BJ40" i="11"/>
  <c r="BK40" i="11" s="1"/>
  <c r="BJ32" i="11"/>
  <c r="BK32" i="11" s="1"/>
  <c r="BJ64" i="11"/>
  <c r="BK64" i="11" s="1"/>
  <c r="BL73" i="11"/>
  <c r="BM73" i="11" s="1"/>
  <c r="BR49" i="8" l="1"/>
  <c r="BS49" i="8" s="1"/>
  <c r="BN62" i="11"/>
  <c r="BO62" i="11" s="1"/>
  <c r="BL32" i="11"/>
  <c r="BM32" i="11" s="1"/>
  <c r="BF8" i="11"/>
  <c r="BG8" i="11" s="1"/>
  <c r="BF68" i="11"/>
  <c r="BG68" i="11" s="1"/>
  <c r="CB47" i="9"/>
  <c r="CC47" i="9" s="1"/>
  <c r="BE47" i="10" s="1"/>
  <c r="BL15" i="11"/>
  <c r="BM15" i="11" s="1"/>
  <c r="BN73" i="11"/>
  <c r="BO73" i="11" s="1"/>
  <c r="BL40" i="11"/>
  <c r="BM40" i="11" s="1"/>
  <c r="BN63" i="11"/>
  <c r="BO63" i="11" s="1"/>
  <c r="BN45" i="11"/>
  <c r="BO45" i="11" s="1"/>
  <c r="BN54" i="11"/>
  <c r="BO54" i="11" s="1"/>
  <c r="BN20" i="11"/>
  <c r="BO20" i="11" s="1"/>
  <c r="CB67" i="10"/>
  <c r="CC67" i="10" s="1"/>
  <c r="BE67" i="11" s="1"/>
  <c r="BZ58" i="8"/>
  <c r="CA58" i="8" s="1"/>
  <c r="BL23" i="11"/>
  <c r="BM23" i="11" s="1"/>
  <c r="BF42" i="10"/>
  <c r="BG42" i="10" s="1"/>
  <c r="BJ75" i="11"/>
  <c r="BK75" i="11" s="1"/>
  <c r="BN22" i="11"/>
  <c r="BO22" i="11" s="1"/>
  <c r="BF71" i="11"/>
  <c r="BG71" i="11" s="1"/>
  <c r="BL38" i="11"/>
  <c r="BM38" i="11" s="1"/>
  <c r="BH13" i="11"/>
  <c r="BI13" i="11" s="1"/>
  <c r="BX9" i="8"/>
  <c r="BY9" i="8" s="1"/>
  <c r="BX78" i="8"/>
  <c r="BY78" i="8" s="1"/>
  <c r="CA78" i="8" s="1"/>
  <c r="BT76" i="10"/>
  <c r="BU76" i="10" s="1"/>
  <c r="BF26" i="10"/>
  <c r="BG26" i="10" s="1"/>
  <c r="BF65" i="9"/>
  <c r="BG65" i="9" s="1"/>
  <c r="BX27" i="9"/>
  <c r="BY27" i="9" s="1"/>
  <c r="BX48" i="9"/>
  <c r="BY48" i="9" s="1"/>
  <c r="BN46" i="10"/>
  <c r="BO46" i="10" s="1"/>
  <c r="BH4" i="11"/>
  <c r="BI4" i="11" s="1"/>
  <c r="CB57" i="10"/>
  <c r="CC57" i="10" s="1"/>
  <c r="BE57" i="11" s="1"/>
  <c r="BN12" i="11"/>
  <c r="BO12" i="11" s="1"/>
  <c r="BF69" i="11"/>
  <c r="BG69" i="11" s="1"/>
  <c r="BN16" i="11"/>
  <c r="BO16" i="11" s="1"/>
  <c r="BL30" i="11"/>
  <c r="BM30" i="11" s="1"/>
  <c r="BL6" i="11"/>
  <c r="BM6" i="11" s="1"/>
  <c r="BJ29" i="11"/>
  <c r="BK29" i="11" s="1"/>
  <c r="BZ60" i="9"/>
  <c r="CA60" i="9" s="1"/>
  <c r="BJ31" i="11"/>
  <c r="BK31" i="11" s="1"/>
  <c r="BN51" i="11"/>
  <c r="BO51" i="11" s="1"/>
  <c r="BL24" i="11"/>
  <c r="BM24" i="11" s="1"/>
  <c r="BV35" i="10"/>
  <c r="BW35" i="10" s="1"/>
  <c r="BV28" i="10"/>
  <c r="BW28" i="10" s="1"/>
  <c r="BN53" i="11"/>
  <c r="BO53" i="11" s="1"/>
  <c r="BL5" i="11"/>
  <c r="BM5" i="11" s="1"/>
  <c r="BL36" i="10"/>
  <c r="BM36" i="10" s="1"/>
  <c r="BH21" i="11"/>
  <c r="BI21" i="11" s="1"/>
  <c r="BL34" i="11"/>
  <c r="BM34" i="11" s="1"/>
  <c r="BH33" i="11"/>
  <c r="BI33" i="11" s="1"/>
  <c r="BN72" i="11"/>
  <c r="BO72" i="11" s="1"/>
  <c r="CB19" i="10"/>
  <c r="CC19" i="10" s="1"/>
  <c r="BE19" i="11" s="1"/>
  <c r="BN7" i="11"/>
  <c r="BO7" i="11" s="1"/>
  <c r="BT77" i="8"/>
  <c r="BU77" i="8" s="1"/>
  <c r="BL74" i="11"/>
  <c r="BM74" i="11" s="1"/>
  <c r="BN37" i="11"/>
  <c r="BO37" i="11" s="1"/>
  <c r="BN11" i="11"/>
  <c r="BO11" i="11" s="1"/>
  <c r="BL44" i="10"/>
  <c r="BM44" i="10" s="1"/>
  <c r="BN10" i="11"/>
  <c r="BO10" i="11" s="1"/>
  <c r="BN41" i="11"/>
  <c r="BO41" i="11" s="1"/>
  <c r="BX70" i="10"/>
  <c r="BY70" i="10" s="1"/>
  <c r="BN14" i="11"/>
  <c r="BO14" i="11" s="1"/>
  <c r="BL59" i="11"/>
  <c r="BM59" i="11" s="1"/>
  <c r="BN39" i="11"/>
  <c r="BO39" i="11" s="1"/>
  <c r="BL64" i="11"/>
  <c r="BM64" i="11" s="1"/>
  <c r="BR55" i="9"/>
  <c r="BS55" i="9" s="1"/>
  <c r="BL56" i="11"/>
  <c r="BM56" i="11" s="1"/>
  <c r="BJ79" i="9"/>
  <c r="BK79" i="9" s="1"/>
  <c r="CB52" i="10"/>
  <c r="CC52" i="10" s="1"/>
  <c r="BE52" i="11" s="1"/>
  <c r="BN80" i="9"/>
  <c r="BO80" i="9" s="1"/>
  <c r="BQ80" i="9" s="1"/>
  <c r="BS80" i="9" s="1"/>
  <c r="BU80" i="9" s="1"/>
  <c r="BW80" i="9" s="1"/>
  <c r="BY80" i="9" s="1"/>
  <c r="BN17" i="11"/>
  <c r="BO17" i="11" s="1"/>
  <c r="BJ66" i="11"/>
  <c r="BK66" i="11" s="1"/>
  <c r="BL50" i="11"/>
  <c r="BM50" i="11" s="1"/>
  <c r="BL43" i="11"/>
  <c r="BM43" i="11" s="1"/>
  <c r="BL61" i="11"/>
  <c r="BM61" i="11" s="1"/>
  <c r="BN18" i="11"/>
  <c r="BO18" i="11" s="1"/>
  <c r="CB25" i="10"/>
  <c r="CC25" i="10" s="1"/>
  <c r="BE25" i="11" s="1"/>
  <c r="BZ80" i="9" l="1"/>
  <c r="CA80" i="9" s="1"/>
  <c r="BP14" i="11"/>
  <c r="BQ14" i="11" s="1"/>
  <c r="BN44" i="10"/>
  <c r="BO44" i="10" s="1"/>
  <c r="BF19" i="11"/>
  <c r="BG19" i="11" s="1"/>
  <c r="BP46" i="10"/>
  <c r="BQ46" i="10" s="1"/>
  <c r="BV76" i="10"/>
  <c r="BW76" i="10" s="1"/>
  <c r="BN38" i="11"/>
  <c r="BO38" i="11" s="1"/>
  <c r="BP20" i="11"/>
  <c r="BQ20" i="11" s="1"/>
  <c r="BN32" i="11"/>
  <c r="BO32" i="11" s="1"/>
  <c r="BP18" i="11"/>
  <c r="BQ18" i="11" s="1"/>
  <c r="BF52" i="11"/>
  <c r="BG52" i="11" s="1"/>
  <c r="BZ70" i="10"/>
  <c r="CA70" i="10" s="1"/>
  <c r="BP11" i="11"/>
  <c r="BQ11" i="11" s="1"/>
  <c r="BL29" i="11"/>
  <c r="BM29" i="11" s="1"/>
  <c r="BP12" i="11"/>
  <c r="BQ12" i="11" s="1"/>
  <c r="CB78" i="8"/>
  <c r="CC78" i="8" s="1"/>
  <c r="BE78" i="9" s="1"/>
  <c r="BG78" i="9" s="1"/>
  <c r="BP39" i="11"/>
  <c r="BQ39" i="11" s="1"/>
  <c r="BJ21" i="11"/>
  <c r="BK21" i="11" s="1"/>
  <c r="BL31" i="11"/>
  <c r="BM31" i="11" s="1"/>
  <c r="BP16" i="11"/>
  <c r="BQ16" i="11" s="1"/>
  <c r="BZ9" i="8"/>
  <c r="CA9" i="8" s="1"/>
  <c r="CB58" i="8"/>
  <c r="CC58" i="8" s="1"/>
  <c r="BE58" i="9" s="1"/>
  <c r="BN61" i="11"/>
  <c r="BO61" i="11" s="1"/>
  <c r="BP41" i="11"/>
  <c r="BQ41" i="11" s="1"/>
  <c r="BP37" i="11"/>
  <c r="BQ37" i="11" s="1"/>
  <c r="BX35" i="10"/>
  <c r="BY35" i="10" s="1"/>
  <c r="BF57" i="11"/>
  <c r="BG57" i="11" s="1"/>
  <c r="BN43" i="11"/>
  <c r="BO43" i="11" s="1"/>
  <c r="BP17" i="11"/>
  <c r="BQ17" i="11" s="1"/>
  <c r="BN59" i="11"/>
  <c r="BO59" i="11" s="1"/>
  <c r="BP10" i="11"/>
  <c r="BQ10" i="11" s="1"/>
  <c r="BP7" i="11"/>
  <c r="BQ7" i="11" s="1"/>
  <c r="BJ33" i="11"/>
  <c r="BK33" i="11" s="1"/>
  <c r="BN36" i="10"/>
  <c r="BO36" i="10" s="1"/>
  <c r="BN24" i="11"/>
  <c r="BO24" i="11" s="1"/>
  <c r="BJ4" i="11"/>
  <c r="BK4" i="11" s="1"/>
  <c r="BZ27" i="9"/>
  <c r="CA27" i="9" s="1"/>
  <c r="BJ13" i="11"/>
  <c r="BK13" i="11" s="1"/>
  <c r="BP22" i="11"/>
  <c r="BQ22" i="11" s="1"/>
  <c r="BF67" i="11"/>
  <c r="BG67" i="11" s="1"/>
  <c r="BN40" i="11"/>
  <c r="BO40" i="11" s="1"/>
  <c r="BH8" i="11"/>
  <c r="BI8" i="11" s="1"/>
  <c r="BF25" i="11"/>
  <c r="BG25" i="11" s="1"/>
  <c r="BN50" i="11"/>
  <c r="BO50" i="11" s="1"/>
  <c r="BF47" i="10"/>
  <c r="BG47" i="10" s="1"/>
  <c r="BL79" i="9"/>
  <c r="BM79" i="9" s="1"/>
  <c r="BO79" i="9" s="1"/>
  <c r="BQ79" i="9" s="1"/>
  <c r="BS79" i="9" s="1"/>
  <c r="BU79" i="9" s="1"/>
  <c r="BW79" i="9" s="1"/>
  <c r="BY79" i="9" s="1"/>
  <c r="BN56" i="11"/>
  <c r="BO56" i="11" s="1"/>
  <c r="BN64" i="11"/>
  <c r="BO64" i="11" s="1"/>
  <c r="BP51" i="11"/>
  <c r="BQ51" i="11" s="1"/>
  <c r="BN6" i="11"/>
  <c r="BO6" i="11" s="1"/>
  <c r="BH65" i="9"/>
  <c r="BI65" i="9" s="1"/>
  <c r="BL66" i="11"/>
  <c r="BM66" i="11" s="1"/>
  <c r="BT55" i="9"/>
  <c r="BU55" i="9" s="1"/>
  <c r="BV77" i="8"/>
  <c r="BW77" i="8" s="1"/>
  <c r="BY77" i="8" s="1"/>
  <c r="CA77" i="8" s="1"/>
  <c r="BN30" i="11"/>
  <c r="BO30" i="11" s="1"/>
  <c r="BH69" i="11"/>
  <c r="BI69" i="11" s="1"/>
  <c r="BH26" i="10"/>
  <c r="BI26" i="10" s="1"/>
  <c r="BH71" i="11"/>
  <c r="BI71" i="11" s="1"/>
  <c r="BL75" i="11"/>
  <c r="BM75" i="11" s="1"/>
  <c r="BN23" i="11"/>
  <c r="BO23" i="11" s="1"/>
  <c r="BP54" i="11"/>
  <c r="BQ54" i="11" s="1"/>
  <c r="BP63" i="11"/>
  <c r="BQ63" i="11" s="1"/>
  <c r="BP73" i="11"/>
  <c r="BQ73" i="11" s="1"/>
  <c r="BP62" i="11"/>
  <c r="BQ62" i="11" s="1"/>
  <c r="BN5" i="11"/>
  <c r="BO5" i="11" s="1"/>
  <c r="BX28" i="10"/>
  <c r="BY28" i="10" s="1"/>
  <c r="BN74" i="11"/>
  <c r="BO74" i="11" s="1"/>
  <c r="BP72" i="11"/>
  <c r="BQ72" i="11" s="1"/>
  <c r="BN34" i="11"/>
  <c r="BO34" i="11" s="1"/>
  <c r="BP53" i="11"/>
  <c r="BQ53" i="11" s="1"/>
  <c r="CB60" i="9"/>
  <c r="CC60" i="9" s="1"/>
  <c r="BE60" i="10" s="1"/>
  <c r="BZ48" i="9"/>
  <c r="CA48" i="9" s="1"/>
  <c r="BH42" i="10"/>
  <c r="BI42" i="10" s="1"/>
  <c r="BP45" i="11"/>
  <c r="BQ45" i="11" s="1"/>
  <c r="BN15" i="11"/>
  <c r="BO15" i="11" s="1"/>
  <c r="BH68" i="11"/>
  <c r="BI68" i="11" s="1"/>
  <c r="BT49" i="8"/>
  <c r="BU49" i="8" s="1"/>
  <c r="BN75" i="11" l="1"/>
  <c r="BO75" i="11" s="1"/>
  <c r="BJ69" i="11"/>
  <c r="BK69" i="11" s="1"/>
  <c r="BP40" i="11"/>
  <c r="BQ40" i="11" s="1"/>
  <c r="BL13" i="11"/>
  <c r="BM13" i="11" s="1"/>
  <c r="BP36" i="10"/>
  <c r="BQ36" i="10" s="1"/>
  <c r="BF58" i="9"/>
  <c r="BG58" i="9" s="1"/>
  <c r="BH78" i="9"/>
  <c r="BI78" i="9" s="1"/>
  <c r="BR20" i="11"/>
  <c r="BS20" i="11" s="1"/>
  <c r="CB80" i="9"/>
  <c r="CC80" i="9" s="1"/>
  <c r="BE80" i="10" s="1"/>
  <c r="BP15" i="11"/>
  <c r="BQ15" i="11" s="1"/>
  <c r="CB48" i="9"/>
  <c r="CC48" i="9" s="1"/>
  <c r="BE48" i="10" s="1"/>
  <c r="BP34" i="11"/>
  <c r="BQ34" i="11" s="1"/>
  <c r="BP30" i="11"/>
  <c r="BQ30" i="11" s="1"/>
  <c r="BP6" i="11"/>
  <c r="BQ6" i="11" s="1"/>
  <c r="BH25" i="11"/>
  <c r="BI25" i="11" s="1"/>
  <c r="CB27" i="9"/>
  <c r="CC27" i="9" s="1"/>
  <c r="BE27" i="10" s="1"/>
  <c r="BL33" i="11"/>
  <c r="BM33" i="11" s="1"/>
  <c r="BR41" i="11"/>
  <c r="BS41" i="11" s="1"/>
  <c r="BR12" i="11"/>
  <c r="BS12" i="11" s="1"/>
  <c r="BP38" i="11"/>
  <c r="BQ38" i="11" s="1"/>
  <c r="BH19" i="11"/>
  <c r="BI19" i="11" s="1"/>
  <c r="BR18" i="11"/>
  <c r="BS18" i="11" s="1"/>
  <c r="BJ42" i="10"/>
  <c r="BK42" i="10" s="1"/>
  <c r="BV49" i="8"/>
  <c r="BW49" i="8" s="1"/>
  <c r="BF60" i="10"/>
  <c r="BG60" i="10" s="1"/>
  <c r="BZ28" i="10"/>
  <c r="CA28" i="10" s="1"/>
  <c r="BR54" i="11"/>
  <c r="BS54" i="11" s="1"/>
  <c r="BH47" i="10"/>
  <c r="BI47" i="10" s="1"/>
  <c r="BL4" i="11"/>
  <c r="BM4" i="11" s="1"/>
  <c r="BR7" i="11"/>
  <c r="BS7" i="11" s="1"/>
  <c r="BR17" i="11"/>
  <c r="BS17" i="11" s="1"/>
  <c r="BL21" i="11"/>
  <c r="BM21" i="11" s="1"/>
  <c r="BP44" i="10"/>
  <c r="BQ44" i="10" s="1"/>
  <c r="BP5" i="11"/>
  <c r="BQ5" i="11" s="1"/>
  <c r="BP23" i="11"/>
  <c r="BQ23" i="11" s="1"/>
  <c r="BJ26" i="10"/>
  <c r="BK26" i="10" s="1"/>
  <c r="BR22" i="11"/>
  <c r="BS22" i="11" s="1"/>
  <c r="BP24" i="11"/>
  <c r="BQ24" i="11" s="1"/>
  <c r="BR10" i="11"/>
  <c r="BS10" i="11" s="1"/>
  <c r="BZ35" i="10"/>
  <c r="CA35" i="10" s="1"/>
  <c r="BR16" i="11"/>
  <c r="BS16" i="11" s="1"/>
  <c r="BR39" i="11"/>
  <c r="BS39" i="11" s="1"/>
  <c r="BP32" i="11"/>
  <c r="BQ32" i="11" s="1"/>
  <c r="BR14" i="11"/>
  <c r="BS14" i="11" s="1"/>
  <c r="BJ65" i="9"/>
  <c r="BK65" i="9" s="1"/>
  <c r="BR37" i="11"/>
  <c r="BS37" i="11" s="1"/>
  <c r="BR46" i="10"/>
  <c r="BS46" i="10" s="1"/>
  <c r="BP74" i="11"/>
  <c r="BQ74" i="11" s="1"/>
  <c r="BR51" i="11"/>
  <c r="BS51" i="11" s="1"/>
  <c r="BR45" i="11"/>
  <c r="BS45" i="11" s="1"/>
  <c r="BR53" i="11"/>
  <c r="BS53" i="11" s="1"/>
  <c r="BR72" i="11"/>
  <c r="BS72" i="11" s="1"/>
  <c r="BR63" i="11"/>
  <c r="BS63" i="11" s="1"/>
  <c r="BJ71" i="11"/>
  <c r="BK71" i="11" s="1"/>
  <c r="BZ79" i="9"/>
  <c r="CA79" i="9" s="1"/>
  <c r="BP59" i="11"/>
  <c r="BQ59" i="11" s="1"/>
  <c r="BP43" i="11"/>
  <c r="BQ43" i="11" s="1"/>
  <c r="BN29" i="11"/>
  <c r="BO29" i="11" s="1"/>
  <c r="CB70" i="10"/>
  <c r="CC70" i="10" s="1"/>
  <c r="BE70" i="11" s="1"/>
  <c r="BX76" i="10"/>
  <c r="BY76" i="10" s="1"/>
  <c r="BJ68" i="11"/>
  <c r="BK68" i="11" s="1"/>
  <c r="BR62" i="11"/>
  <c r="BS62" i="11" s="1"/>
  <c r="CB77" i="8"/>
  <c r="CC77" i="8" s="1"/>
  <c r="BE77" i="9" s="1"/>
  <c r="BN66" i="11"/>
  <c r="BO66" i="11" s="1"/>
  <c r="BP64" i="11"/>
  <c r="BQ64" i="11" s="1"/>
  <c r="BP50" i="11"/>
  <c r="BQ50" i="11" s="1"/>
  <c r="BJ8" i="11"/>
  <c r="BK8" i="11" s="1"/>
  <c r="BH67" i="11"/>
  <c r="BI67" i="11" s="1"/>
  <c r="BR73" i="11"/>
  <c r="BS73" i="11" s="1"/>
  <c r="BV55" i="9"/>
  <c r="BW55" i="9" s="1"/>
  <c r="BP56" i="11"/>
  <c r="BQ56" i="11" s="1"/>
  <c r="BH57" i="11"/>
  <c r="BI57" i="11" s="1"/>
  <c r="BP61" i="11"/>
  <c r="BQ61" i="11" s="1"/>
  <c r="CB9" i="8"/>
  <c r="CC9" i="8" s="1"/>
  <c r="BE9" i="9" s="1"/>
  <c r="BG9" i="9" s="1"/>
  <c r="BN31" i="11"/>
  <c r="BO31" i="11" s="1"/>
  <c r="BR11" i="11"/>
  <c r="BS11" i="11" s="1"/>
  <c r="BH52" i="11"/>
  <c r="BI52" i="11" s="1"/>
  <c r="BF70" i="11" l="1"/>
  <c r="BG70" i="11" s="1"/>
  <c r="BL65" i="9"/>
  <c r="BM65" i="9" s="1"/>
  <c r="BR24" i="11"/>
  <c r="BS24" i="11" s="1"/>
  <c r="BT17" i="11"/>
  <c r="BU17" i="11" s="1"/>
  <c r="BT41" i="11"/>
  <c r="BU41" i="11" s="1"/>
  <c r="BR56" i="11"/>
  <c r="BS56" i="11" s="1"/>
  <c r="BT14" i="11"/>
  <c r="BU14" i="11" s="1"/>
  <c r="BT22" i="11"/>
  <c r="BU22" i="11" s="1"/>
  <c r="BT7" i="11"/>
  <c r="BU7" i="11" s="1"/>
  <c r="BJ19" i="11"/>
  <c r="BK19" i="11" s="1"/>
  <c r="BJ25" i="11"/>
  <c r="BK25" i="11" s="1"/>
  <c r="BP75" i="11"/>
  <c r="BQ75" i="11" s="1"/>
  <c r="BT11" i="11"/>
  <c r="BU11" i="11" s="1"/>
  <c r="BJ67" i="11"/>
  <c r="BK67" i="11" s="1"/>
  <c r="BR32" i="11"/>
  <c r="BS32" i="11" s="1"/>
  <c r="BL26" i="10"/>
  <c r="BM26" i="10" s="1"/>
  <c r="BN4" i="11"/>
  <c r="BO4" i="11" s="1"/>
  <c r="BX49" i="8"/>
  <c r="BY49" i="8" s="1"/>
  <c r="BR38" i="11"/>
  <c r="BS38" i="11" s="1"/>
  <c r="BR6" i="11"/>
  <c r="BS6" i="11" s="1"/>
  <c r="BT20" i="11"/>
  <c r="BU20" i="11" s="1"/>
  <c r="BR40" i="11"/>
  <c r="BS40" i="11" s="1"/>
  <c r="BH9" i="9"/>
  <c r="BI9" i="9" s="1"/>
  <c r="BR50" i="11"/>
  <c r="BS50" i="11" s="1"/>
  <c r="BR74" i="11"/>
  <c r="BS74" i="11" s="1"/>
  <c r="BT16" i="11"/>
  <c r="BU16" i="11" s="1"/>
  <c r="BR5" i="11"/>
  <c r="BS5" i="11" s="1"/>
  <c r="BT18" i="11"/>
  <c r="BU18" i="11" s="1"/>
  <c r="BR34" i="11"/>
  <c r="BS34" i="11" s="1"/>
  <c r="BP29" i="11"/>
  <c r="BQ29" i="11" s="1"/>
  <c r="BR44" i="10"/>
  <c r="BS44" i="10" s="1"/>
  <c r="BP31" i="11"/>
  <c r="BQ31" i="11" s="1"/>
  <c r="BL8" i="11"/>
  <c r="BM8" i="11" s="1"/>
  <c r="BZ76" i="10"/>
  <c r="CA76" i="10" s="1"/>
  <c r="BT37" i="11"/>
  <c r="BU37" i="11" s="1"/>
  <c r="BT39" i="11"/>
  <c r="BU39" i="11" s="1"/>
  <c r="BT10" i="11"/>
  <c r="BU10" i="11" s="1"/>
  <c r="BR23" i="11"/>
  <c r="BS23" i="11" s="1"/>
  <c r="BJ47" i="10"/>
  <c r="BK47" i="10" s="1"/>
  <c r="BL42" i="10"/>
  <c r="BM42" i="10" s="1"/>
  <c r="BT12" i="11"/>
  <c r="BU12" i="11" s="1"/>
  <c r="BR30" i="11"/>
  <c r="BS30" i="11" s="1"/>
  <c r="BR15" i="11"/>
  <c r="BS15" i="11" s="1"/>
  <c r="BR36" i="10"/>
  <c r="BS36" i="10" s="1"/>
  <c r="BX55" i="9"/>
  <c r="BY55" i="9" s="1"/>
  <c r="BR61" i="11"/>
  <c r="BS61" i="11" s="1"/>
  <c r="BF77" i="9"/>
  <c r="BG77" i="9" s="1"/>
  <c r="BR43" i="11"/>
  <c r="BS43" i="11" s="1"/>
  <c r="BT63" i="11"/>
  <c r="BU63" i="11" s="1"/>
  <c r="BT51" i="11"/>
  <c r="BU51" i="11" s="1"/>
  <c r="BH60" i="10"/>
  <c r="BI60" i="10" s="1"/>
  <c r="BR59" i="11"/>
  <c r="BS59" i="11" s="1"/>
  <c r="CB35" i="10"/>
  <c r="CC35" i="10" s="1"/>
  <c r="BE35" i="11" s="1"/>
  <c r="BN21" i="11"/>
  <c r="BO21" i="11" s="1"/>
  <c r="CB28" i="10"/>
  <c r="CC28" i="10" s="1"/>
  <c r="BE28" i="11" s="1"/>
  <c r="BF27" i="10"/>
  <c r="BG27" i="10" s="1"/>
  <c r="BH58" i="9"/>
  <c r="BI58" i="9" s="1"/>
  <c r="BK58" i="9" s="1"/>
  <c r="BN13" i="11"/>
  <c r="BO13" i="11" s="1"/>
  <c r="BL69" i="11"/>
  <c r="BM69" i="11" s="1"/>
  <c r="BJ57" i="11"/>
  <c r="BK57" i="11" s="1"/>
  <c r="BP66" i="11"/>
  <c r="BQ66" i="11" s="1"/>
  <c r="BT62" i="11"/>
  <c r="BU62" i="11" s="1"/>
  <c r="BL71" i="11"/>
  <c r="BM71" i="11" s="1"/>
  <c r="BT72" i="11"/>
  <c r="BU72" i="11" s="1"/>
  <c r="BT45" i="11"/>
  <c r="BU45" i="11" s="1"/>
  <c r="BJ52" i="11"/>
  <c r="BK52" i="11" s="1"/>
  <c r="BT73" i="11"/>
  <c r="BU73" i="11" s="1"/>
  <c r="BR64" i="11"/>
  <c r="BS64" i="11" s="1"/>
  <c r="BL68" i="11"/>
  <c r="BM68" i="11" s="1"/>
  <c r="CB79" i="9"/>
  <c r="CC79" i="9" s="1"/>
  <c r="BE79" i="10" s="1"/>
  <c r="BT53" i="11"/>
  <c r="BU53" i="11" s="1"/>
  <c r="BT46" i="10"/>
  <c r="BU46" i="10" s="1"/>
  <c r="BT54" i="11"/>
  <c r="BU54" i="11" s="1"/>
  <c r="BN33" i="11"/>
  <c r="BO33" i="11" s="1"/>
  <c r="BF48" i="10"/>
  <c r="BG48" i="10" s="1"/>
  <c r="BF80" i="10"/>
  <c r="BG80" i="10" s="1"/>
  <c r="BJ78" i="9"/>
  <c r="BK78" i="9" s="1"/>
  <c r="BP33" i="11" l="1"/>
  <c r="BQ33" i="11" s="1"/>
  <c r="BV53" i="11"/>
  <c r="BW53" i="11" s="1"/>
  <c r="BP13" i="11"/>
  <c r="BQ13" i="11" s="1"/>
  <c r="BV51" i="11"/>
  <c r="BW51" i="11" s="1"/>
  <c r="BT30" i="11"/>
  <c r="BU30" i="11" s="1"/>
  <c r="BV45" i="11"/>
  <c r="BW45" i="11" s="1"/>
  <c r="BV62" i="11"/>
  <c r="BW62" i="11" s="1"/>
  <c r="BL58" i="9"/>
  <c r="BM58" i="9" s="1"/>
  <c r="BP21" i="11"/>
  <c r="BQ21" i="11" s="1"/>
  <c r="BV63" i="11"/>
  <c r="BW63" i="11" s="1"/>
  <c r="BV12" i="11"/>
  <c r="BW12" i="11" s="1"/>
  <c r="BV10" i="11"/>
  <c r="BW10" i="11" s="1"/>
  <c r="BR29" i="11"/>
  <c r="BS29" i="11" s="1"/>
  <c r="BT5" i="11"/>
  <c r="BU5" i="11" s="1"/>
  <c r="BT6" i="11"/>
  <c r="BU6" i="11" s="1"/>
  <c r="BN26" i="10"/>
  <c r="BO26" i="10" s="1"/>
  <c r="BV72" i="11"/>
  <c r="BW72" i="11" s="1"/>
  <c r="BN42" i="10"/>
  <c r="BO42" i="10" s="1"/>
  <c r="BN8" i="11"/>
  <c r="BO8" i="11" s="1"/>
  <c r="BT34" i="11"/>
  <c r="BU34" i="11" s="1"/>
  <c r="BT40" i="11"/>
  <c r="BU40" i="11" s="1"/>
  <c r="BT38" i="11"/>
  <c r="BU38" i="11" s="1"/>
  <c r="BT32" i="11"/>
  <c r="BU32" i="11" s="1"/>
  <c r="BV73" i="11"/>
  <c r="BW73" i="11" s="1"/>
  <c r="BH27" i="10"/>
  <c r="BI27" i="10" s="1"/>
  <c r="BV39" i="11"/>
  <c r="BW39" i="11" s="1"/>
  <c r="BH48" i="10"/>
  <c r="BI48" i="10" s="1"/>
  <c r="BV46" i="10"/>
  <c r="BW46" i="10" s="1"/>
  <c r="BN68" i="11"/>
  <c r="BO68" i="11" s="1"/>
  <c r="BZ55" i="9"/>
  <c r="CA55" i="9" s="1"/>
  <c r="BL47" i="10"/>
  <c r="BM47" i="10" s="1"/>
  <c r="BV37" i="11"/>
  <c r="BW37" i="11" s="1"/>
  <c r="BR31" i="11"/>
  <c r="BS31" i="11" s="1"/>
  <c r="BZ49" i="8"/>
  <c r="CA49" i="8" s="1"/>
  <c r="BL19" i="11"/>
  <c r="BM19" i="11" s="1"/>
  <c r="BV41" i="11"/>
  <c r="BW41" i="11" s="1"/>
  <c r="BN65" i="9"/>
  <c r="BO65" i="9" s="1"/>
  <c r="BH77" i="9"/>
  <c r="BI77" i="9" s="1"/>
  <c r="BT23" i="11"/>
  <c r="BU23" i="11" s="1"/>
  <c r="BT44" i="10"/>
  <c r="BU44" i="10" s="1"/>
  <c r="BP4" i="11"/>
  <c r="BQ4" i="11" s="1"/>
  <c r="BV14" i="11"/>
  <c r="BW14" i="11" s="1"/>
  <c r="BV17" i="11"/>
  <c r="BW17" i="11" s="1"/>
  <c r="BH70" i="11"/>
  <c r="BI70" i="11" s="1"/>
  <c r="BL78" i="9"/>
  <c r="BM78" i="9" s="1"/>
  <c r="BN69" i="11"/>
  <c r="BO69" i="11" s="1"/>
  <c r="BT74" i="11"/>
  <c r="BU74" i="11" s="1"/>
  <c r="BN71" i="11"/>
  <c r="BO71" i="11" s="1"/>
  <c r="BF28" i="11"/>
  <c r="BG28" i="11" s="1"/>
  <c r="BH80" i="10"/>
  <c r="BI80" i="10" s="1"/>
  <c r="BF79" i="10"/>
  <c r="BG79" i="10" s="1"/>
  <c r="BT64" i="11"/>
  <c r="BU64" i="11" s="1"/>
  <c r="BL52" i="11"/>
  <c r="BM52" i="11" s="1"/>
  <c r="BL57" i="11"/>
  <c r="BM57" i="11" s="1"/>
  <c r="BT59" i="11"/>
  <c r="BU59" i="11" s="1"/>
  <c r="BT43" i="11"/>
  <c r="BU43" i="11" s="1"/>
  <c r="BT61" i="11"/>
  <c r="BU61" i="11" s="1"/>
  <c r="BT36" i="10"/>
  <c r="BU36" i="10" s="1"/>
  <c r="CB76" i="10"/>
  <c r="CC76" i="10" s="1"/>
  <c r="BE76" i="11" s="1"/>
  <c r="BV18" i="11"/>
  <c r="BW18" i="11" s="1"/>
  <c r="BV16" i="11"/>
  <c r="BW16" i="11" s="1"/>
  <c r="BT50" i="11"/>
  <c r="BU50" i="11" s="1"/>
  <c r="BL67" i="11"/>
  <c r="BM67" i="11" s="1"/>
  <c r="BR75" i="11"/>
  <c r="BS75" i="11" s="1"/>
  <c r="BV22" i="11"/>
  <c r="BW22" i="11" s="1"/>
  <c r="BT56" i="11"/>
  <c r="BU56" i="11" s="1"/>
  <c r="BV54" i="11"/>
  <c r="BW54" i="11" s="1"/>
  <c r="BR66" i="11"/>
  <c r="BS66" i="11" s="1"/>
  <c r="BF35" i="11"/>
  <c r="BG35" i="11" s="1"/>
  <c r="BJ60" i="10"/>
  <c r="BK60" i="10" s="1"/>
  <c r="BT15" i="11"/>
  <c r="BU15" i="11" s="1"/>
  <c r="BV11" i="11"/>
  <c r="BW11" i="11" s="1"/>
  <c r="BL25" i="11"/>
  <c r="BM25" i="11" s="1"/>
  <c r="BV7" i="11"/>
  <c r="BW7" i="11" s="1"/>
  <c r="BT24" i="11"/>
  <c r="BU24" i="11" s="1"/>
  <c r="BJ9" i="9"/>
  <c r="BK9" i="9" s="1"/>
  <c r="BM9" i="9" s="1"/>
  <c r="BV20" i="11"/>
  <c r="BW20" i="11" s="1"/>
  <c r="BX11" i="11" l="1"/>
  <c r="BY11" i="11" s="1"/>
  <c r="BN9" i="9"/>
  <c r="BO9" i="9" s="1"/>
  <c r="BV50" i="11"/>
  <c r="BW50" i="11" s="1"/>
  <c r="BV36" i="10"/>
  <c r="BW36" i="10" s="1"/>
  <c r="BV59" i="11"/>
  <c r="BW59" i="11" s="1"/>
  <c r="BV64" i="11"/>
  <c r="BW64" i="11" s="1"/>
  <c r="BV44" i="10"/>
  <c r="BW44" i="10" s="1"/>
  <c r="BX37" i="11"/>
  <c r="BY37" i="11" s="1"/>
  <c r="BJ48" i="10"/>
  <c r="BK48" i="10" s="1"/>
  <c r="BX12" i="11"/>
  <c r="BY12" i="11" s="1"/>
  <c r="BN58" i="9"/>
  <c r="BO58" i="9" s="1"/>
  <c r="BR33" i="11"/>
  <c r="BS33" i="11" s="1"/>
  <c r="BX16" i="11"/>
  <c r="BY16" i="11" s="1"/>
  <c r="BN57" i="11"/>
  <c r="BO57" i="11" s="1"/>
  <c r="BH79" i="10"/>
  <c r="BI79" i="10" s="1"/>
  <c r="BX17" i="11"/>
  <c r="BY17" i="11" s="1"/>
  <c r="BV23" i="11"/>
  <c r="BW23" i="11" s="1"/>
  <c r="BN47" i="10"/>
  <c r="BO47" i="10" s="1"/>
  <c r="BX39" i="11"/>
  <c r="BY39" i="11" s="1"/>
  <c r="BP8" i="11"/>
  <c r="BQ8" i="11" s="1"/>
  <c r="BP26" i="10"/>
  <c r="BQ26" i="10" s="1"/>
  <c r="BR13" i="11"/>
  <c r="BS13" i="11" s="1"/>
  <c r="BX14" i="11"/>
  <c r="BY14" i="11" s="1"/>
  <c r="BH35" i="11"/>
  <c r="BI35" i="11" s="1"/>
  <c r="BX18" i="11"/>
  <c r="BY18" i="11" s="1"/>
  <c r="BJ80" i="10"/>
  <c r="BK80" i="10" s="1"/>
  <c r="BV74" i="11"/>
  <c r="BW74" i="11" s="1"/>
  <c r="BJ77" i="9"/>
  <c r="BK77" i="9" s="1"/>
  <c r="BM77" i="9" s="1"/>
  <c r="BJ27" i="10"/>
  <c r="BK27" i="10" s="1"/>
  <c r="BP42" i="10"/>
  <c r="BQ42" i="10" s="1"/>
  <c r="BT29" i="11"/>
  <c r="BU29" i="11" s="1"/>
  <c r="BX20" i="11"/>
  <c r="BY20" i="11" s="1"/>
  <c r="BX7" i="11"/>
  <c r="BY7" i="11" s="1"/>
  <c r="BV15" i="11"/>
  <c r="BW15" i="11" s="1"/>
  <c r="BV56" i="11"/>
  <c r="BW56" i="11" s="1"/>
  <c r="BN67" i="11"/>
  <c r="BO67" i="11" s="1"/>
  <c r="BF76" i="11"/>
  <c r="BG76" i="11" s="1"/>
  <c r="BV43" i="11"/>
  <c r="BW43" i="11" s="1"/>
  <c r="BH28" i="11"/>
  <c r="BI28" i="11" s="1"/>
  <c r="BR4" i="11"/>
  <c r="BS4" i="11" s="1"/>
  <c r="BT31" i="11"/>
  <c r="BU31" i="11" s="1"/>
  <c r="BX10" i="11"/>
  <c r="BY10" i="11" s="1"/>
  <c r="BR21" i="11"/>
  <c r="BS21" i="11" s="1"/>
  <c r="BX22" i="11"/>
  <c r="BY22" i="11" s="1"/>
  <c r="BV24" i="11"/>
  <c r="BW24" i="11" s="1"/>
  <c r="BX54" i="11"/>
  <c r="BY54" i="11" s="1"/>
  <c r="BV61" i="11"/>
  <c r="BW61" i="11" s="1"/>
  <c r="BT66" i="11"/>
  <c r="BU66" i="11" s="1"/>
  <c r="BX41" i="11"/>
  <c r="BY41" i="11" s="1"/>
  <c r="CB55" i="9"/>
  <c r="CC55" i="9" s="1"/>
  <c r="BE55" i="10" s="1"/>
  <c r="BX46" i="10"/>
  <c r="BY46" i="10" s="1"/>
  <c r="BX73" i="11"/>
  <c r="BY73" i="11" s="1"/>
  <c r="BV38" i="11"/>
  <c r="BW38" i="11" s="1"/>
  <c r="BV34" i="11"/>
  <c r="BW34" i="11" s="1"/>
  <c r="BV5" i="11"/>
  <c r="BW5" i="11" s="1"/>
  <c r="BX63" i="11"/>
  <c r="BY63" i="11" s="1"/>
  <c r="BX45" i="11"/>
  <c r="BY45" i="11" s="1"/>
  <c r="BX51" i="11"/>
  <c r="BY51" i="11" s="1"/>
  <c r="BX53" i="11"/>
  <c r="BY53" i="11" s="1"/>
  <c r="BL60" i="10"/>
  <c r="BM60" i="10" s="1"/>
  <c r="BT75" i="11"/>
  <c r="BU75" i="11" s="1"/>
  <c r="BP71" i="11"/>
  <c r="BQ71" i="11" s="1"/>
  <c r="BP69" i="11"/>
  <c r="BQ69" i="11" s="1"/>
  <c r="BJ70" i="11"/>
  <c r="BK70" i="11" s="1"/>
  <c r="CB49" i="8"/>
  <c r="CC49" i="8" s="1"/>
  <c r="BE49" i="9" s="1"/>
  <c r="BN25" i="11"/>
  <c r="BO25" i="11" s="1"/>
  <c r="BN52" i="11"/>
  <c r="BO52" i="11" s="1"/>
  <c r="BN78" i="9"/>
  <c r="BO78" i="9" s="1"/>
  <c r="BQ78" i="9" s="1"/>
  <c r="BP65" i="9"/>
  <c r="BQ65" i="9" s="1"/>
  <c r="BN19" i="11"/>
  <c r="BO19" i="11" s="1"/>
  <c r="BP68" i="11"/>
  <c r="BQ68" i="11" s="1"/>
  <c r="BV32" i="11"/>
  <c r="BW32" i="11" s="1"/>
  <c r="BV40" i="11"/>
  <c r="BW40" i="11" s="1"/>
  <c r="BX72" i="11"/>
  <c r="BY72" i="11" s="1"/>
  <c r="BV6" i="11"/>
  <c r="BW6" i="11" s="1"/>
  <c r="BX62" i="11"/>
  <c r="BY62" i="11" s="1"/>
  <c r="BV30" i="11"/>
  <c r="BW30" i="11" s="1"/>
  <c r="BX6" i="11" l="1"/>
  <c r="BY6" i="11" s="1"/>
  <c r="BR65" i="9"/>
  <c r="BS65" i="9" s="1"/>
  <c r="BP25" i="11"/>
  <c r="BQ25" i="11" s="1"/>
  <c r="BV75" i="11"/>
  <c r="BW75" i="11" s="1"/>
  <c r="BX5" i="11"/>
  <c r="BY5" i="11" s="1"/>
  <c r="BT4" i="11"/>
  <c r="BU4" i="11" s="1"/>
  <c r="BR42" i="10"/>
  <c r="BS42" i="10" s="1"/>
  <c r="BJ35" i="11"/>
  <c r="BK35" i="11" s="1"/>
  <c r="BR26" i="10"/>
  <c r="BS26" i="10" s="1"/>
  <c r="BT33" i="11"/>
  <c r="BU33" i="11" s="1"/>
  <c r="BX30" i="11"/>
  <c r="BY30" i="11" s="1"/>
  <c r="BR78" i="9"/>
  <c r="BS78" i="9" s="1"/>
  <c r="BF49" i="9"/>
  <c r="BG49" i="9" s="1"/>
  <c r="BN60" i="10"/>
  <c r="BO60" i="10" s="1"/>
  <c r="BX34" i="11"/>
  <c r="BY34" i="11" s="1"/>
  <c r="BZ46" i="10"/>
  <c r="CA46" i="10" s="1"/>
  <c r="BV66" i="11"/>
  <c r="BW66" i="11" s="1"/>
  <c r="BT21" i="11"/>
  <c r="BU21" i="11" s="1"/>
  <c r="BJ28" i="11"/>
  <c r="BK28" i="11" s="1"/>
  <c r="BR8" i="11"/>
  <c r="BS8" i="11" s="1"/>
  <c r="BX23" i="11"/>
  <c r="BY23" i="11" s="1"/>
  <c r="BX38" i="11"/>
  <c r="BY38" i="11" s="1"/>
  <c r="BZ39" i="11"/>
  <c r="CA39" i="11" s="1"/>
  <c r="BZ53" i="11"/>
  <c r="CA53" i="11" s="1"/>
  <c r="BF55" i="10"/>
  <c r="BG55" i="10" s="1"/>
  <c r="BX24" i="11"/>
  <c r="BY24" i="11" s="1"/>
  <c r="BZ10" i="11"/>
  <c r="CA10" i="11" s="1"/>
  <c r="BX15" i="11"/>
  <c r="BY15" i="11" s="1"/>
  <c r="BL80" i="10"/>
  <c r="BM80" i="10" s="1"/>
  <c r="BZ17" i="11"/>
  <c r="CA17" i="11" s="1"/>
  <c r="BX40" i="11"/>
  <c r="BY40" i="11" s="1"/>
  <c r="BP19" i="11"/>
  <c r="BQ19" i="11" s="1"/>
  <c r="BZ63" i="11"/>
  <c r="CA63" i="11" s="1"/>
  <c r="BV31" i="11"/>
  <c r="BW31" i="11" s="1"/>
  <c r="BZ7" i="11"/>
  <c r="CA7" i="11" s="1"/>
  <c r="BN77" i="9"/>
  <c r="BO77" i="9" s="1"/>
  <c r="BZ18" i="11"/>
  <c r="CA18" i="11" s="1"/>
  <c r="BT13" i="11"/>
  <c r="BU13" i="11" s="1"/>
  <c r="BJ79" i="10"/>
  <c r="BK79" i="10" s="1"/>
  <c r="BZ37" i="11"/>
  <c r="CA37" i="11" s="1"/>
  <c r="BX32" i="11"/>
  <c r="BY32" i="11" s="1"/>
  <c r="BZ11" i="11"/>
  <c r="CA11" i="11" s="1"/>
  <c r="BR68" i="11"/>
  <c r="BS68" i="11" s="1"/>
  <c r="BR69" i="11"/>
  <c r="BS69" i="11" s="1"/>
  <c r="BZ41" i="11"/>
  <c r="CA41" i="11" s="1"/>
  <c r="BX61" i="11"/>
  <c r="BY61" i="11" s="1"/>
  <c r="BH76" i="11"/>
  <c r="BI76" i="11" s="1"/>
  <c r="BL27" i="10"/>
  <c r="BM27" i="10" s="1"/>
  <c r="BX74" i="11"/>
  <c r="BY74" i="11" s="1"/>
  <c r="BZ72" i="11"/>
  <c r="CA72" i="11" s="1"/>
  <c r="BR71" i="11"/>
  <c r="BS71" i="11" s="1"/>
  <c r="BZ54" i="11"/>
  <c r="CA54" i="11" s="1"/>
  <c r="BP67" i="11"/>
  <c r="BQ67" i="11" s="1"/>
  <c r="BP47" i="10"/>
  <c r="BQ47" i="10" s="1"/>
  <c r="BP57" i="11"/>
  <c r="BQ57" i="11" s="1"/>
  <c r="BZ12" i="11"/>
  <c r="CA12" i="11" s="1"/>
  <c r="BX64" i="11"/>
  <c r="BY64" i="11" s="1"/>
  <c r="BX36" i="10"/>
  <c r="BY36" i="10" s="1"/>
  <c r="BP9" i="9"/>
  <c r="BQ9" i="9" s="1"/>
  <c r="BZ62" i="11"/>
  <c r="CA62" i="11" s="1"/>
  <c r="BL70" i="11"/>
  <c r="BM70" i="11" s="1"/>
  <c r="BZ51" i="11"/>
  <c r="CA51" i="11" s="1"/>
  <c r="BZ73" i="11"/>
  <c r="CA73" i="11" s="1"/>
  <c r="BZ22" i="11"/>
  <c r="CA22" i="11" s="1"/>
  <c r="BX43" i="11"/>
  <c r="BY43" i="11" s="1"/>
  <c r="BZ20" i="11"/>
  <c r="CA20" i="11" s="1"/>
  <c r="BP52" i="11"/>
  <c r="BQ52" i="11" s="1"/>
  <c r="BZ45" i="11"/>
  <c r="CA45" i="11" s="1"/>
  <c r="BX56" i="11"/>
  <c r="BY56" i="11" s="1"/>
  <c r="BV29" i="11"/>
  <c r="BW29" i="11" s="1"/>
  <c r="BZ14" i="11"/>
  <c r="CA14" i="11" s="1"/>
  <c r="BZ16" i="11"/>
  <c r="CA16" i="11" s="1"/>
  <c r="BP58" i="9"/>
  <c r="BQ58" i="9" s="1"/>
  <c r="BL48" i="10"/>
  <c r="BM48" i="10" s="1"/>
  <c r="BX44" i="10"/>
  <c r="BY44" i="10" s="1"/>
  <c r="BX59" i="11"/>
  <c r="BY59" i="11" s="1"/>
  <c r="BX50" i="11"/>
  <c r="BY50" i="11" s="1"/>
  <c r="BZ44" i="10" l="1"/>
  <c r="CA44" i="10" s="1"/>
  <c r="CB22" i="11"/>
  <c r="CC22" i="11" s="1"/>
  <c r="BR47" i="10"/>
  <c r="BS47" i="10" s="1"/>
  <c r="CB37" i="11"/>
  <c r="CC37" i="11" s="1"/>
  <c r="CB18" i="11"/>
  <c r="CC18" i="11" s="1"/>
  <c r="BN48" i="10"/>
  <c r="BO48" i="10" s="1"/>
  <c r="CB14" i="11"/>
  <c r="CC14" i="11" s="1"/>
  <c r="CB20" i="11"/>
  <c r="CC20" i="11" s="1"/>
  <c r="BN70" i="11"/>
  <c r="BO70" i="11" s="1"/>
  <c r="CB12" i="11"/>
  <c r="CC12" i="11" s="1"/>
  <c r="CB11" i="11"/>
  <c r="CC11" i="11" s="1"/>
  <c r="BL79" i="10"/>
  <c r="BM79" i="10" s="1"/>
  <c r="BP77" i="9"/>
  <c r="BQ77" i="9" s="1"/>
  <c r="CB10" i="11"/>
  <c r="CC10" i="11" s="1"/>
  <c r="BL28" i="11"/>
  <c r="BM28" i="11" s="1"/>
  <c r="BP60" i="10"/>
  <c r="BQ60" i="10" s="1"/>
  <c r="BZ36" i="10"/>
  <c r="CA36" i="10" s="1"/>
  <c r="BL35" i="11"/>
  <c r="BM35" i="11" s="1"/>
  <c r="BR25" i="11"/>
  <c r="BS25" i="11" s="1"/>
  <c r="BX29" i="11"/>
  <c r="BY29" i="11" s="1"/>
  <c r="BZ61" i="11"/>
  <c r="CA61" i="11" s="1"/>
  <c r="CB7" i="11"/>
  <c r="CC7" i="11" s="1"/>
  <c r="CB17" i="11"/>
  <c r="CC17" i="11" s="1"/>
  <c r="BZ59" i="11"/>
  <c r="CA59" i="11" s="1"/>
  <c r="BN27" i="10"/>
  <c r="BO27" i="10" s="1"/>
  <c r="BX31" i="11"/>
  <c r="BY31" i="11" s="1"/>
  <c r="BN80" i="10"/>
  <c r="BO80" i="10" s="1"/>
  <c r="BZ23" i="11"/>
  <c r="CA23" i="11" s="1"/>
  <c r="BV33" i="11"/>
  <c r="BW33" i="11" s="1"/>
  <c r="BZ5" i="11"/>
  <c r="CA5" i="11" s="1"/>
  <c r="BT65" i="9"/>
  <c r="BU65" i="9" s="1"/>
  <c r="CB16" i="11"/>
  <c r="CC16" i="11" s="1"/>
  <c r="BZ15" i="11"/>
  <c r="CA15" i="11" s="1"/>
  <c r="CB39" i="11"/>
  <c r="CC39" i="11" s="1"/>
  <c r="BT8" i="11"/>
  <c r="BU8" i="11" s="1"/>
  <c r="BZ34" i="11"/>
  <c r="CA34" i="11" s="1"/>
  <c r="BT78" i="9"/>
  <c r="BU78" i="9" s="1"/>
  <c r="BZ6" i="11"/>
  <c r="CA6" i="11" s="1"/>
  <c r="CB45" i="11"/>
  <c r="CC45" i="11" s="1"/>
  <c r="CB51" i="11"/>
  <c r="CC51" i="11" s="1"/>
  <c r="CB72" i="11"/>
  <c r="CC72" i="11" s="1"/>
  <c r="BZ56" i="11"/>
  <c r="CA56" i="11" s="1"/>
  <c r="BZ43" i="11"/>
  <c r="CA43" i="11" s="1"/>
  <c r="BR9" i="9"/>
  <c r="BS9" i="9" s="1"/>
  <c r="BU9" i="9" s="1"/>
  <c r="BW9" i="9" s="1"/>
  <c r="BY9" i="9" s="1"/>
  <c r="BR57" i="11"/>
  <c r="BS57" i="11" s="1"/>
  <c r="BR67" i="11"/>
  <c r="BS67" i="11" s="1"/>
  <c r="BZ74" i="11"/>
  <c r="CA74" i="11" s="1"/>
  <c r="BJ76" i="11"/>
  <c r="BK76" i="11" s="1"/>
  <c r="BT68" i="11"/>
  <c r="BU68" i="11" s="1"/>
  <c r="CB63" i="11"/>
  <c r="CC63" i="11" s="1"/>
  <c r="BZ40" i="11"/>
  <c r="CA40" i="11" s="1"/>
  <c r="BT69" i="11"/>
  <c r="BU69" i="11" s="1"/>
  <c r="BV13" i="11"/>
  <c r="BW13" i="11" s="1"/>
  <c r="BR19" i="11"/>
  <c r="BS19" i="11" s="1"/>
  <c r="BZ24" i="11"/>
  <c r="CA24" i="11" s="1"/>
  <c r="CB53" i="11"/>
  <c r="CC53" i="11" s="1"/>
  <c r="BZ38" i="11"/>
  <c r="CA38" i="11" s="1"/>
  <c r="BV21" i="11"/>
  <c r="BW21" i="11" s="1"/>
  <c r="CB46" i="10"/>
  <c r="CC46" i="10" s="1"/>
  <c r="BE46" i="11" s="1"/>
  <c r="BV4" i="11"/>
  <c r="BW4" i="11" s="1"/>
  <c r="BX75" i="11"/>
  <c r="BY75" i="11" s="1"/>
  <c r="CB62" i="11"/>
  <c r="CC62" i="11" s="1"/>
  <c r="CB54" i="11"/>
  <c r="CC54" i="11" s="1"/>
  <c r="BZ50" i="11"/>
  <c r="CA50" i="11" s="1"/>
  <c r="BR58" i="9"/>
  <c r="BS58" i="9" s="1"/>
  <c r="BR52" i="11"/>
  <c r="BS52" i="11" s="1"/>
  <c r="CB73" i="11"/>
  <c r="CC73" i="11" s="1"/>
  <c r="BZ64" i="11"/>
  <c r="CA64" i="11" s="1"/>
  <c r="BT71" i="11"/>
  <c r="BU71" i="11" s="1"/>
  <c r="CB41" i="11"/>
  <c r="CC41" i="11" s="1"/>
  <c r="BZ32" i="11"/>
  <c r="CA32" i="11" s="1"/>
  <c r="BH55" i="10"/>
  <c r="BI55" i="10" s="1"/>
  <c r="BX66" i="11"/>
  <c r="BY66" i="11" s="1"/>
  <c r="BH49" i="9"/>
  <c r="BI49" i="9" s="1"/>
  <c r="BZ30" i="11"/>
  <c r="CA30" i="11" s="1"/>
  <c r="BT26" i="10"/>
  <c r="BU26" i="10" s="1"/>
  <c r="BT42" i="10"/>
  <c r="BU42" i="10" s="1"/>
  <c r="BV26" i="10" l="1"/>
  <c r="BW26" i="10" s="1"/>
  <c r="BX4" i="11"/>
  <c r="BY4" i="11" s="1"/>
  <c r="BV68" i="11"/>
  <c r="BW68" i="11" s="1"/>
  <c r="CB34" i="11"/>
  <c r="CC34" i="11" s="1"/>
  <c r="BV65" i="9"/>
  <c r="BW65" i="9" s="1"/>
  <c r="BP80" i="10"/>
  <c r="BQ80" i="10" s="1"/>
  <c r="BZ29" i="11"/>
  <c r="CA29" i="11" s="1"/>
  <c r="CB36" i="10"/>
  <c r="CC36" i="10" s="1"/>
  <c r="BE36" i="11" s="1"/>
  <c r="BT47" i="10"/>
  <c r="BU47" i="10" s="1"/>
  <c r="CB30" i="11"/>
  <c r="CC30" i="11" s="1"/>
  <c r="BJ55" i="10"/>
  <c r="BK55" i="10" s="1"/>
  <c r="BF46" i="11"/>
  <c r="BG46" i="11" s="1"/>
  <c r="CB24" i="11"/>
  <c r="CC24" i="11" s="1"/>
  <c r="CB15" i="11"/>
  <c r="CC15" i="11" s="1"/>
  <c r="CB5" i="11"/>
  <c r="CC5" i="11" s="1"/>
  <c r="BZ31" i="11"/>
  <c r="CA31" i="11" s="1"/>
  <c r="BT25" i="11"/>
  <c r="BU25" i="11" s="1"/>
  <c r="BR60" i="10"/>
  <c r="BS60" i="10" s="1"/>
  <c r="BR77" i="9"/>
  <c r="BS77" i="9" s="1"/>
  <c r="BJ49" i="9"/>
  <c r="BK49" i="9" s="1"/>
  <c r="BM49" i="9" s="1"/>
  <c r="BO49" i="9" s="1"/>
  <c r="BQ49" i="9" s="1"/>
  <c r="BS49" i="9" s="1"/>
  <c r="BU49" i="9" s="1"/>
  <c r="BW49" i="9" s="1"/>
  <c r="CB32" i="11"/>
  <c r="CC32" i="11" s="1"/>
  <c r="BX21" i="11"/>
  <c r="BY21" i="11" s="1"/>
  <c r="BT19" i="11"/>
  <c r="BU19" i="11" s="1"/>
  <c r="CB40" i="11"/>
  <c r="CC40" i="11" s="1"/>
  <c r="CB6" i="11"/>
  <c r="CC6" i="11" s="1"/>
  <c r="BX33" i="11"/>
  <c r="BY33" i="11" s="1"/>
  <c r="BN28" i="11"/>
  <c r="BO28" i="11" s="1"/>
  <c r="BN79" i="10"/>
  <c r="BO79" i="10" s="1"/>
  <c r="BV42" i="10"/>
  <c r="BW42" i="10" s="1"/>
  <c r="CB38" i="11"/>
  <c r="CC38" i="11" s="1"/>
  <c r="BX13" i="11"/>
  <c r="BY13" i="11" s="1"/>
  <c r="BV78" i="9"/>
  <c r="BW78" i="9" s="1"/>
  <c r="CB23" i="11"/>
  <c r="CC23" i="11" s="1"/>
  <c r="BP48" i="10"/>
  <c r="BQ48" i="10" s="1"/>
  <c r="CB44" i="10"/>
  <c r="CC44" i="10" s="1"/>
  <c r="BE44" i="11" s="1"/>
  <c r="CB64" i="11"/>
  <c r="CC64" i="11" s="1"/>
  <c r="BT52" i="11"/>
  <c r="BU52" i="11" s="1"/>
  <c r="CB50" i="11"/>
  <c r="CC50" i="11" s="1"/>
  <c r="BV69" i="11"/>
  <c r="BW69" i="11" s="1"/>
  <c r="BL76" i="11"/>
  <c r="BM76" i="11" s="1"/>
  <c r="BT67" i="11"/>
  <c r="BU67" i="11" s="1"/>
  <c r="BZ9" i="9"/>
  <c r="CA9" i="9" s="1"/>
  <c r="CB56" i="11"/>
  <c r="CC56" i="11" s="1"/>
  <c r="CB59" i="11"/>
  <c r="CC59" i="11" s="1"/>
  <c r="BN35" i="11"/>
  <c r="BO35" i="11" s="1"/>
  <c r="BZ66" i="11"/>
  <c r="CA66" i="11" s="1"/>
  <c r="BV71" i="11"/>
  <c r="BW71" i="11" s="1"/>
  <c r="BT58" i="9"/>
  <c r="BU58" i="9" s="1"/>
  <c r="BW58" i="9" s="1"/>
  <c r="BZ75" i="11"/>
  <c r="CA75" i="11" s="1"/>
  <c r="CB74" i="11"/>
  <c r="CC74" i="11" s="1"/>
  <c r="BT57" i="11"/>
  <c r="BU57" i="11" s="1"/>
  <c r="CB43" i="11"/>
  <c r="CC43" i="11" s="1"/>
  <c r="BV8" i="11"/>
  <c r="BW8" i="11" s="1"/>
  <c r="BP27" i="10"/>
  <c r="BQ27" i="10" s="1"/>
  <c r="CB61" i="11"/>
  <c r="CC61" i="11" s="1"/>
  <c r="BP70" i="11"/>
  <c r="BQ70" i="11" s="1"/>
  <c r="BP35" i="11" l="1"/>
  <c r="BQ35" i="11" s="1"/>
  <c r="BV57" i="11"/>
  <c r="BW57" i="11" s="1"/>
  <c r="BN76" i="11"/>
  <c r="BO76" i="11" s="1"/>
  <c r="BR48" i="10"/>
  <c r="BS48" i="10" s="1"/>
  <c r="BZ13" i="11"/>
  <c r="CA13" i="11" s="1"/>
  <c r="BZ33" i="11"/>
  <c r="CA33" i="11" s="1"/>
  <c r="BT60" i="10"/>
  <c r="BU60" i="10" s="1"/>
  <c r="BL55" i="10"/>
  <c r="BM55" i="10" s="1"/>
  <c r="BF36" i="11"/>
  <c r="BG36" i="11" s="1"/>
  <c r="BX49" i="9"/>
  <c r="BY49" i="9" s="1"/>
  <c r="CB29" i="11"/>
  <c r="CC29" i="11" s="1"/>
  <c r="BR27" i="10"/>
  <c r="BS27" i="10" s="1"/>
  <c r="BV52" i="11"/>
  <c r="BW52" i="11" s="1"/>
  <c r="BV19" i="11"/>
  <c r="BW19" i="11" s="1"/>
  <c r="BX8" i="11"/>
  <c r="BY8" i="11" s="1"/>
  <c r="CB9" i="9"/>
  <c r="CC9" i="9" s="1"/>
  <c r="BE9" i="10" s="1"/>
  <c r="BZ21" i="11"/>
  <c r="CA21" i="11" s="1"/>
  <c r="BR80" i="10"/>
  <c r="BS80" i="10" s="1"/>
  <c r="BV67" i="11"/>
  <c r="BW67" i="11" s="1"/>
  <c r="BF44" i="11"/>
  <c r="BG44" i="11" s="1"/>
  <c r="BX78" i="9"/>
  <c r="BY78" i="9" s="1"/>
  <c r="BP28" i="11"/>
  <c r="BQ28" i="11" s="1"/>
  <c r="CB31" i="11"/>
  <c r="CC31" i="11" s="1"/>
  <c r="BV47" i="10"/>
  <c r="BW47" i="10" s="1"/>
  <c r="BX26" i="10"/>
  <c r="BY26" i="10" s="1"/>
  <c r="CB75" i="11"/>
  <c r="CC75" i="11" s="1"/>
  <c r="BX71" i="11"/>
  <c r="BY71" i="11" s="1"/>
  <c r="BX69" i="11"/>
  <c r="BY69" i="11" s="1"/>
  <c r="BX42" i="10"/>
  <c r="BY42" i="10" s="1"/>
  <c r="CB66" i="11"/>
  <c r="CC66" i="11" s="1"/>
  <c r="BH46" i="11"/>
  <c r="BI46" i="11" s="1"/>
  <c r="BZ4" i="11"/>
  <c r="CA4" i="11" s="1"/>
  <c r="BR70" i="11"/>
  <c r="BS70" i="11" s="1"/>
  <c r="BX58" i="9"/>
  <c r="BY58" i="9" s="1"/>
  <c r="BP79" i="10"/>
  <c r="BQ79" i="10" s="1"/>
  <c r="BT77" i="9"/>
  <c r="BU77" i="9" s="1"/>
  <c r="BV25" i="11"/>
  <c r="BW25" i="11" s="1"/>
  <c r="BX65" i="9"/>
  <c r="BY65" i="9" s="1"/>
  <c r="BX68" i="11"/>
  <c r="BY68" i="11" s="1"/>
  <c r="CB4" i="11" l="1"/>
  <c r="CC4" i="11" s="1"/>
  <c r="BN55" i="10"/>
  <c r="BO55" i="10" s="1"/>
  <c r="BX25" i="11"/>
  <c r="BY25" i="11" s="1"/>
  <c r="BZ42" i="10"/>
  <c r="CA42" i="10" s="1"/>
  <c r="BZ26" i="10"/>
  <c r="CA26" i="10" s="1"/>
  <c r="BT80" i="10"/>
  <c r="BU80" i="10" s="1"/>
  <c r="BV60" i="10"/>
  <c r="BW60" i="10" s="1"/>
  <c r="BP76" i="11"/>
  <c r="BQ76" i="11" s="1"/>
  <c r="BZ69" i="11"/>
  <c r="CA69" i="11" s="1"/>
  <c r="CB33" i="11"/>
  <c r="CC33" i="11" s="1"/>
  <c r="BV77" i="9"/>
  <c r="BW77" i="9" s="1"/>
  <c r="BR28" i="11"/>
  <c r="BS28" i="11" s="1"/>
  <c r="CB21" i="11"/>
  <c r="CC21" i="11" s="1"/>
  <c r="BZ49" i="9"/>
  <c r="CA49" i="9" s="1"/>
  <c r="BR79" i="10"/>
  <c r="BS79" i="10" s="1"/>
  <c r="BZ71" i="11"/>
  <c r="CA71" i="11" s="1"/>
  <c r="BX19" i="11"/>
  <c r="BY19" i="11" s="1"/>
  <c r="BH36" i="11"/>
  <c r="BI36" i="11" s="1"/>
  <c r="CB13" i="11"/>
  <c r="CC13" i="11" s="1"/>
  <c r="BZ65" i="9"/>
  <c r="CA65" i="9" s="1"/>
  <c r="BT48" i="10"/>
  <c r="BU48" i="10" s="1"/>
  <c r="BR35" i="11"/>
  <c r="BS35" i="11" s="1"/>
  <c r="BZ68" i="11"/>
  <c r="CA68" i="11" s="1"/>
  <c r="BJ46" i="11"/>
  <c r="BK46" i="11" s="1"/>
  <c r="BZ78" i="9"/>
  <c r="CA78" i="9" s="1"/>
  <c r="BX47" i="10"/>
  <c r="BY47" i="10" s="1"/>
  <c r="BT27" i="10"/>
  <c r="BU27" i="10" s="1"/>
  <c r="BX57" i="11"/>
  <c r="BY57" i="11" s="1"/>
  <c r="BZ58" i="9"/>
  <c r="CA58" i="9" s="1"/>
  <c r="BH44" i="11"/>
  <c r="BI44" i="11" s="1"/>
  <c r="BF9" i="10"/>
  <c r="BG9" i="10" s="1"/>
  <c r="BT70" i="11"/>
  <c r="BU70" i="11" s="1"/>
  <c r="BX67" i="11"/>
  <c r="BY67" i="11" s="1"/>
  <c r="BZ8" i="11"/>
  <c r="CA8" i="11" s="1"/>
  <c r="BX52" i="11"/>
  <c r="BY52" i="11" s="1"/>
  <c r="BH9" i="10" l="1"/>
  <c r="BI9" i="10" s="1"/>
  <c r="BZ67" i="11"/>
  <c r="CA67" i="11" s="1"/>
  <c r="BV70" i="11"/>
  <c r="BW70" i="11" s="1"/>
  <c r="BV27" i="10"/>
  <c r="BW27" i="10" s="1"/>
  <c r="BV48" i="10"/>
  <c r="BW48" i="10" s="1"/>
  <c r="BJ36" i="11"/>
  <c r="BK36" i="11" s="1"/>
  <c r="BT79" i="10"/>
  <c r="BU79" i="10" s="1"/>
  <c r="BT28" i="11"/>
  <c r="BU28" i="11" s="1"/>
  <c r="BZ25" i="11"/>
  <c r="CA25" i="11" s="1"/>
  <c r="BZ47" i="10"/>
  <c r="CA47" i="10" s="1"/>
  <c r="CB65" i="9"/>
  <c r="CC65" i="9" s="1"/>
  <c r="BE65" i="10" s="1"/>
  <c r="BZ19" i="11"/>
  <c r="CA19" i="11" s="1"/>
  <c r="CB49" i="9"/>
  <c r="CC49" i="9" s="1"/>
  <c r="BE49" i="10" s="1"/>
  <c r="CB8" i="11"/>
  <c r="CC8" i="11" s="1"/>
  <c r="CB78" i="9"/>
  <c r="CC78" i="9" s="1"/>
  <c r="BE78" i="10" s="1"/>
  <c r="BT35" i="11"/>
  <c r="BU35" i="11" s="1"/>
  <c r="BV80" i="10"/>
  <c r="BW80" i="10" s="1"/>
  <c r="CB58" i="9"/>
  <c r="CC58" i="9" s="1"/>
  <c r="BE58" i="10" s="1"/>
  <c r="BZ57" i="11"/>
  <c r="CA57" i="11" s="1"/>
  <c r="CB71" i="11"/>
  <c r="CC71" i="11" s="1"/>
  <c r="BR76" i="11"/>
  <c r="BS76" i="11" s="1"/>
  <c r="CB42" i="10"/>
  <c r="CC42" i="10" s="1"/>
  <c r="BE42" i="11" s="1"/>
  <c r="BP55" i="10"/>
  <c r="BQ55" i="10" s="1"/>
  <c r="BJ44" i="11"/>
  <c r="BK44" i="11" s="1"/>
  <c r="BL46" i="11"/>
  <c r="BM46" i="11" s="1"/>
  <c r="BZ52" i="11"/>
  <c r="CA52" i="11" s="1"/>
  <c r="CB68" i="11"/>
  <c r="CC68" i="11" s="1"/>
  <c r="BX77" i="9"/>
  <c r="BY77" i="9" s="1"/>
  <c r="CB69" i="11"/>
  <c r="CC69" i="11" s="1"/>
  <c r="BX60" i="10"/>
  <c r="BY60" i="10" s="1"/>
  <c r="CB26" i="10"/>
  <c r="CC26" i="10" s="1"/>
  <c r="BE26" i="11" s="1"/>
  <c r="BR55" i="10" l="1"/>
  <c r="BS55" i="10" s="1"/>
  <c r="BF26" i="11"/>
  <c r="BG26" i="11" s="1"/>
  <c r="BF49" i="10"/>
  <c r="BG49" i="10" s="1"/>
  <c r="CB25" i="11"/>
  <c r="CC25" i="11" s="1"/>
  <c r="BL36" i="11"/>
  <c r="BM36" i="11" s="1"/>
  <c r="BZ60" i="10"/>
  <c r="CA60" i="10" s="1"/>
  <c r="BF58" i="10"/>
  <c r="BG58" i="10" s="1"/>
  <c r="CB19" i="11"/>
  <c r="CC19" i="11" s="1"/>
  <c r="BF65" i="10"/>
  <c r="BG65" i="10" s="1"/>
  <c r="BZ77" i="9"/>
  <c r="CA77" i="9" s="1"/>
  <c r="BN46" i="11"/>
  <c r="BO46" i="11" s="1"/>
  <c r="BF42" i="11"/>
  <c r="BG42" i="11" s="1"/>
  <c r="CB47" i="10"/>
  <c r="CC47" i="10" s="1"/>
  <c r="BE47" i="11" s="1"/>
  <c r="BV79" i="10"/>
  <c r="BW79" i="10" s="1"/>
  <c r="BX27" i="10"/>
  <c r="BY27" i="10" s="1"/>
  <c r="BV35" i="11"/>
  <c r="BW35" i="11" s="1"/>
  <c r="BJ9" i="10"/>
  <c r="BK9" i="10" s="1"/>
  <c r="CB57" i="11"/>
  <c r="CC57" i="11" s="1"/>
  <c r="BX80" i="10"/>
  <c r="BY80" i="10" s="1"/>
  <c r="CB67" i="11"/>
  <c r="CC67" i="11" s="1"/>
  <c r="CB52" i="11"/>
  <c r="CC52" i="11" s="1"/>
  <c r="BL44" i="11"/>
  <c r="BM44" i="11" s="1"/>
  <c r="BV28" i="11"/>
  <c r="BW28" i="11" s="1"/>
  <c r="BT76" i="11"/>
  <c r="BU76" i="11" s="1"/>
  <c r="BF78" i="10"/>
  <c r="BG78" i="10" s="1"/>
  <c r="BX48" i="10"/>
  <c r="BY48" i="10" s="1"/>
  <c r="BX70" i="11"/>
  <c r="BY70" i="11" s="1"/>
  <c r="BZ48" i="10" l="1"/>
  <c r="CA48" i="10" s="1"/>
  <c r="BN44" i="11"/>
  <c r="BO44" i="11" s="1"/>
  <c r="BZ80" i="10"/>
  <c r="CA80" i="10" s="1"/>
  <c r="BX35" i="11"/>
  <c r="BY35" i="11" s="1"/>
  <c r="BF47" i="11"/>
  <c r="BG47" i="11" s="1"/>
  <c r="BZ27" i="10"/>
  <c r="CA27" i="10" s="1"/>
  <c r="BH49" i="10"/>
  <c r="BI49" i="10" s="1"/>
  <c r="BV76" i="11"/>
  <c r="BW76" i="11" s="1"/>
  <c r="BN36" i="11"/>
  <c r="BO36" i="11" s="1"/>
  <c r="BH26" i="11"/>
  <c r="BI26" i="11" s="1"/>
  <c r="BX28" i="11"/>
  <c r="BY28" i="11" s="1"/>
  <c r="BH65" i="10"/>
  <c r="BI65" i="10" s="1"/>
  <c r="BT55" i="10"/>
  <c r="BU55" i="10" s="1"/>
  <c r="BZ70" i="11"/>
  <c r="CA70" i="11" s="1"/>
  <c r="BH42" i="11"/>
  <c r="BI42" i="11" s="1"/>
  <c r="CB60" i="10"/>
  <c r="CC60" i="10" s="1"/>
  <c r="BE60" i="11" s="1"/>
  <c r="BX79" i="10"/>
  <c r="BY79" i="10" s="1"/>
  <c r="CB77" i="9"/>
  <c r="CC77" i="9" s="1"/>
  <c r="BE77" i="10" s="1"/>
  <c r="BH78" i="10"/>
  <c r="BI78" i="10" s="1"/>
  <c r="BL9" i="10"/>
  <c r="BM9" i="10" s="1"/>
  <c r="BP46" i="11"/>
  <c r="BQ46" i="11" s="1"/>
  <c r="BH58" i="10"/>
  <c r="BI58" i="10" s="1"/>
  <c r="BN9" i="10" l="1"/>
  <c r="BO9" i="10" s="1"/>
  <c r="BJ26" i="11"/>
  <c r="BK26" i="11" s="1"/>
  <c r="BJ49" i="10"/>
  <c r="BK49" i="10" s="1"/>
  <c r="BJ58" i="10"/>
  <c r="BK58" i="10" s="1"/>
  <c r="BJ78" i="10"/>
  <c r="BK78" i="10" s="1"/>
  <c r="BJ42" i="11"/>
  <c r="BK42" i="11" s="1"/>
  <c r="BJ65" i="10"/>
  <c r="BK65" i="10" s="1"/>
  <c r="BP36" i="11"/>
  <c r="BQ36" i="11" s="1"/>
  <c r="CB80" i="10"/>
  <c r="CC80" i="10" s="1"/>
  <c r="BE80" i="11" s="1"/>
  <c r="BV55" i="10"/>
  <c r="BW55" i="10" s="1"/>
  <c r="BF77" i="10"/>
  <c r="BG77" i="10" s="1"/>
  <c r="BZ79" i="10"/>
  <c r="CA79" i="10" s="1"/>
  <c r="BH47" i="11"/>
  <c r="BI47" i="11" s="1"/>
  <c r="BF60" i="11"/>
  <c r="BG60" i="11" s="1"/>
  <c r="BZ35" i="11"/>
  <c r="CA35" i="11" s="1"/>
  <c r="CB48" i="10"/>
  <c r="CC48" i="10" s="1"/>
  <c r="BE48" i="11" s="1"/>
  <c r="BZ28" i="11"/>
  <c r="CA28" i="11" s="1"/>
  <c r="CB70" i="11"/>
  <c r="CC70" i="11" s="1"/>
  <c r="BX76" i="11"/>
  <c r="BY76" i="11" s="1"/>
  <c r="BP44" i="11"/>
  <c r="BQ44" i="11" s="1"/>
  <c r="CB27" i="10"/>
  <c r="CC27" i="10" s="1"/>
  <c r="BE27" i="11" s="1"/>
  <c r="BR46" i="11"/>
  <c r="BS46" i="11" s="1"/>
  <c r="CB28" i="11" l="1"/>
  <c r="CC28" i="11" s="1"/>
  <c r="BH77" i="10"/>
  <c r="BI77" i="10" s="1"/>
  <c r="BL78" i="10"/>
  <c r="BM78" i="10" s="1"/>
  <c r="BF27" i="11"/>
  <c r="BG27" i="11" s="1"/>
  <c r="BF48" i="11"/>
  <c r="BG48" i="11" s="1"/>
  <c r="BL65" i="10"/>
  <c r="BM65" i="10" s="1"/>
  <c r="BL58" i="10"/>
  <c r="BM58" i="10" s="1"/>
  <c r="CB35" i="11"/>
  <c r="CC35" i="11" s="1"/>
  <c r="BL49" i="10"/>
  <c r="BM49" i="10" s="1"/>
  <c r="CB79" i="10"/>
  <c r="CC79" i="10" s="1"/>
  <c r="BE79" i="11" s="1"/>
  <c r="BF80" i="11"/>
  <c r="BG80" i="11" s="1"/>
  <c r="BL26" i="11"/>
  <c r="BM26" i="11" s="1"/>
  <c r="BR36" i="11"/>
  <c r="BS36" i="11" s="1"/>
  <c r="BP9" i="10"/>
  <c r="BQ9" i="10" s="1"/>
  <c r="BZ76" i="11"/>
  <c r="CA76" i="11" s="1"/>
  <c r="BJ47" i="11"/>
  <c r="BK47" i="11" s="1"/>
  <c r="BR44" i="11"/>
  <c r="BS44" i="11" s="1"/>
  <c r="BH60" i="11"/>
  <c r="BI60" i="11" s="1"/>
  <c r="BX55" i="10"/>
  <c r="BY55" i="10" s="1"/>
  <c r="BT46" i="11"/>
  <c r="BU46" i="11" s="1"/>
  <c r="BL42" i="11"/>
  <c r="BM42" i="11" s="1"/>
  <c r="BR9" i="10" l="1"/>
  <c r="BS9" i="10" s="1"/>
  <c r="BT36" i="11"/>
  <c r="BU36" i="11" s="1"/>
  <c r="BF79" i="11"/>
  <c r="BG79" i="11" s="1"/>
  <c r="BN58" i="10"/>
  <c r="BO58" i="10" s="1"/>
  <c r="BH27" i="11"/>
  <c r="BI27" i="11" s="1"/>
  <c r="BV46" i="11"/>
  <c r="BW46" i="11" s="1"/>
  <c r="BN49" i="10"/>
  <c r="BO49" i="10" s="1"/>
  <c r="BN65" i="10"/>
  <c r="BO65" i="10" s="1"/>
  <c r="BN78" i="10"/>
  <c r="BO78" i="10" s="1"/>
  <c r="BZ55" i="10"/>
  <c r="CA55" i="10" s="1"/>
  <c r="BJ77" i="10"/>
  <c r="BK77" i="10" s="1"/>
  <c r="BH80" i="11"/>
  <c r="BI80" i="11" s="1"/>
  <c r="BN42" i="11"/>
  <c r="BO42" i="11" s="1"/>
  <c r="BT44" i="11"/>
  <c r="BU44" i="11" s="1"/>
  <c r="CB76" i="11"/>
  <c r="CC76" i="11" s="1"/>
  <c r="BH48" i="11"/>
  <c r="BI48" i="11" s="1"/>
  <c r="BJ60" i="11"/>
  <c r="BK60" i="11" s="1"/>
  <c r="BL47" i="11"/>
  <c r="BM47" i="11" s="1"/>
  <c r="BN26" i="11"/>
  <c r="BO26" i="11" s="1"/>
  <c r="CB55" i="10" l="1"/>
  <c r="CC55" i="10" s="1"/>
  <c r="BE55" i="11" s="1"/>
  <c r="BP26" i="11"/>
  <c r="BQ26" i="11" s="1"/>
  <c r="BV44" i="11"/>
  <c r="BW44" i="11" s="1"/>
  <c r="BN47" i="11"/>
  <c r="BO47" i="11" s="1"/>
  <c r="BL77" i="10"/>
  <c r="BM77" i="10" s="1"/>
  <c r="BJ27" i="11"/>
  <c r="BK27" i="11" s="1"/>
  <c r="BP78" i="10"/>
  <c r="BQ78" i="10" s="1"/>
  <c r="BP58" i="10"/>
  <c r="BQ58" i="10" s="1"/>
  <c r="BT9" i="10"/>
  <c r="BU9" i="10" s="1"/>
  <c r="BL60" i="11"/>
  <c r="BM60" i="11" s="1"/>
  <c r="BP42" i="11"/>
  <c r="BQ42" i="11" s="1"/>
  <c r="BP49" i="10"/>
  <c r="BQ49" i="10" s="1"/>
  <c r="BJ48" i="11"/>
  <c r="BK48" i="11" s="1"/>
  <c r="BV36" i="11"/>
  <c r="BW36" i="11" s="1"/>
  <c r="BJ80" i="11"/>
  <c r="BK80" i="11" s="1"/>
  <c r="BP65" i="10"/>
  <c r="BQ65" i="10" s="1"/>
  <c r="BX46" i="11"/>
  <c r="BY46" i="11" s="1"/>
  <c r="BH79" i="11"/>
  <c r="BI79" i="11" s="1"/>
  <c r="BR49" i="10" l="1"/>
  <c r="BS49" i="10" s="1"/>
  <c r="BN77" i="10"/>
  <c r="BO77" i="10" s="1"/>
  <c r="BR65" i="10"/>
  <c r="BS65" i="10" s="1"/>
  <c r="BF55" i="11"/>
  <c r="BG55" i="11" s="1"/>
  <c r="BL27" i="11"/>
  <c r="BM27" i="11" s="1"/>
  <c r="BV9" i="10"/>
  <c r="BW9" i="10" s="1"/>
  <c r="BX36" i="11"/>
  <c r="BY36" i="11" s="1"/>
  <c r="BR42" i="11"/>
  <c r="BS42" i="11" s="1"/>
  <c r="BR58" i="10"/>
  <c r="BS58" i="10" s="1"/>
  <c r="BR26" i="11"/>
  <c r="BS26" i="11" s="1"/>
  <c r="BR78" i="10"/>
  <c r="BS78" i="10" s="1"/>
  <c r="BL80" i="11"/>
  <c r="BM80" i="11" s="1"/>
  <c r="BL48" i="11"/>
  <c r="BM48" i="11" s="1"/>
  <c r="BN60" i="11"/>
  <c r="BO60" i="11" s="1"/>
  <c r="BP47" i="11"/>
  <c r="BQ47" i="11" s="1"/>
  <c r="BJ79" i="11"/>
  <c r="BK79" i="11" s="1"/>
  <c r="BZ46" i="11"/>
  <c r="CA46" i="11" s="1"/>
  <c r="BX44" i="11"/>
  <c r="BY44" i="11" s="1"/>
  <c r="BZ36" i="11" l="1"/>
  <c r="CA36" i="11" s="1"/>
  <c r="BT58" i="10"/>
  <c r="BU58" i="10" s="1"/>
  <c r="BX9" i="10"/>
  <c r="BY9" i="10" s="1"/>
  <c r="BT65" i="10"/>
  <c r="BU65" i="10" s="1"/>
  <c r="BT26" i="11"/>
  <c r="BU26" i="11" s="1"/>
  <c r="BN27" i="11"/>
  <c r="BO27" i="11" s="1"/>
  <c r="BT78" i="10"/>
  <c r="BU78" i="10" s="1"/>
  <c r="BT49" i="10"/>
  <c r="BU49" i="10" s="1"/>
  <c r="BZ44" i="11"/>
  <c r="CA44" i="11" s="1"/>
  <c r="BN80" i="11"/>
  <c r="BO80" i="11" s="1"/>
  <c r="CB46" i="11"/>
  <c r="CC46" i="11" s="1"/>
  <c r="BL79" i="11"/>
  <c r="BM79" i="11" s="1"/>
  <c r="BH55" i="11"/>
  <c r="BI55" i="11" s="1"/>
  <c r="BP77" i="10"/>
  <c r="BQ77" i="10" s="1"/>
  <c r="BP60" i="11"/>
  <c r="BQ60" i="11" s="1"/>
  <c r="BT42" i="11"/>
  <c r="BU42" i="11" s="1"/>
  <c r="BR47" i="11"/>
  <c r="BS47" i="11" s="1"/>
  <c r="BN48" i="11"/>
  <c r="BO48" i="11" s="1"/>
  <c r="BV58" i="10" l="1"/>
  <c r="BW58" i="10" s="1"/>
  <c r="BV42" i="11"/>
  <c r="BW42" i="11" s="1"/>
  <c r="BV49" i="10"/>
  <c r="BW49" i="10" s="1"/>
  <c r="CB36" i="11"/>
  <c r="CC36" i="11" s="1"/>
  <c r="BR60" i="11"/>
  <c r="BS60" i="11" s="1"/>
  <c r="BP80" i="11"/>
  <c r="BQ80" i="11" s="1"/>
  <c r="BV78" i="10"/>
  <c r="BW78" i="10" s="1"/>
  <c r="BV65" i="10"/>
  <c r="BW65" i="10" s="1"/>
  <c r="BT47" i="11"/>
  <c r="BU47" i="11" s="1"/>
  <c r="BR77" i="10"/>
  <c r="BS77" i="10" s="1"/>
  <c r="BP27" i="11"/>
  <c r="BQ27" i="11" s="1"/>
  <c r="BZ9" i="10"/>
  <c r="CA9" i="10" s="1"/>
  <c r="BN79" i="11"/>
  <c r="BO79" i="11" s="1"/>
  <c r="BV26" i="11"/>
  <c r="BW26" i="11" s="1"/>
  <c r="BP48" i="11"/>
  <c r="BQ48" i="11" s="1"/>
  <c r="BJ55" i="11"/>
  <c r="BK55" i="11" s="1"/>
  <c r="CB44" i="11"/>
  <c r="CC44" i="11" s="1"/>
  <c r="BT60" i="11" l="1"/>
  <c r="BU60" i="11" s="1"/>
  <c r="BX42" i="11"/>
  <c r="BY42" i="11" s="1"/>
  <c r="BT77" i="10"/>
  <c r="BU77" i="10" s="1"/>
  <c r="BX78" i="10"/>
  <c r="BY78" i="10" s="1"/>
  <c r="BX58" i="10"/>
  <c r="BY58" i="10" s="1"/>
  <c r="BL55" i="11"/>
  <c r="BM55" i="11" s="1"/>
  <c r="BP79" i="11"/>
  <c r="BQ79" i="11" s="1"/>
  <c r="BV47" i="11"/>
  <c r="BW47" i="11" s="1"/>
  <c r="BR27" i="11"/>
  <c r="BS27" i="11" s="1"/>
  <c r="BR48" i="11"/>
  <c r="BS48" i="11" s="1"/>
  <c r="CB9" i="10"/>
  <c r="CC9" i="10" s="1"/>
  <c r="BE9" i="11" s="1"/>
  <c r="BX26" i="11"/>
  <c r="BY26" i="11" s="1"/>
  <c r="BX49" i="10"/>
  <c r="BY49" i="10" s="1"/>
  <c r="BX65" i="10"/>
  <c r="BY65" i="10" s="1"/>
  <c r="BR80" i="11"/>
  <c r="BS80" i="11" s="1"/>
  <c r="BT80" i="11" l="1"/>
  <c r="BU80" i="11" s="1"/>
  <c r="BZ42" i="11"/>
  <c r="CA42" i="11" s="1"/>
  <c r="BZ65" i="10"/>
  <c r="CA65" i="10" s="1"/>
  <c r="BR79" i="11"/>
  <c r="BS79" i="11" s="1"/>
  <c r="BZ78" i="10"/>
  <c r="CA78" i="10" s="1"/>
  <c r="BN55" i="11"/>
  <c r="BO55" i="11" s="1"/>
  <c r="BZ26" i="11"/>
  <c r="CA26" i="11" s="1"/>
  <c r="BZ49" i="10"/>
  <c r="CA49" i="10" s="1"/>
  <c r="BV77" i="10"/>
  <c r="BW77" i="10" s="1"/>
  <c r="BF9" i="11"/>
  <c r="BG9" i="11" s="1"/>
  <c r="BT27" i="11"/>
  <c r="BU27" i="11" s="1"/>
  <c r="BZ58" i="10"/>
  <c r="CA58" i="10" s="1"/>
  <c r="BV60" i="11"/>
  <c r="BW60" i="11" s="1"/>
  <c r="BT48" i="11"/>
  <c r="BU48" i="11" s="1"/>
  <c r="BX47" i="11"/>
  <c r="BY47" i="11" s="1"/>
  <c r="BX60" i="11" l="1"/>
  <c r="BY60" i="11" s="1"/>
  <c r="CB78" i="10"/>
  <c r="CC78" i="10" s="1"/>
  <c r="BE78" i="11" s="1"/>
  <c r="CB42" i="11"/>
  <c r="CC42" i="11" s="1"/>
  <c r="BH9" i="11"/>
  <c r="BI9" i="11" s="1"/>
  <c r="BT79" i="11"/>
  <c r="BU79" i="11" s="1"/>
  <c r="BV80" i="11"/>
  <c r="BW80" i="11" s="1"/>
  <c r="BX77" i="10"/>
  <c r="BY77" i="10" s="1"/>
  <c r="BV48" i="11"/>
  <c r="BW48" i="11" s="1"/>
  <c r="CB49" i="10"/>
  <c r="CC49" i="10" s="1"/>
  <c r="BE49" i="11" s="1"/>
  <c r="BZ47" i="11"/>
  <c r="CA47" i="11" s="1"/>
  <c r="BV27" i="11"/>
  <c r="BW27" i="11" s="1"/>
  <c r="CB26" i="11"/>
  <c r="CC26" i="11" s="1"/>
  <c r="CB65" i="10"/>
  <c r="CC65" i="10" s="1"/>
  <c r="BE65" i="11" s="1"/>
  <c r="CB58" i="10"/>
  <c r="CC58" i="10" s="1"/>
  <c r="BE58" i="11" s="1"/>
  <c r="BP55" i="11"/>
  <c r="BQ55" i="11" s="1"/>
  <c r="BR55" i="11" l="1"/>
  <c r="BS55" i="11" s="1"/>
  <c r="BX80" i="11"/>
  <c r="BY80" i="11" s="1"/>
  <c r="BF58" i="11"/>
  <c r="BG58" i="11" s="1"/>
  <c r="BV79" i="11"/>
  <c r="BW79" i="11" s="1"/>
  <c r="BJ9" i="11"/>
  <c r="BK9" i="11" s="1"/>
  <c r="BF78" i="11"/>
  <c r="BG78" i="11" s="1"/>
  <c r="BZ60" i="11"/>
  <c r="CA60" i="11" s="1"/>
  <c r="BF65" i="11"/>
  <c r="BG65" i="11" s="1"/>
  <c r="BX27" i="11"/>
  <c r="BY27" i="11" s="1"/>
  <c r="BF49" i="11"/>
  <c r="BG49" i="11" s="1"/>
  <c r="BZ77" i="10"/>
  <c r="CA77" i="10" s="1"/>
  <c r="CB47" i="11"/>
  <c r="CC47" i="11" s="1"/>
  <c r="BX48" i="11"/>
  <c r="BY48" i="11" s="1"/>
  <c r="BH65" i="11" l="1"/>
  <c r="BI65" i="11" s="1"/>
  <c r="BL9" i="11"/>
  <c r="BM9" i="11" s="1"/>
  <c r="BH49" i="11"/>
  <c r="BI49" i="11" s="1"/>
  <c r="BZ27" i="11"/>
  <c r="CA27" i="11" s="1"/>
  <c r="BH78" i="11"/>
  <c r="BI78" i="11" s="1"/>
  <c r="BZ80" i="11"/>
  <c r="CA80" i="11" s="1"/>
  <c r="CB77" i="10"/>
  <c r="CC77" i="10" s="1"/>
  <c r="BE77" i="11" s="1"/>
  <c r="BX79" i="11"/>
  <c r="BY79" i="11" s="1"/>
  <c r="CB60" i="11"/>
  <c r="CC60" i="11" s="1"/>
  <c r="BZ48" i="11"/>
  <c r="CA48" i="11" s="1"/>
  <c r="BH58" i="11"/>
  <c r="BI58" i="11" s="1"/>
  <c r="BT55" i="11"/>
  <c r="BU55" i="11" s="1"/>
  <c r="BF77" i="11" l="1"/>
  <c r="BG77" i="11" s="1"/>
  <c r="BJ65" i="11"/>
  <c r="BK65" i="11" s="1"/>
  <c r="CB27" i="11"/>
  <c r="CC27" i="11" s="1"/>
  <c r="BJ49" i="11"/>
  <c r="BK49" i="11" s="1"/>
  <c r="BV55" i="11"/>
  <c r="BW55" i="11" s="1"/>
  <c r="BN9" i="11"/>
  <c r="BO9" i="11" s="1"/>
  <c r="BJ58" i="11"/>
  <c r="BK58" i="11" s="1"/>
  <c r="CB48" i="11"/>
  <c r="CC48" i="11" s="1"/>
  <c r="CB80" i="11"/>
  <c r="CC80" i="11" s="1"/>
  <c r="BZ79" i="11"/>
  <c r="CA79" i="11" s="1"/>
  <c r="BJ78" i="11"/>
  <c r="BK78" i="11" s="1"/>
  <c r="BL78" i="11" l="1"/>
  <c r="BM78" i="11" s="1"/>
  <c r="BL58" i="11"/>
  <c r="BM58" i="11" s="1"/>
  <c r="CB79" i="11"/>
  <c r="CC79" i="11" s="1"/>
  <c r="BP9" i="11"/>
  <c r="BQ9" i="11" s="1"/>
  <c r="BX55" i="11"/>
  <c r="BY55" i="11" s="1"/>
  <c r="BH77" i="11"/>
  <c r="BI77" i="11" s="1"/>
  <c r="BL49" i="11"/>
  <c r="BM49" i="11" s="1"/>
  <c r="BL65" i="11"/>
  <c r="BM65" i="11" s="1"/>
  <c r="BN65" i="11" l="1"/>
  <c r="BO65" i="11" s="1"/>
  <c r="BR9" i="11"/>
  <c r="BS9" i="11" s="1"/>
  <c r="BN49" i="11"/>
  <c r="BO49" i="11" s="1"/>
  <c r="BJ77" i="11"/>
  <c r="BK77" i="11" s="1"/>
  <c r="BZ55" i="11"/>
  <c r="CA55" i="11" s="1"/>
  <c r="BN78" i="11"/>
  <c r="BO78" i="11" s="1"/>
  <c r="BN58" i="11"/>
  <c r="BO58" i="11" s="1"/>
  <c r="CB55" i="11" l="1"/>
  <c r="CC55" i="11" s="1"/>
  <c r="BP58" i="11"/>
  <c r="BQ58" i="11" s="1"/>
  <c r="BP65" i="11"/>
  <c r="BQ65" i="11" s="1"/>
  <c r="BP49" i="11"/>
  <c r="BQ49" i="11" s="1"/>
  <c r="BT9" i="11"/>
  <c r="BU9" i="11" s="1"/>
  <c r="BP78" i="11"/>
  <c r="BQ78" i="11" s="1"/>
  <c r="BL77" i="11"/>
  <c r="BM77" i="11" s="1"/>
  <c r="BN77" i="11" l="1"/>
  <c r="BO77" i="11" s="1"/>
  <c r="BR78" i="11"/>
  <c r="BS78" i="11" s="1"/>
  <c r="BV9" i="11"/>
  <c r="BW9" i="11" s="1"/>
  <c r="BR58" i="11"/>
  <c r="BS58" i="11" s="1"/>
  <c r="BR65" i="11"/>
  <c r="BS65" i="11" s="1"/>
  <c r="BR49" i="11"/>
  <c r="BS49" i="11" s="1"/>
  <c r="BX9" i="11" l="1"/>
  <c r="BY9" i="11" s="1"/>
  <c r="BP77" i="11"/>
  <c r="BQ77" i="11" s="1"/>
  <c r="BT65" i="11"/>
  <c r="BU65" i="11" s="1"/>
  <c r="BT49" i="11"/>
  <c r="BU49" i="11" s="1"/>
  <c r="BT58" i="11"/>
  <c r="BU58" i="11" s="1"/>
  <c r="BT78" i="11"/>
  <c r="BU78" i="11" s="1"/>
  <c r="BV58" i="11" l="1"/>
  <c r="BW58" i="11" s="1"/>
  <c r="BZ9" i="11"/>
  <c r="CA9" i="11" s="1"/>
  <c r="BV65" i="11"/>
  <c r="BW65" i="11" s="1"/>
  <c r="BV78" i="11"/>
  <c r="BW78" i="11" s="1"/>
  <c r="BV49" i="11"/>
  <c r="BW49" i="11" s="1"/>
  <c r="BR77" i="11"/>
  <c r="BS77" i="11" s="1"/>
  <c r="BX65" i="11" l="1"/>
  <c r="BY65" i="11" s="1"/>
  <c r="BX49" i="11"/>
  <c r="BY49" i="11" s="1"/>
  <c r="BX58" i="11"/>
  <c r="BY58" i="11" s="1"/>
  <c r="CB9" i="11"/>
  <c r="CC9" i="11" s="1"/>
  <c r="BX78" i="11"/>
  <c r="BY78" i="11" s="1"/>
  <c r="BT77" i="11"/>
  <c r="BU77" i="11" s="1"/>
  <c r="BZ65" i="11" l="1"/>
  <c r="CA65" i="11" s="1"/>
  <c r="BZ58" i="11"/>
  <c r="CA58" i="11" s="1"/>
  <c r="BZ78" i="11"/>
  <c r="CA78" i="11" s="1"/>
  <c r="BV77" i="11"/>
  <c r="BW77" i="11" s="1"/>
  <c r="BZ49" i="11"/>
  <c r="CA49" i="11" s="1"/>
  <c r="CB65" i="11" l="1"/>
  <c r="CC65" i="11" s="1"/>
  <c r="CB78" i="11"/>
  <c r="CC78" i="11" s="1"/>
  <c r="CB49" i="11"/>
  <c r="CC49" i="11" s="1"/>
  <c r="BX77" i="11"/>
  <c r="BY77" i="11" s="1"/>
  <c r="CB58" i="11"/>
  <c r="CC58" i="11" s="1"/>
  <c r="BZ77" i="11" l="1"/>
  <c r="CA77" i="11" s="1"/>
  <c r="CB77" i="11" l="1"/>
  <c r="CC77" i="11" s="1"/>
</calcChain>
</file>

<file path=xl/comments1.xml><?xml version="1.0" encoding="utf-8"?>
<comments xmlns="http://schemas.openxmlformats.org/spreadsheetml/2006/main">
  <authors>
    <author>Lenovo</author>
  </authors>
  <commentList>
    <comment ref="G33" authorId="0" shapeId="0">
      <text>
        <r>
          <rPr>
            <b/>
            <sz val="9"/>
            <color indexed="81"/>
            <rFont val="Tahoma"/>
            <family val="2"/>
          </rPr>
          <t>Saiful:</t>
        </r>
        <r>
          <rPr>
            <sz val="9"/>
            <color indexed="81"/>
            <rFont val="Tahoma"/>
            <family val="2"/>
          </rPr>
          <t xml:space="preserve">
Loan Installment 2700</t>
        </r>
      </text>
    </comment>
    <comment ref="G35" authorId="0" shapeId="0">
      <text>
        <r>
          <rPr>
            <b/>
            <sz val="9"/>
            <color indexed="81"/>
            <rFont val="Tahoma"/>
            <family val="2"/>
          </rPr>
          <t>Saiful:
Loan Installment 27000</t>
        </r>
      </text>
    </comment>
    <comment ref="G4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Loan Payment 59000
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M4" authorId="0" shapeId="0">
      <text>
        <r>
          <rPr>
            <sz val="10"/>
            <rFont val="Arial"/>
            <family val="2"/>
          </rPr>
          <t xml:space="preserve">Saiful:
Annual Picnic Cost -2026
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R15" authorId="0" shapeId="0">
      <text>
        <r>
          <rPr>
            <sz val="10"/>
            <rFont val="Arial"/>
            <family val="2"/>
          </rPr>
          <t>Saiful
Advanced</t>
        </r>
      </text>
    </comment>
    <comment ref="R27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36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42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46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47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48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55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58" authorId="0" shapeId="0">
      <text>
        <r>
          <rPr>
            <sz val="10"/>
            <rFont val="Arial"/>
            <family val="2"/>
          </rPr>
          <t>Saiful
Advanced</t>
        </r>
      </text>
    </comment>
    <comment ref="R60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65" authorId="0" shapeId="0">
      <text>
        <r>
          <rPr>
            <sz val="10"/>
            <rFont val="Arial"/>
            <family val="2"/>
          </rPr>
          <t xml:space="preserve">Saiful:
Due
</t>
        </r>
      </text>
    </comment>
    <comment ref="R78" authorId="0" shapeId="0">
      <text>
        <r>
          <rPr>
            <sz val="10"/>
            <rFont val="Arial"/>
            <family val="2"/>
          </rPr>
          <t>Saiful
Advanced</t>
        </r>
      </text>
    </comment>
    <comment ref="R79" authorId="0" shapeId="0">
      <text>
        <r>
          <rPr>
            <sz val="10"/>
            <rFont val="Arial"/>
            <family val="2"/>
          </rPr>
          <t>Saiful
Advanced</t>
        </r>
      </text>
    </comment>
    <comment ref="R80" authorId="0" shapeId="0">
      <text>
        <r>
          <rPr>
            <sz val="10"/>
            <rFont val="Arial"/>
            <family val="2"/>
          </rPr>
          <t>Saiful
Advanced</t>
        </r>
      </text>
    </comment>
  </commentList>
</comments>
</file>

<file path=xl/comments4.xml><?xml version="1.0" encoding="utf-8"?>
<comments xmlns="http://schemas.openxmlformats.org/spreadsheetml/2006/main">
  <authors>
    <author>Unknown Author</author>
  </authors>
  <commentList>
    <comment ref="D6" authorId="0" shapeId="0">
      <text>
        <r>
          <rPr>
            <sz val="10"/>
            <rFont val="Arial"/>
            <family val="2"/>
          </rPr>
          <t>Saiful:
Mannualy Input</t>
        </r>
      </text>
    </comment>
  </commentList>
</comments>
</file>

<file path=xl/comments5.xml><?xml version="1.0" encoding="utf-8"?>
<comments xmlns="http://schemas.openxmlformats.org/spreadsheetml/2006/main">
  <authors>
    <author>Lenovo</author>
  </authors>
  <commentList>
    <comment ref="O5" authorId="0" shapeId="0">
      <text>
        <r>
          <rPr>
            <b/>
            <sz val="9"/>
            <color indexed="81"/>
            <rFont val="Tahoma"/>
            <family val="2"/>
          </rPr>
          <t>Saiful:</t>
        </r>
        <r>
          <rPr>
            <sz val="9"/>
            <color indexed="81"/>
            <rFont val="Tahoma"/>
            <family val="2"/>
          </rPr>
          <t xml:space="preserve">
03/11/2025 : 27000 (1st Installment)</t>
        </r>
      </text>
    </comment>
    <comment ref="O6" authorId="0" shapeId="0">
      <text>
        <r>
          <rPr>
            <b/>
            <sz val="9"/>
            <color indexed="81"/>
            <rFont val="Tahoma"/>
            <family val="2"/>
          </rPr>
          <t>Saiful:</t>
        </r>
        <r>
          <rPr>
            <sz val="9"/>
            <color indexed="81"/>
            <rFont val="Tahoma"/>
            <family val="2"/>
          </rPr>
          <t xml:space="preserve">
28/08/2025 : 2700 (1st Installment)</t>
        </r>
      </text>
    </comment>
    <comment ref="P9" authorId="0" shapeId="0">
      <text>
        <r>
          <rPr>
            <b/>
            <sz val="9"/>
            <color indexed="81"/>
            <rFont val="Tahoma"/>
            <family val="2"/>
          </rPr>
          <t>Saiful:</t>
        </r>
        <r>
          <rPr>
            <sz val="9"/>
            <color indexed="81"/>
            <rFont val="Tahoma"/>
            <family val="2"/>
          </rPr>
          <t xml:space="preserve">
Tk.1000 Discounted &amp; Approved.</t>
        </r>
      </text>
    </comment>
    <comment ref="P12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Tk.2500 Discounted &amp; Approved.</t>
        </r>
      </text>
    </comment>
  </commentList>
</comments>
</file>

<file path=xl/sharedStrings.xml><?xml version="1.0" encoding="utf-8"?>
<sst xmlns="http://schemas.openxmlformats.org/spreadsheetml/2006/main" count="1565" uniqueCount="372">
  <si>
    <t>🏛  LOHAGARA PROVATI YOUTH ORGANIZATION</t>
  </si>
  <si>
    <t>Kamar Pukur Par, Uzir Hat, Lohagara, Chittagong  ·  MANAGEMENT CONTROL DASHBOARD</t>
  </si>
  <si>
    <t>📊  KEY PERFORMANCE INDICATORS</t>
  </si>
  <si>
    <t>👥 Total Members</t>
  </si>
  <si>
    <t>📋 Total Shares</t>
  </si>
  <si>
    <t>💰 Per Share/Month</t>
  </si>
  <si>
    <t>📈 Expected Total</t>
  </si>
  <si>
    <t>✅ Regular Collection</t>
  </si>
  <si>
    <t>⏩ Advance Collection</t>
  </si>
  <si>
    <t>⏳ Due Collection</t>
  </si>
  <si>
    <t>⚠ Fine Collection</t>
  </si>
  <si>
    <t>🎫 Entry Fee (BDT)</t>
  </si>
  <si>
    <t>💸 Total Expenses</t>
  </si>
  <si>
    <t>🏦 Net Fund (BDT)</t>
  </si>
  <si>
    <t>📊 Reconciliation</t>
  </si>
  <si>
    <t>🏧 DPS Investment</t>
  </si>
  <si>
    <t>🏛 FDR Investment</t>
  </si>
  <si>
    <t>💳 Savings Balance</t>
  </si>
  <si>
    <t>🚗 CNG Receivable</t>
  </si>
  <si>
    <t>Advance</t>
  </si>
  <si>
    <t>Fine</t>
  </si>
  <si>
    <t>Expense</t>
  </si>
  <si>
    <t>2023</t>
  </si>
  <si>
    <t>2024</t>
  </si>
  <si>
    <t>2025</t>
  </si>
  <si>
    <t>GRAND TOTAL</t>
  </si>
  <si>
    <t>🗂  QUICK NAVIGATION  —  Click any button to jump to that sheet</t>
  </si>
  <si>
    <t>Lohagara Provati Youth Organization  ·  Dashboard v2.0  ·  Values auto-calculated from source sheets</t>
  </si>
  <si>
    <t>RECONCILIATION STATUS</t>
  </si>
  <si>
    <t>DPS Investment</t>
  </si>
  <si>
    <t>FDR Investment</t>
  </si>
  <si>
    <t>Savings Balance</t>
  </si>
  <si>
    <t>CNG Due</t>
  </si>
  <si>
    <t>Loan Due</t>
  </si>
  <si>
    <t>Lohagara Progoti Youth Organization
Kamar Pukur Par, Uzir Hat, Lohagara, Chittagong.</t>
  </si>
  <si>
    <t>Member ID</t>
  </si>
  <si>
    <t>Name</t>
  </si>
  <si>
    <t>Mobile Number</t>
  </si>
  <si>
    <t>Number of Shares</t>
  </si>
  <si>
    <t>Entry Fee
(Per Share Tk.100/=)</t>
  </si>
  <si>
    <t>Till Date Total Deposit</t>
  </si>
  <si>
    <t>Total Fine</t>
  </si>
  <si>
    <t>Grand Total</t>
  </si>
  <si>
    <t>Month</t>
  </si>
  <si>
    <t>Regular Deposit</t>
  </si>
  <si>
    <t>Due Collection</t>
  </si>
  <si>
    <t>CNG &amp; Other Installment  Collection</t>
  </si>
  <si>
    <t>Bank Deposit</t>
  </si>
  <si>
    <t>2023 Total</t>
  </si>
  <si>
    <t>2024 Total</t>
  </si>
  <si>
    <t>2025 Total</t>
  </si>
  <si>
    <t>2026 Total</t>
  </si>
  <si>
    <t>2027 Total</t>
  </si>
  <si>
    <t>2028 Total</t>
  </si>
  <si>
    <t>Description</t>
  </si>
  <si>
    <t>Expenses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</si>
  <si>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</si>
  <si>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</si>
  <si>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</si>
  <si>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</si>
  <si>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</si>
  <si>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</si>
  <si>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</si>
  <si>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</si>
  <si>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</si>
  <si>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</si>
  <si>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</si>
  <si>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</si>
  <si>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</si>
  <si>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Member ID.</t>
  </si>
  <si>
    <t>Total Deposit</t>
  </si>
  <si>
    <t>Monjurul Islam</t>
  </si>
  <si>
    <t>Saiful Islam</t>
  </si>
  <si>
    <t>Mohammad Tawhidul Islam</t>
  </si>
  <si>
    <t>Amanat Khan</t>
  </si>
  <si>
    <t>Nurunnabi Hosen Tanzid</t>
  </si>
  <si>
    <t>Jashim Uddin</t>
  </si>
  <si>
    <t>Shibu Sankar Karmaker</t>
  </si>
  <si>
    <t>Monsur</t>
  </si>
  <si>
    <t>Monjur Alam</t>
  </si>
  <si>
    <t>Rupal Kanti Karmaker</t>
  </si>
  <si>
    <t>Yousof</t>
  </si>
  <si>
    <t>Arjun Kanti Karmaker</t>
  </si>
  <si>
    <t>01813143128</t>
  </si>
  <si>
    <t>Abdul Jabber</t>
  </si>
  <si>
    <t>Mohammad Helal Uddin</t>
  </si>
  <si>
    <t>Abul Kashem</t>
  </si>
  <si>
    <t>Uzzal Karmaker</t>
  </si>
  <si>
    <t>Jahedul Islam</t>
  </si>
  <si>
    <t>Mohammad Alamgir</t>
  </si>
  <si>
    <t>Kafil Uddin</t>
  </si>
  <si>
    <t>Mohammudul Hoque</t>
  </si>
  <si>
    <t>Nurul Amin</t>
  </si>
  <si>
    <t>Belal Uddin</t>
  </si>
  <si>
    <t>Md. Helal Uddin</t>
  </si>
  <si>
    <t>Md.Hamid</t>
  </si>
  <si>
    <t>Samsul Alam</t>
  </si>
  <si>
    <t>Riad Hossen</t>
  </si>
  <si>
    <t>Md. Sohel Islam</t>
  </si>
  <si>
    <t>Idrish Alam</t>
  </si>
  <si>
    <t>Jahed</t>
  </si>
  <si>
    <t>Sahidul Islam</t>
  </si>
  <si>
    <t>Md. Sohel Uddin</t>
  </si>
  <si>
    <t>Mohammad Faruk</t>
  </si>
  <si>
    <t>Didarul Islam</t>
  </si>
  <si>
    <t>Mohammad Fahim</t>
  </si>
  <si>
    <t>Delower Hossain</t>
  </si>
  <si>
    <t>Abdul Malek</t>
  </si>
  <si>
    <t>Khalil Uddin</t>
  </si>
  <si>
    <t>Mohammad Abul Hashem</t>
  </si>
  <si>
    <t>Abdul Karim</t>
  </si>
  <si>
    <t>Mohammad Kaisar</t>
  </si>
  <si>
    <t>Korshed Alam</t>
  </si>
  <si>
    <t>Emon Hasan</t>
  </si>
  <si>
    <t>Tawhidul Islam</t>
  </si>
  <si>
    <t>Amir Hossen</t>
  </si>
  <si>
    <t>Mohammad Abdullah Al Rafi</t>
  </si>
  <si>
    <t>Nurul Huda Misbah</t>
  </si>
  <si>
    <t>Aminul Hoque</t>
  </si>
  <si>
    <t>Shekh Ahmed Roki</t>
  </si>
  <si>
    <t>Md. Sahjahan</t>
  </si>
  <si>
    <t>Babul Hossen</t>
  </si>
  <si>
    <t>Khair Ahmed</t>
  </si>
  <si>
    <t>Md. Lutfar Rahman</t>
  </si>
  <si>
    <t>Abu Bakker</t>
  </si>
  <si>
    <t>Abdullah Al Mumid</t>
  </si>
  <si>
    <t>01585430658</t>
  </si>
  <si>
    <t>Sujan Kanti Karmaker</t>
  </si>
  <si>
    <t>01814785317</t>
  </si>
  <si>
    <t>Prokash Kanti Nath</t>
  </si>
  <si>
    <t>01728125764</t>
  </si>
  <si>
    <t>Abdul Sabur</t>
  </si>
  <si>
    <t>Ridowanul Hoque</t>
  </si>
  <si>
    <t>Mohammad Toyab</t>
  </si>
  <si>
    <t>Joy Sankar Karmaker</t>
  </si>
  <si>
    <t>Mohammad Sahjahan</t>
  </si>
  <si>
    <t>Akter Hossen</t>
  </si>
  <si>
    <t>Ehsanul Kabir</t>
  </si>
  <si>
    <t>Mohammad Sayed Uddin Forhad</t>
  </si>
  <si>
    <t>Mohammad Ziabul Hoque</t>
  </si>
  <si>
    <t>Mohammad Yousof</t>
  </si>
  <si>
    <t>Mohammad Osman Goni</t>
  </si>
  <si>
    <t>Iqbal Hossen</t>
  </si>
  <si>
    <t>Debasish Karmaker</t>
  </si>
  <si>
    <t>Salim Uddin</t>
  </si>
  <si>
    <t>Mujibur Rahman</t>
  </si>
  <si>
    <t>Md. Borhan Uddin</t>
  </si>
  <si>
    <t>Mokter Ahmed</t>
  </si>
  <si>
    <t>Nepal Kanti Karmaker</t>
  </si>
  <si>
    <t>Abdullah Al Momid</t>
  </si>
  <si>
    <t>Lohagara Provati Youth Organization
Kamar Pukur Par, Uzir Hat, Lohagara, Chittagong.</t>
  </si>
  <si>
    <t>Driver</t>
  </si>
  <si>
    <t>Zohir Ahmed</t>
  </si>
  <si>
    <t>Investment Date</t>
  </si>
  <si>
    <t>Purchase Price</t>
  </si>
  <si>
    <t>Down Payment</t>
  </si>
  <si>
    <t>Investment</t>
  </si>
  <si>
    <t>Sale Price</t>
  </si>
  <si>
    <t>Profit</t>
  </si>
  <si>
    <t>Term</t>
  </si>
  <si>
    <t>2 years (24 installments)</t>
  </si>
  <si>
    <t>Installment</t>
  </si>
  <si>
    <t>Final Installment</t>
  </si>
  <si>
    <t>Total Payable</t>
  </si>
  <si>
    <t>Date</t>
  </si>
  <si>
    <t>Amount</t>
  </si>
  <si>
    <t>10/01/2025</t>
  </si>
  <si>
    <t>09/02/2025</t>
  </si>
  <si>
    <t>10/03/2025</t>
  </si>
  <si>
    <t>10/04/2025</t>
  </si>
  <si>
    <t>10/05/2025</t>
  </si>
  <si>
    <t>10/06/2025</t>
  </si>
  <si>
    <t>10/07/2025</t>
  </si>
  <si>
    <t>10/08/2025</t>
  </si>
  <si>
    <t>Total Paid</t>
  </si>
  <si>
    <t>Remaining</t>
  </si>
  <si>
    <t>Abu Taher</t>
  </si>
  <si>
    <t>2 years (23 installments)</t>
  </si>
  <si>
    <t>Zahedul Islam</t>
  </si>
  <si>
    <t>1 year (12 installments)</t>
  </si>
  <si>
    <t>09/04/2025</t>
  </si>
  <si>
    <t>Sajal Barua</t>
  </si>
  <si>
    <t>20/05/2025</t>
  </si>
  <si>
    <t>Nurul Abser</t>
  </si>
  <si>
    <t>1 years (12 installments)</t>
  </si>
  <si>
    <t>Kamal Uddin</t>
  </si>
  <si>
    <t>CNG No</t>
  </si>
  <si>
    <t>Total Installments</t>
  </si>
  <si>
    <t>Paid Installments</t>
  </si>
  <si>
    <t>Investment Amount</t>
  </si>
  <si>
    <t>Total Payable
(Investment+Profit)</t>
  </si>
  <si>
    <t>Collected Amount</t>
  </si>
  <si>
    <t>Remaining Amount</t>
  </si>
  <si>
    <t>Investment Vs  Payment %</t>
  </si>
  <si>
    <t>Payable Vs  Payment %</t>
  </si>
  <si>
    <t>Remarks</t>
  </si>
  <si>
    <t>The total installment has already been paid, and the CNG documents have been handed over to the driver.</t>
  </si>
  <si>
    <t>Loan ID</t>
  </si>
  <si>
    <t>Member Name</t>
  </si>
  <si>
    <t>Loan Amount</t>
  </si>
  <si>
    <t>Disbursement Date</t>
  </si>
  <si>
    <t>Guarantor Member ID</t>
  </si>
  <si>
    <t>Interest Rate</t>
  </si>
  <si>
    <t>Loan Payment Date</t>
  </si>
  <si>
    <t>Duration (Months)</t>
  </si>
  <si>
    <t>Rounded Duration (6 months multiple)</t>
  </si>
  <si>
    <t>Till Date Payble Interest</t>
  </si>
  <si>
    <t>Payble Amount</t>
  </si>
  <si>
    <t>Paid %</t>
  </si>
  <si>
    <t>62,32,45,44,43</t>
  </si>
  <si>
    <t>Loan account has been successfully Closed.</t>
  </si>
  <si>
    <t>05,53,14,07,26</t>
  </si>
  <si>
    <t>Payment Received: 03/11/2025 _ Payment-27000/=</t>
  </si>
  <si>
    <t>Payment Received: 28/08/2025 _ Payment-2700/=</t>
  </si>
  <si>
    <t>45,62,32,33,43,44</t>
  </si>
  <si>
    <t>Loan account has been successfully Closed. Tk.1000 Discounted &amp; Approved.</t>
  </si>
  <si>
    <t>10,06</t>
  </si>
  <si>
    <t>11,13,35</t>
  </si>
  <si>
    <t>00971545640821</t>
  </si>
  <si>
    <t>FUND RECONCILIATION STATEMENT</t>
  </si>
  <si>
    <t>F. RECONCILIATION — Sources vs Deployment</t>
  </si>
  <si>
    <t>INCOME SOURCES</t>
  </si>
  <si>
    <t>Amount (BDT)</t>
  </si>
  <si>
    <t>FUND DEPLOYMENT</t>
  </si>
  <si>
    <t>Regular Member Collection</t>
  </si>
  <si>
    <t>DPS Opening Investment</t>
  </si>
  <si>
    <t>Advance Collection</t>
  </si>
  <si>
    <t>FDR Opening Investment</t>
  </si>
  <si>
    <t>Savings Bank Balance</t>
  </si>
  <si>
    <t>Fine Collection</t>
  </si>
  <si>
    <t>CNG Due Receivable</t>
  </si>
  <si>
    <t>Entry Fee Collection</t>
  </si>
  <si>
    <t>Loan Due Receivable</t>
  </si>
  <si>
    <t>Expenses Till Date</t>
  </si>
  <si>
    <t>TOTAL INCOME</t>
  </si>
  <si>
    <t>TOTAL DEPLOYMENT</t>
  </si>
  <si>
    <t>Net Fund (Income)</t>
  </si>
  <si>
    <t>Total Deployment (ex-Expenses)</t>
  </si>
  <si>
    <t>Variance (Income - Deployment)</t>
  </si>
  <si>
    <t>Actual Organisation Net Fund</t>
  </si>
  <si>
    <t>Source: Management Records</t>
  </si>
  <si>
    <t>LOHAGARA PROVATI YOUTH ORGANIZATION
Investment Register</t>
  </si>
  <si>
    <t>INVESTMENT SECTOR</t>
  </si>
  <si>
    <t>INVESTMENT AMT (BDT)</t>
  </si>
  <si>
    <t>CURRENT VALUE (BDT)</t>
  </si>
  <si>
    <t>PROFIT (BDT)</t>
  </si>
  <si>
    <t>REMARKS</t>
  </si>
  <si>
    <t xml:space="preserve">  A. FIXED DEPOSIT (DPS / FDR) INVESTMENTS</t>
  </si>
  <si>
    <t>Enter manually</t>
  </si>
  <si>
    <t>Other Investment</t>
  </si>
  <si>
    <t>Till Date Collected Amount (BDT)</t>
  </si>
  <si>
    <t>Remaining Balance  (BDT)</t>
  </si>
  <si>
    <t xml:space="preserve">  B. CNG / AUTO RIKSHWA INVESTMENTS (Auto-Pulled)</t>
  </si>
  <si>
    <t>Total CNG/Auto Investment</t>
  </si>
  <si>
    <t>From CNG Summary</t>
  </si>
  <si>
    <t xml:space="preserve">  C. LOAN INVESTMENTS (Auto-Pulled)</t>
  </si>
  <si>
    <t>Total Loan Disbursed</t>
  </si>
  <si>
    <t>From Loan Summary</t>
  </si>
  <si>
    <t>PROFIT/LOSS (BDT)</t>
  </si>
  <si>
    <t xml:space="preserve">  D. TOTAL INVESTMENT SUMMARY</t>
  </si>
  <si>
    <t>Total Investment (All Sectors)</t>
  </si>
  <si>
    <t>Grand Total Investment</t>
  </si>
  <si>
    <t>Total Sector Profit</t>
  </si>
  <si>
    <t>Cross-ref P&amp;L</t>
  </si>
  <si>
    <t>📌 Yellow cells = Manual Entry (DPS/FDR/Other). All CNG &amp; Loan values auto-update from source sheets.</t>
  </si>
  <si>
    <t>LOHAGARA PROVATI YOUTH ORGANIZATION
Profit &amp; Loss Consolidation</t>
  </si>
  <si>
    <t>DESCRIPTION</t>
  </si>
  <si>
    <t>AMOUNT (BDT)</t>
  </si>
  <si>
    <t>NOTES</t>
  </si>
  <si>
    <t xml:space="preserve">  INCOME SOURCES</t>
  </si>
  <si>
    <t>1. DPS Profit</t>
  </si>
  <si>
    <t>DPS Current Value – Opening</t>
  </si>
  <si>
    <t>2. FDR Profit</t>
  </si>
  <si>
    <t>FDR Current Value – Opening</t>
  </si>
  <si>
    <t>3. CNG / Auto Rikshwa Profit</t>
  </si>
  <si>
    <t>Total Payable minus Investment</t>
  </si>
  <si>
    <t>4. Loan Interest Profit</t>
  </si>
  <si>
    <t>Till-date payable interest earned</t>
  </si>
  <si>
    <t>5. Fine Collection</t>
  </si>
  <si>
    <t>Total fine received</t>
  </si>
  <si>
    <t>6. Entry Fee Collection</t>
  </si>
  <si>
    <t>Manual entry from Investment Register</t>
  </si>
  <si>
    <t>GROSS PROFIT</t>
  </si>
  <si>
    <t>Sum of all income sources</t>
  </si>
  <si>
    <t xml:space="preserve">  EXPENDITURE</t>
  </si>
  <si>
    <t>7. Total Expenses (Organisation)</t>
  </si>
  <si>
    <t>From Month Wise Collection Summary</t>
  </si>
  <si>
    <t>NET PROFIT / (LOSS)</t>
  </si>
  <si>
    <t>Gross Profit minus Expenses</t>
  </si>
  <si>
    <t>Earning Per Share (EPS)</t>
  </si>
  <si>
    <t>Net Profit ÷ Total Shares</t>
  </si>
  <si>
    <t>LOHAGARA PROVATI YOUTH ORGANIZATION
Share Wise Maturity Calculation</t>
  </si>
  <si>
    <t>PARTICULARS</t>
  </si>
  <si>
    <t>VALUE</t>
  </si>
  <si>
    <t>FORMULA BASIS</t>
  </si>
  <si>
    <t xml:space="preserve">  FUND &amp; PROFIT BASE</t>
  </si>
  <si>
    <t>Total Actual Member Collection</t>
  </si>
  <si>
    <t>Grand Total Regular Deposits</t>
  </si>
  <si>
    <t>Total CNG/Loan Profit</t>
  </si>
  <si>
    <t>CNG Profit + Loan Interest</t>
  </si>
  <si>
    <t>Total Fine Collected</t>
  </si>
  <si>
    <t>From Month Wise Summary</t>
  </si>
  <si>
    <t>Total DPS + FDR + Other Profit</t>
  </si>
  <si>
    <t>From Investment Register</t>
  </si>
  <si>
    <t>Less: Total Expenses</t>
  </si>
  <si>
    <t>NET ORGANIZATION FUND</t>
  </si>
  <si>
    <t>Total Collection + Profit - Expenses</t>
  </si>
  <si>
    <t xml:space="preserve">  SHARE CALCULATION</t>
  </si>
  <si>
    <t>Total Number of Shares</t>
  </si>
  <si>
    <t>Fixed – Organization Constitution</t>
  </si>
  <si>
    <t>Total Net Profit (Distributable)</t>
  </si>
  <si>
    <t>From P&amp;L Sheet</t>
  </si>
  <si>
    <t>Profit Per Share</t>
  </si>
  <si>
    <t xml:space="preserve">  SHARE VALUE ANALYSIS</t>
  </si>
  <si>
    <t>Expected Deposit Per Share (60 Months)</t>
  </si>
  <si>
    <t>60 Months × 1000 BDT/Share</t>
  </si>
  <si>
    <t>Current Share Value (Deposit Only)</t>
  </si>
  <si>
    <t>Actual Collection ÷ 125 Shares</t>
  </si>
  <si>
    <t>Profit Per Share (Till Date)</t>
  </si>
  <si>
    <t>Distributable Profit ÷ Shares</t>
  </si>
  <si>
    <t>Current Total Share Value (with Profit)</t>
  </si>
  <si>
    <t>Deposit Value + Profit per Share</t>
  </si>
  <si>
    <t>Estimated Final Share Value (60 Months)</t>
  </si>
  <si>
    <t>Projection based on current profit rate</t>
  </si>
  <si>
    <t>Projected Total Payout (All 125 Shares)</t>
  </si>
  <si>
    <t>Final Share Value × 125</t>
  </si>
  <si>
    <t>LOHAGARA PROVATI YOUTH ORGANIZATION
Member Final Receivable Statement</t>
  </si>
  <si>
    <t>Mobile</t>
  </si>
  <si>
    <t>Shares</t>
  </si>
  <si>
    <t>Till Date Deposit</t>
  </si>
  <si>
    <t>Estimated Final Receivable</t>
  </si>
  <si>
    <t>🏛 Loan Receivable</t>
  </si>
  <si>
    <t>Yearly Total</t>
  </si>
  <si>
    <t>54,52</t>
  </si>
  <si>
    <t>Form Print &amp; Snacks</t>
  </si>
  <si>
    <t>Print Cost</t>
  </si>
  <si>
    <t>Loan account has been successfully Closed. Tk.2500 Discounted &amp; Approved.</t>
  </si>
  <si>
    <t>10,60,70,75</t>
  </si>
  <si>
    <t>Snacks</t>
  </si>
  <si>
    <t>Status</t>
  </si>
  <si>
    <t>Savings Account Interest</t>
  </si>
  <si>
    <t>Savings A/c Interest</t>
  </si>
  <si>
    <t>Cash Memmo Book &amp; Money Receipt Book Print</t>
  </si>
  <si>
    <t>Snacks &amp; Others</t>
  </si>
  <si>
    <t>Cashier Salary</t>
  </si>
  <si>
    <t>Cashier Salary &amp; Other</t>
  </si>
  <si>
    <t>Cashier Salary &amp; Chair Purchase</t>
  </si>
  <si>
    <t>Cashier Salary &amp; Cabinet Purchase</t>
  </si>
  <si>
    <t>Picnic Expense &amp; Cashier Salary</t>
  </si>
  <si>
    <t>08, 23</t>
  </si>
  <si>
    <t>Norul Alam (Babul)</t>
  </si>
  <si>
    <t>Remaining Amount With Profit</t>
  </si>
  <si>
    <t>Norul Amin</t>
  </si>
  <si>
    <t>Snacks &amp; Bank SMS Charge</t>
  </si>
  <si>
    <t>Profit Amount</t>
  </si>
  <si>
    <t>AUTO HELPER (do not edit): Status R=Due, G=Advance-covered; Advance balance carried month to month. Use the [+] above to expand.</t>
  </si>
  <si>
    <t>Carry-in adv</t>
  </si>
  <si>
    <t>Adv balance</t>
  </si>
  <si>
    <t>Remaining Amount Without Profit</t>
  </si>
  <si>
    <t>00971557512381</t>
  </si>
  <si>
    <t>00971557893251</t>
  </si>
  <si>
    <t>0971501332588</t>
  </si>
  <si>
    <t>0097433390829</t>
  </si>
  <si>
    <t>00966564847790</t>
  </si>
  <si>
    <t>00971559969326</t>
  </si>
  <si>
    <t>00971569173725</t>
  </si>
  <si>
    <t>00971545732130</t>
  </si>
  <si>
    <t>00966504512844</t>
  </si>
  <si>
    <t>00966554277305</t>
  </si>
  <si>
    <t>45,62,32,33,44</t>
  </si>
  <si>
    <t>00971503805124</t>
  </si>
  <si>
    <t>00971527120848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</si>
</sst>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#,##0_);\(#,##0\)"/>
    <numFmt numFmtId="165" formatCode="00000000000"/>
    <numFmt numFmtId="166" formatCode="00000000000000"/>
    <numFmt numFmtId="167" formatCode="mmm\-yyyy"/>
    <numFmt numFmtId="168" formatCode="yyyy"/>
    <numFmt numFmtId="169" formatCode="[$-409]mmmm\-yy;@"/>
    <numFmt numFmtId="170" formatCode="0.000%"/>
    <numFmt numFmtId="171" formatCode="[$-809]dd\ mmmm\ yyyy;@"/>
    <numFmt numFmtId="172" formatCode="[$-F800]dddd\,\ mmmm\ dd\,\ yyyy"/>
    <numFmt numFmtId="173" formatCode="#,##0.00_);\(#,##0.00\)"/>
  </numFmts>
  <fonts count="4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6"/>
      <color rgb="FF1A1A2E"/>
      <name val="Arial"/>
      <family val="2"/>
    </font>
    <font>
      <b/>
      <u/>
      <sz val="10"/>
      <color rgb="FFFFFFFF"/>
      <name val="Arial"/>
      <family val="2"/>
    </font>
    <font>
      <i/>
      <sz val="9"/>
      <color rgb="FF888888"/>
      <name val="Arial"/>
      <family val="2"/>
    </font>
    <font>
      <b/>
      <sz val="11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2"/>
      <color rgb="FF1F3864"/>
      <name val="Arial"/>
      <family val="2"/>
      <charset val="1"/>
    </font>
    <font>
      <b/>
      <sz val="14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i/>
      <sz val="9"/>
      <color rgb="FF566573"/>
      <name val="Calibri"/>
      <family val="2"/>
    </font>
    <font>
      <sz val="11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i/>
      <sz val="9"/>
      <color theme="0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0"/>
      <color rgb="FFF39C12"/>
      <name val="Calibri"/>
      <family val="2"/>
    </font>
    <font>
      <b/>
      <sz val="10"/>
      <color rgb="FF27AE60"/>
      <name val="Calibri"/>
      <family val="2"/>
    </font>
    <font>
      <i/>
      <sz val="9"/>
      <color rgb="FFFFFFFF"/>
      <name val="Calibri"/>
      <family val="2"/>
    </font>
    <font>
      <sz val="10"/>
      <color rgb="FF000000"/>
      <name val="Calibri"/>
      <family val="2"/>
      <charset val="1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1"/>
      <color rgb="FFF39C12"/>
      <name val="Calibri"/>
      <family val="2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A1A2E"/>
      <name val="Arial"/>
      <family val="2"/>
    </font>
    <font>
      <b/>
      <sz val="10"/>
      <color rgb="FFFFFFFF"/>
      <name val="Arial"/>
      <family val="2"/>
    </font>
    <font>
      <b/>
      <sz val="16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1">
    <fill>
      <patternFill patternType="none"/>
    </fill>
    <fill>
      <patternFill patternType="gray125"/>
    </fill>
    <fill>
      <patternFill patternType="darkGray">
        <fgColor rgb="FF1A2F4A"/>
        <bgColor rgb="FF11284C"/>
      </patternFill>
    </fill>
    <fill>
      <patternFill patternType="solid">
        <fgColor rgb="FF0F7B8C"/>
        <bgColor rgb="FF117A65"/>
      </patternFill>
    </fill>
    <fill>
      <patternFill patternType="solid">
        <fgColor rgb="FFD4A017"/>
        <bgColor rgb="FFF39C12"/>
      </patternFill>
    </fill>
    <fill>
      <patternFill patternType="darkGray">
        <fgColor rgb="FF2E3E4D"/>
        <bgColor rgb="FF254061"/>
      </patternFill>
    </fill>
    <fill>
      <patternFill patternType="solid">
        <fgColor rgb="FF1A5276"/>
        <bgColor rgb="FF1F5C8B"/>
      </patternFill>
    </fill>
    <fill>
      <patternFill patternType="solid">
        <fgColor rgb="FF117A65"/>
        <bgColor rgb="FF0F7B8C"/>
      </patternFill>
    </fill>
    <fill>
      <patternFill patternType="solid">
        <fgColor rgb="FF6F2F8E"/>
        <bgColor rgb="FF7D3C98"/>
      </patternFill>
    </fill>
    <fill>
      <patternFill patternType="solid">
        <fgColor rgb="FFE8F4F8"/>
        <bgColor rgb="FFEBF5FB"/>
      </patternFill>
    </fill>
    <fill>
      <patternFill patternType="solid">
        <fgColor rgb="FF1E8449"/>
        <bgColor rgb="FF117A65"/>
      </patternFill>
    </fill>
    <fill>
      <patternFill patternType="solid">
        <fgColor rgb="FF2875A5"/>
        <bgColor rgb="FF2E75B6"/>
      </patternFill>
    </fill>
    <fill>
      <patternFill patternType="solid">
        <fgColor rgb="FFE67E22"/>
        <bgColor rgb="FFED7D31"/>
      </patternFill>
    </fill>
    <fill>
      <patternFill patternType="solid">
        <fgColor rgb="FFC0392B"/>
        <bgColor rgb="FFC0504D"/>
      </patternFill>
    </fill>
    <fill>
      <patternFill patternType="solid">
        <fgColor rgb="FF7D3C98"/>
        <bgColor rgb="FF6F2F8E"/>
      </patternFill>
    </fill>
    <fill>
      <patternFill patternType="solid">
        <fgColor rgb="FF943126"/>
        <bgColor rgb="FFC0392B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2F2F2"/>
      </patternFill>
    </fill>
    <fill>
      <patternFill patternType="solid">
        <fgColor rgb="FFD6E4F7"/>
        <bgColor rgb="FFDCE6F2"/>
      </patternFill>
    </fill>
    <fill>
      <patternFill patternType="solid">
        <fgColor rgb="FF2E75B6"/>
        <bgColor rgb="FF2875A5"/>
      </patternFill>
    </fill>
    <fill>
      <patternFill patternType="solid">
        <fgColor rgb="FFE2EFDA"/>
        <bgColor rgb="FFDCE6F2"/>
      </patternFill>
    </fill>
    <fill>
      <patternFill patternType="solid">
        <fgColor rgb="FF1F3864"/>
        <bgColor rgb="FF254061"/>
      </patternFill>
    </fill>
    <fill>
      <patternFill patternType="solid">
        <fgColor rgb="FFF2F2F2"/>
        <bgColor rgb="FFF5F5F5"/>
      </patternFill>
    </fill>
    <fill>
      <patternFill patternType="solid">
        <fgColor theme="4" tint="-0.499984740745262"/>
        <bgColor rgb="FF1F3864"/>
      </patternFill>
    </fill>
    <fill>
      <patternFill patternType="solid">
        <fgColor theme="4"/>
        <bgColor rgb="FF5393D3"/>
      </patternFill>
    </fill>
    <fill>
      <patternFill patternType="solid">
        <fgColor theme="4" tint="0.59978026673177287"/>
        <bgColor rgb="FFBDC3C7"/>
      </patternFill>
    </fill>
    <fill>
      <patternFill patternType="solid">
        <fgColor theme="4" tint="0.79979857783745845"/>
        <bgColor rgb="FFD6E4F7"/>
      </patternFill>
    </fill>
    <fill>
      <patternFill patternType="solid">
        <fgColor theme="9" tint="-0.249977111117893"/>
        <bgColor rgb="FFE67E22"/>
      </patternFill>
    </fill>
    <fill>
      <patternFill patternType="solid">
        <fgColor theme="6" tint="-0.249977111117893"/>
        <bgColor rgb="FF948A54"/>
      </patternFill>
    </fill>
    <fill>
      <patternFill patternType="solid">
        <fgColor theme="9" tint="0.59978026673177287"/>
        <bgColor rgb="FFFFDAD7"/>
      </patternFill>
    </fill>
    <fill>
      <patternFill patternType="solid">
        <fgColor theme="9" tint="0.39979247413556324"/>
        <bgColor rgb="FFFCD5B5"/>
      </patternFill>
    </fill>
    <fill>
      <patternFill patternType="solid">
        <fgColor theme="6" tint="0.59978026673177287"/>
        <bgColor rgb="FFE2EFDA"/>
      </patternFill>
    </fill>
    <fill>
      <patternFill patternType="solid">
        <fgColor rgb="FF92D050"/>
        <bgColor rgb="FFC3D69B"/>
      </patternFill>
    </fill>
    <fill>
      <patternFill patternType="solid">
        <fgColor theme="6" tint="0.39979247413556324"/>
        <bgColor rgb="FFD7E4C0"/>
      </patternFill>
    </fill>
    <fill>
      <patternFill patternType="solid">
        <fgColor rgb="FF1A2F4A"/>
        <bgColor rgb="FF11284C"/>
      </patternFill>
    </fill>
    <fill>
      <patternFill patternType="solid">
        <fgColor rgb="FF1F5C8B"/>
        <bgColor rgb="FF1A5276"/>
      </patternFill>
    </fill>
    <fill>
      <patternFill patternType="solid">
        <fgColor rgb="FFEBF5FB"/>
        <bgColor rgb="FFE8F4F8"/>
      </patternFill>
    </fill>
    <fill>
      <patternFill patternType="solid">
        <fgColor rgb="FFFFFFAA"/>
        <bgColor rgb="FFFFF3E0"/>
      </patternFill>
    </fill>
    <fill>
      <patternFill patternType="solid">
        <fgColor rgb="FF27AE60"/>
        <bgColor rgb="FF00B05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theme="4"/>
      </patternFill>
    </fill>
    <fill>
      <patternFill patternType="solid">
        <fgColor rgb="FF92D050"/>
        <bgColor theme="4" tint="0.59999389629810485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rgb="FF0F7B8C"/>
      </patternFill>
    </fill>
  </fills>
  <borders count="4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9" fontId="36" fillId="0" borderId="0"/>
    <xf numFmtId="0" fontId="1" fillId="0" borderId="0"/>
  </cellStyleXfs>
  <cellXfs count="326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24" borderId="4" xfId="0" applyFont="1" applyFill="1" applyBorder="1" applyAlignment="1">
      <alignment horizontal="center" vertical="center"/>
    </xf>
    <xf numFmtId="0" fontId="9" fillId="24" borderId="5" xfId="0" applyFont="1" applyFill="1" applyBorder="1" applyAlignment="1">
      <alignment horizontal="center" vertical="center"/>
    </xf>
    <xf numFmtId="0" fontId="9" fillId="24" borderId="5" xfId="0" applyFont="1" applyFill="1" applyBorder="1" applyAlignment="1">
      <alignment horizontal="center" vertical="center" wrapText="1"/>
    </xf>
    <xf numFmtId="0" fontId="9" fillId="24" borderId="6" xfId="0" applyFont="1" applyFill="1" applyBorder="1" applyAlignment="1">
      <alignment horizontal="center" vertical="center" wrapText="1"/>
    </xf>
    <xf numFmtId="0" fontId="0" fillId="25" borderId="7" xfId="0" applyFont="1" applyFill="1" applyBorder="1" applyAlignment="1">
      <alignment horizontal="center"/>
    </xf>
    <xf numFmtId="0" fontId="0" fillId="25" borderId="8" xfId="0" applyFont="1" applyFill="1" applyBorder="1" applyAlignment="1">
      <alignment horizontal="center"/>
    </xf>
    <xf numFmtId="165" fontId="0" fillId="25" borderId="8" xfId="0" applyNumberFormat="1" applyFont="1" applyFill="1" applyBorder="1" applyAlignment="1">
      <alignment horizontal="center"/>
    </xf>
    <xf numFmtId="0" fontId="0" fillId="25" borderId="9" xfId="0" applyFont="1" applyFill="1" applyBorder="1" applyAlignment="1">
      <alignment horizontal="center"/>
    </xf>
    <xf numFmtId="0" fontId="0" fillId="26" borderId="7" xfId="0" applyFont="1" applyFill="1" applyBorder="1" applyAlignment="1">
      <alignment horizontal="center"/>
    </xf>
    <xf numFmtId="0" fontId="0" fillId="26" borderId="8" xfId="0" applyFont="1" applyFill="1" applyBorder="1" applyAlignment="1">
      <alignment horizontal="center"/>
    </xf>
    <xf numFmtId="165" fontId="0" fillId="26" borderId="8" xfId="0" applyNumberFormat="1" applyFont="1" applyFill="1" applyBorder="1" applyAlignment="1">
      <alignment horizontal="center"/>
    </xf>
    <xf numFmtId="0" fontId="0" fillId="26" borderId="9" xfId="0" applyFont="1" applyFill="1" applyBorder="1" applyAlignment="1">
      <alignment horizontal="center"/>
    </xf>
    <xf numFmtId="166" fontId="0" fillId="26" borderId="8" xfId="0" applyNumberFormat="1" applyFont="1" applyFill="1" applyBorder="1" applyAlignment="1">
      <alignment horizontal="center"/>
    </xf>
    <xf numFmtId="166" fontId="0" fillId="25" borderId="8" xfId="0" applyNumberFormat="1" applyFont="1" applyFill="1" applyBorder="1" applyAlignment="1">
      <alignment horizontal="center"/>
    </xf>
    <xf numFmtId="0" fontId="10" fillId="26" borderId="11" xfId="0" applyFont="1" applyFill="1" applyBorder="1" applyAlignment="1">
      <alignment horizontal="center"/>
    </xf>
    <xf numFmtId="0" fontId="10" fillId="26" borderId="12" xfId="0" applyFont="1" applyFill="1" applyBorder="1" applyAlignment="1">
      <alignment horizontal="center"/>
    </xf>
    <xf numFmtId="0" fontId="9" fillId="24" borderId="13" xfId="0" applyFont="1" applyFill="1" applyBorder="1" applyAlignment="1">
      <alignment horizontal="center" vertical="center" wrapText="1"/>
    </xf>
    <xf numFmtId="0" fontId="9" fillId="27" borderId="5" xfId="0" applyFont="1" applyFill="1" applyBorder="1" applyAlignment="1">
      <alignment horizontal="center" vertical="center" wrapText="1"/>
    </xf>
    <xf numFmtId="0" fontId="9" fillId="28" borderId="6" xfId="0" applyFont="1" applyFill="1" applyBorder="1" applyAlignment="1">
      <alignment horizontal="center" vertical="center" wrapText="1"/>
    </xf>
    <xf numFmtId="167" fontId="0" fillId="25" borderId="7" xfId="0" applyNumberFormat="1" applyFont="1" applyFill="1" applyBorder="1" applyAlignment="1">
      <alignment horizontal="center"/>
    </xf>
    <xf numFmtId="167" fontId="0" fillId="26" borderId="7" xfId="0" applyNumberFormat="1" applyFont="1" applyFill="1" applyBorder="1" applyAlignment="1">
      <alignment horizontal="center"/>
    </xf>
    <xf numFmtId="168" fontId="10" fillId="29" borderId="14" xfId="0" applyNumberFormat="1" applyFont="1" applyFill="1" applyBorder="1" applyAlignment="1">
      <alignment horizontal="center"/>
    </xf>
    <xf numFmtId="0" fontId="10" fillId="29" borderId="11" xfId="0" applyFont="1" applyFill="1" applyBorder="1" applyAlignment="1">
      <alignment horizontal="center"/>
    </xf>
    <xf numFmtId="0" fontId="10" fillId="29" borderId="12" xfId="0" applyFont="1" applyFill="1" applyBorder="1" applyAlignment="1">
      <alignment horizontal="center"/>
    </xf>
    <xf numFmtId="167" fontId="0" fillId="26" borderId="15" xfId="0" applyNumberFormat="1" applyFont="1" applyFill="1" applyBorder="1" applyAlignment="1">
      <alignment horizontal="center"/>
    </xf>
    <xf numFmtId="0" fontId="0" fillId="26" borderId="16" xfId="0" applyFont="1" applyFill="1" applyBorder="1" applyAlignment="1">
      <alignment horizontal="center"/>
    </xf>
    <xf numFmtId="0" fontId="0" fillId="26" borderId="17" xfId="0" applyFont="1" applyFill="1" applyBorder="1" applyAlignment="1">
      <alignment horizontal="center"/>
    </xf>
    <xf numFmtId="0" fontId="10" fillId="26" borderId="14" xfId="0" applyFont="1" applyFill="1" applyBorder="1" applyAlignment="1">
      <alignment horizontal="center"/>
    </xf>
    <xf numFmtId="0" fontId="9" fillId="24" borderId="19" xfId="0" applyFont="1" applyFill="1" applyBorder="1" applyAlignment="1">
      <alignment horizontal="center"/>
    </xf>
    <xf numFmtId="0" fontId="10" fillId="25" borderId="7" xfId="0" applyFont="1" applyFill="1" applyBorder="1" applyAlignment="1">
      <alignment horizontal="center"/>
    </xf>
    <xf numFmtId="0" fontId="10" fillId="25" borderId="8" xfId="0" applyFont="1" applyFill="1" applyBorder="1" applyAlignment="1">
      <alignment horizontal="center"/>
    </xf>
    <xf numFmtId="0" fontId="10" fillId="25" borderId="9" xfId="0" applyFont="1" applyFill="1" applyBorder="1" applyAlignment="1">
      <alignment horizontal="center"/>
    </xf>
    <xf numFmtId="0" fontId="10" fillId="25" borderId="20" xfId="0" applyFont="1" applyFill="1" applyBorder="1" applyAlignment="1">
      <alignment horizontal="center"/>
    </xf>
    <xf numFmtId="0" fontId="0" fillId="26" borderId="20" xfId="0" applyFont="1" applyFill="1" applyBorder="1" applyAlignment="1">
      <alignment horizontal="center"/>
    </xf>
    <xf numFmtId="0" fontId="0" fillId="25" borderId="20" xfId="0" applyFont="1" applyFill="1" applyBorder="1" applyAlignment="1">
      <alignment horizontal="center"/>
    </xf>
    <xf numFmtId="0" fontId="9" fillId="24" borderId="21" xfId="0" applyFont="1" applyFill="1" applyBorder="1" applyAlignment="1">
      <alignment horizontal="center"/>
    </xf>
    <xf numFmtId="0" fontId="9" fillId="24" borderId="22" xfId="0" applyFont="1" applyFill="1" applyBorder="1" applyAlignment="1">
      <alignment horizontal="center"/>
    </xf>
    <xf numFmtId="0" fontId="9" fillId="24" borderId="23" xfId="0" applyFont="1" applyFill="1" applyBorder="1" applyAlignment="1">
      <alignment horizontal="center"/>
    </xf>
    <xf numFmtId="0" fontId="9" fillId="24" borderId="24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25" borderId="28" xfId="0" applyFont="1" applyFill="1" applyBorder="1" applyAlignment="1">
      <alignment horizontal="center"/>
    </xf>
    <xf numFmtId="0" fontId="0" fillId="25" borderId="29" xfId="0" applyFont="1" applyFill="1" applyBorder="1" applyAlignment="1">
      <alignment horizontal="center"/>
    </xf>
    <xf numFmtId="0" fontId="0" fillId="25" borderId="29" xfId="0" applyFont="1" applyFill="1" applyBorder="1" applyAlignment="1">
      <alignment horizontal="center"/>
    </xf>
    <xf numFmtId="0" fontId="0" fillId="25" borderId="30" xfId="0" applyFont="1" applyFill="1" applyBorder="1" applyAlignment="1">
      <alignment horizontal="center"/>
    </xf>
    <xf numFmtId="0" fontId="0" fillId="26" borderId="31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6" borderId="33" xfId="0" applyFont="1" applyFill="1" applyBorder="1" applyAlignment="1">
      <alignment horizontal="center"/>
    </xf>
    <xf numFmtId="0" fontId="0" fillId="25" borderId="31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33" xfId="0" applyFont="1" applyFill="1" applyBorder="1" applyAlignment="1">
      <alignment horizontal="center"/>
    </xf>
    <xf numFmtId="0" fontId="0" fillId="25" borderId="34" xfId="0" applyFont="1" applyFill="1" applyBorder="1" applyAlignment="1">
      <alignment horizontal="center"/>
    </xf>
    <xf numFmtId="0" fontId="0" fillId="25" borderId="13" xfId="0" applyFont="1" applyFill="1" applyBorder="1" applyAlignment="1">
      <alignment horizontal="center"/>
    </xf>
    <xf numFmtId="0" fontId="0" fillId="25" borderId="13" xfId="0" applyFont="1" applyFill="1" applyBorder="1" applyAlignment="1">
      <alignment horizontal="center"/>
    </xf>
    <xf numFmtId="0" fontId="0" fillId="25" borderId="23" xfId="0" applyFont="1" applyFill="1" applyBorder="1" applyAlignment="1">
      <alignment horizontal="center"/>
    </xf>
    <xf numFmtId="0" fontId="10" fillId="33" borderId="13" xfId="0" applyFont="1" applyFill="1" applyBorder="1" applyAlignment="1">
      <alignment horizontal="center"/>
    </xf>
    <xf numFmtId="0" fontId="0" fillId="25" borderId="35" xfId="0" applyFont="1" applyFill="1" applyBorder="1" applyAlignment="1">
      <alignment horizontal="center"/>
    </xf>
    <xf numFmtId="0" fontId="0" fillId="25" borderId="36" xfId="0" applyFont="1" applyFill="1" applyBorder="1" applyAlignment="1">
      <alignment horizontal="center"/>
    </xf>
    <xf numFmtId="0" fontId="10" fillId="33" borderId="37" xfId="0" applyFont="1" applyFill="1" applyBorder="1" applyAlignment="1">
      <alignment horizontal="center"/>
    </xf>
    <xf numFmtId="0" fontId="10" fillId="33" borderId="12" xfId="0" applyFont="1" applyFill="1" applyBorder="1" applyAlignment="1">
      <alignment horizont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170" fontId="0" fillId="0" borderId="0" xfId="0" applyNumberFormat="1" applyFont="1" applyAlignment="1">
      <alignment vertical="center"/>
    </xf>
    <xf numFmtId="9" fontId="0" fillId="0" borderId="0" xfId="0" applyNumberFormat="1" applyFont="1" applyAlignment="1">
      <alignment vertical="center"/>
    </xf>
    <xf numFmtId="9" fontId="0" fillId="0" borderId="32" xfId="1" applyFont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 wrapText="1"/>
    </xf>
    <xf numFmtId="0" fontId="14" fillId="0" borderId="2" xfId="0" applyFont="1" applyBorder="1"/>
    <xf numFmtId="164" fontId="14" fillId="0" borderId="2" xfId="0" applyNumberFormat="1" applyFont="1" applyBorder="1"/>
    <xf numFmtId="0" fontId="14" fillId="22" borderId="2" xfId="0" applyFont="1" applyFill="1" applyBorder="1"/>
    <xf numFmtId="164" fontId="14" fillId="22" borderId="2" xfId="0" applyNumberFormat="1" applyFont="1" applyFill="1" applyBorder="1"/>
    <xf numFmtId="0" fontId="13" fillId="19" borderId="0" xfId="0" applyFont="1" applyFill="1" applyAlignment="1">
      <alignment horizontal="right" vertical="center"/>
    </xf>
    <xf numFmtId="0" fontId="15" fillId="0" borderId="2" xfId="0" applyFont="1" applyBorder="1"/>
    <xf numFmtId="164" fontId="16" fillId="0" borderId="2" xfId="0" applyNumberFormat="1" applyFont="1" applyBorder="1"/>
    <xf numFmtId="0" fontId="0" fillId="0" borderId="2" xfId="0" applyFont="1" applyBorder="1"/>
    <xf numFmtId="0" fontId="15" fillId="30" borderId="10" xfId="0" applyFont="1" applyFill="1" applyBorder="1" applyAlignment="1">
      <alignment horizontal="center" vertical="center"/>
    </xf>
    <xf numFmtId="164" fontId="16" fillId="30" borderId="37" xfId="0" applyNumberFormat="1" applyFont="1" applyFill="1" applyBorder="1" applyAlignment="1">
      <alignment horizontal="center" vertical="center"/>
    </xf>
    <xf numFmtId="0" fontId="19" fillId="30" borderId="12" xfId="0" applyFont="1" applyFill="1" applyBorder="1" applyAlignment="1">
      <alignment horizontal="center" vertical="center"/>
    </xf>
    <xf numFmtId="0" fontId="21" fillId="35" borderId="25" xfId="0" applyFont="1" applyFill="1" applyBorder="1" applyAlignment="1">
      <alignment horizontal="center" vertical="center"/>
    </xf>
    <xf numFmtId="0" fontId="21" fillId="35" borderId="26" xfId="0" applyFont="1" applyFill="1" applyBorder="1" applyAlignment="1">
      <alignment horizontal="center" vertical="center"/>
    </xf>
    <xf numFmtId="0" fontId="21" fillId="35" borderId="27" xfId="0" applyFont="1" applyFill="1" applyBorder="1" applyAlignment="1">
      <alignment horizontal="center" vertical="center"/>
    </xf>
    <xf numFmtId="0" fontId="22" fillId="36" borderId="31" xfId="0" applyFont="1" applyFill="1" applyBorder="1" applyAlignment="1">
      <alignment horizontal="center" vertical="center"/>
    </xf>
    <xf numFmtId="3" fontId="23" fillId="37" borderId="32" xfId="0" applyNumberFormat="1" applyFont="1" applyFill="1" applyBorder="1" applyAlignment="1">
      <alignment horizontal="center" vertical="center"/>
    </xf>
    <xf numFmtId="3" fontId="22" fillId="36" borderId="32" xfId="0" applyNumberFormat="1" applyFont="1" applyFill="1" applyBorder="1" applyAlignment="1">
      <alignment horizontal="center" vertical="center"/>
    </xf>
    <xf numFmtId="0" fontId="24" fillId="36" borderId="33" xfId="0" applyFont="1" applyFill="1" applyBorder="1" applyAlignment="1">
      <alignment horizontal="center" vertical="center"/>
    </xf>
    <xf numFmtId="0" fontId="22" fillId="36" borderId="34" xfId="0" applyFont="1" applyFill="1" applyBorder="1" applyAlignment="1">
      <alignment horizontal="center" vertical="center"/>
    </xf>
    <xf numFmtId="3" fontId="23" fillId="37" borderId="13" xfId="0" applyNumberFormat="1" applyFont="1" applyFill="1" applyBorder="1" applyAlignment="1">
      <alignment horizontal="center" vertical="center"/>
    </xf>
    <xf numFmtId="3" fontId="22" fillId="36" borderId="13" xfId="0" applyNumberFormat="1" applyFont="1" applyFill="1" applyBorder="1" applyAlignment="1">
      <alignment horizontal="center" vertical="center"/>
    </xf>
    <xf numFmtId="0" fontId="24" fillId="36" borderId="23" xfId="0" applyFont="1" applyFill="1" applyBorder="1" applyAlignment="1">
      <alignment horizontal="center" vertical="center"/>
    </xf>
    <xf numFmtId="0" fontId="25" fillId="16" borderId="0" xfId="0" applyFont="1" applyFill="1"/>
    <xf numFmtId="0" fontId="26" fillId="16" borderId="0" xfId="0" applyFont="1" applyFill="1" applyAlignment="1">
      <alignment horizontal="left" vertical="center"/>
    </xf>
    <xf numFmtId="3" fontId="26" fillId="16" borderId="0" xfId="0" applyNumberFormat="1" applyFont="1" applyFill="1" applyAlignment="1">
      <alignment horizontal="center" vertical="center"/>
    </xf>
    <xf numFmtId="0" fontId="27" fillId="16" borderId="0" xfId="0" applyFont="1" applyFill="1" applyAlignment="1">
      <alignment horizontal="left" vertical="center"/>
    </xf>
    <xf numFmtId="0" fontId="21" fillId="35" borderId="42" xfId="0" applyFont="1" applyFill="1" applyBorder="1" applyAlignment="1">
      <alignment horizontal="center" vertical="center"/>
    </xf>
    <xf numFmtId="0" fontId="28" fillId="35" borderId="42" xfId="0" applyFont="1" applyFill="1" applyBorder="1" applyAlignment="1">
      <alignment horizontal="center" vertical="center"/>
    </xf>
    <xf numFmtId="0" fontId="22" fillId="36" borderId="43" xfId="0" applyFont="1" applyFill="1" applyBorder="1" applyAlignment="1">
      <alignment horizontal="left" vertical="center"/>
    </xf>
    <xf numFmtId="3" fontId="22" fillId="36" borderId="43" xfId="0" applyNumberFormat="1" applyFont="1" applyFill="1" applyBorder="1" applyAlignment="1">
      <alignment horizontal="center" vertical="center"/>
    </xf>
    <xf numFmtId="0" fontId="24" fillId="36" borderId="43" xfId="0" applyFont="1" applyFill="1" applyBorder="1" applyAlignment="1">
      <alignment horizontal="left" vertical="center"/>
    </xf>
    <xf numFmtId="0" fontId="22" fillId="16" borderId="43" xfId="0" applyFont="1" applyFill="1" applyBorder="1" applyAlignment="1">
      <alignment horizontal="left" vertical="center"/>
    </xf>
    <xf numFmtId="3" fontId="22" fillId="16" borderId="43" xfId="0" applyNumberFormat="1" applyFont="1" applyFill="1" applyBorder="1" applyAlignment="1">
      <alignment horizontal="center" vertical="center"/>
    </xf>
    <xf numFmtId="0" fontId="24" fillId="16" borderId="43" xfId="0" applyFont="1" applyFill="1" applyBorder="1" applyAlignment="1">
      <alignment horizontal="left" vertical="center"/>
    </xf>
    <xf numFmtId="0" fontId="22" fillId="16" borderId="0" xfId="0" applyFont="1" applyFill="1" applyAlignment="1">
      <alignment horizontal="left" vertical="center"/>
    </xf>
    <xf numFmtId="3" fontId="22" fillId="16" borderId="0" xfId="0" applyNumberFormat="1" applyFont="1" applyFill="1" applyAlignment="1">
      <alignment horizontal="center" vertical="center"/>
    </xf>
    <xf numFmtId="0" fontId="24" fillId="16" borderId="0" xfId="0" applyFont="1" applyFill="1" applyAlignment="1">
      <alignment horizontal="left" vertical="center"/>
    </xf>
    <xf numFmtId="3" fontId="0" fillId="0" borderId="0" xfId="0" applyNumberFormat="1" applyFont="1"/>
    <xf numFmtId="9" fontId="0" fillId="0" borderId="0" xfId="1" applyFont="1"/>
    <xf numFmtId="9" fontId="22" fillId="16" borderId="43" xfId="1" applyFont="1" applyFill="1" applyBorder="1" applyAlignment="1">
      <alignment horizontal="left" vertical="center"/>
    </xf>
    <xf numFmtId="9" fontId="22" fillId="16" borderId="43" xfId="1" applyFont="1" applyFill="1" applyBorder="1" applyAlignment="1">
      <alignment horizontal="center" vertical="center"/>
    </xf>
    <xf numFmtId="9" fontId="24" fillId="16" borderId="43" xfId="1" applyFont="1" applyFill="1" applyBorder="1" applyAlignment="1">
      <alignment horizontal="left" vertical="center"/>
    </xf>
    <xf numFmtId="0" fontId="28" fillId="35" borderId="26" xfId="0" applyFont="1" applyFill="1" applyBorder="1" applyAlignment="1">
      <alignment horizontal="center" vertical="center"/>
    </xf>
    <xf numFmtId="0" fontId="21" fillId="34" borderId="43" xfId="0" applyFont="1" applyFill="1" applyBorder="1" applyAlignment="1">
      <alignment horizontal="left" vertical="center"/>
    </xf>
    <xf numFmtId="3" fontId="29" fillId="34" borderId="43" xfId="0" applyNumberFormat="1" applyFont="1" applyFill="1" applyBorder="1" applyAlignment="1">
      <alignment horizontal="center" vertical="center"/>
    </xf>
    <xf numFmtId="3" fontId="30" fillId="34" borderId="43" xfId="0" applyNumberFormat="1" applyFont="1" applyFill="1" applyBorder="1" applyAlignment="1">
      <alignment horizontal="center" vertical="center"/>
    </xf>
    <xf numFmtId="0" fontId="31" fillId="34" borderId="43" xfId="0" applyFont="1" applyFill="1" applyBorder="1" applyAlignment="1">
      <alignment horizontal="left" vertical="center"/>
    </xf>
    <xf numFmtId="0" fontId="21" fillId="35" borderId="43" xfId="0" applyFont="1" applyFill="1" applyBorder="1" applyAlignment="1">
      <alignment horizontal="center" vertical="center"/>
    </xf>
    <xf numFmtId="0" fontId="32" fillId="16" borderId="43" xfId="0" applyFont="1" applyFill="1" applyBorder="1" applyAlignment="1">
      <alignment horizontal="left" vertical="center"/>
    </xf>
    <xf numFmtId="0" fontId="21" fillId="35" borderId="43" xfId="0" applyFont="1" applyFill="1" applyBorder="1" applyAlignment="1">
      <alignment horizontal="left" vertical="center"/>
    </xf>
    <xf numFmtId="3" fontId="21" fillId="35" borderId="43" xfId="0" applyNumberFormat="1" applyFont="1" applyFill="1" applyBorder="1" applyAlignment="1">
      <alignment horizontal="center" vertical="center"/>
    </xf>
    <xf numFmtId="0" fontId="31" fillId="35" borderId="43" xfId="0" applyFont="1" applyFill="1" applyBorder="1" applyAlignment="1">
      <alignment horizontal="left" vertical="center"/>
    </xf>
    <xf numFmtId="0" fontId="21" fillId="38" borderId="44" xfId="0" applyFont="1" applyFill="1" applyBorder="1" applyAlignment="1">
      <alignment horizontal="left" vertical="center"/>
    </xf>
    <xf numFmtId="3" fontId="21" fillId="38" borderId="44" xfId="0" applyNumberFormat="1" applyFont="1" applyFill="1" applyBorder="1" applyAlignment="1">
      <alignment horizontal="center" vertical="center"/>
    </xf>
    <xf numFmtId="0" fontId="31" fillId="38" borderId="44" xfId="0" applyFont="1" applyFill="1" applyBorder="1" applyAlignment="1">
      <alignment horizontal="left" vertical="center"/>
    </xf>
    <xf numFmtId="0" fontId="22" fillId="30" borderId="43" xfId="0" applyFont="1" applyFill="1" applyBorder="1" applyAlignment="1">
      <alignment horizontal="left" vertical="center"/>
    </xf>
    <xf numFmtId="3" fontId="22" fillId="30" borderId="43" xfId="0" applyNumberFormat="1" applyFont="1" applyFill="1" applyBorder="1" applyAlignment="1">
      <alignment horizontal="center" vertical="center"/>
    </xf>
    <xf numFmtId="0" fontId="33" fillId="35" borderId="43" xfId="0" applyFont="1" applyFill="1" applyBorder="1" applyAlignment="1">
      <alignment horizontal="center" vertical="center"/>
    </xf>
    <xf numFmtId="1" fontId="22" fillId="36" borderId="43" xfId="0" applyNumberFormat="1" applyFont="1" applyFill="1" applyBorder="1" applyAlignment="1">
      <alignment horizontal="center" vertical="center"/>
    </xf>
    <xf numFmtId="0" fontId="21" fillId="38" borderId="43" xfId="0" applyFont="1" applyFill="1" applyBorder="1" applyAlignment="1">
      <alignment horizontal="left" vertical="center"/>
    </xf>
    <xf numFmtId="3" fontId="21" fillId="38" borderId="43" xfId="0" applyNumberFormat="1" applyFont="1" applyFill="1" applyBorder="1" applyAlignment="1">
      <alignment horizontal="center" vertical="center"/>
    </xf>
    <xf numFmtId="0" fontId="31" fillId="38" borderId="43" xfId="0" applyFont="1" applyFill="1" applyBorder="1" applyAlignment="1">
      <alignment horizontal="left" vertical="center"/>
    </xf>
    <xf numFmtId="0" fontId="34" fillId="35" borderId="43" xfId="0" applyFont="1" applyFill="1" applyBorder="1" applyAlignment="1">
      <alignment horizontal="center" vertical="center" wrapText="1"/>
    </xf>
    <xf numFmtId="0" fontId="22" fillId="36" borderId="43" xfId="0" applyFont="1" applyFill="1" applyBorder="1" applyAlignment="1">
      <alignment horizontal="center" vertical="center"/>
    </xf>
    <xf numFmtId="165" fontId="22" fillId="36" borderId="43" xfId="0" applyNumberFormat="1" applyFont="1" applyFill="1" applyBorder="1" applyAlignment="1">
      <alignment horizontal="center" vertical="center"/>
    </xf>
    <xf numFmtId="0" fontId="22" fillId="16" borderId="43" xfId="0" applyFont="1" applyFill="1" applyBorder="1" applyAlignment="1">
      <alignment horizontal="center" vertical="center"/>
    </xf>
    <xf numFmtId="165" fontId="22" fillId="16" borderId="43" xfId="0" applyNumberFormat="1" applyFont="1" applyFill="1" applyBorder="1" applyAlignment="1">
      <alignment horizontal="center" vertical="center"/>
    </xf>
    <xf numFmtId="166" fontId="22" fillId="16" borderId="43" xfId="0" applyNumberFormat="1" applyFont="1" applyFill="1" applyBorder="1" applyAlignment="1">
      <alignment horizontal="center" vertical="center"/>
    </xf>
    <xf numFmtId="166" fontId="22" fillId="36" borderId="43" xfId="0" applyNumberFormat="1" applyFont="1" applyFill="1" applyBorder="1" applyAlignment="1">
      <alignment horizontal="center" vertical="center"/>
    </xf>
    <xf numFmtId="3" fontId="35" fillId="34" borderId="43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28" xfId="0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38" fillId="0" borderId="28" xfId="0" applyFont="1" applyBorder="1" applyAlignment="1">
      <alignment horizontal="center"/>
    </xf>
    <xf numFmtId="172" fontId="38" fillId="0" borderId="30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33" xfId="0" applyFont="1" applyBorder="1" applyAlignment="1">
      <alignment horizontal="center"/>
    </xf>
    <xf numFmtId="14" fontId="0" fillId="0" borderId="31" xfId="0" applyNumberFormat="1" applyBorder="1" applyAlignment="1">
      <alignment horizontal="center"/>
    </xf>
    <xf numFmtId="0" fontId="38" fillId="0" borderId="34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4" xfId="0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38" fillId="0" borderId="41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39" borderId="40" xfId="0" applyNumberFormat="1" applyFill="1" applyBorder="1" applyAlignment="1">
      <alignment horizontal="center"/>
    </xf>
    <xf numFmtId="0" fontId="0" fillId="39" borderId="24" xfId="0" applyFill="1" applyBorder="1" applyAlignment="1">
      <alignment horizontal="center"/>
    </xf>
    <xf numFmtId="0" fontId="38" fillId="0" borderId="32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171" fontId="0" fillId="0" borderId="32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0" fontId="0" fillId="40" borderId="32" xfId="0" applyFill="1" applyBorder="1" applyAlignment="1">
      <alignment horizontal="center" vertical="center"/>
    </xf>
    <xf numFmtId="0" fontId="0" fillId="47" borderId="32" xfId="0" applyFill="1" applyBorder="1" applyAlignment="1">
      <alignment horizontal="center" vertical="center"/>
    </xf>
    <xf numFmtId="165" fontId="0" fillId="47" borderId="32" xfId="0" applyNumberFormat="1" applyFill="1" applyBorder="1" applyAlignment="1">
      <alignment horizontal="center" vertical="center"/>
    </xf>
    <xf numFmtId="171" fontId="0" fillId="47" borderId="32" xfId="0" applyNumberFormat="1" applyFill="1" applyBorder="1" applyAlignment="1">
      <alignment horizontal="center" vertical="center"/>
    </xf>
    <xf numFmtId="9" fontId="0" fillId="47" borderId="32" xfId="0" applyNumberFormat="1" applyFill="1" applyBorder="1" applyAlignment="1">
      <alignment horizontal="center" vertical="center"/>
    </xf>
    <xf numFmtId="0" fontId="0" fillId="47" borderId="32" xfId="0" applyNumberFormat="1" applyFill="1" applyBorder="1" applyAlignment="1">
      <alignment horizontal="center" vertical="center"/>
    </xf>
    <xf numFmtId="0" fontId="0" fillId="49" borderId="32" xfId="0" applyFill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  <xf numFmtId="9" fontId="0" fillId="0" borderId="32" xfId="1" applyNumberFormat="1" applyFon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2" xfId="0" quotePrefix="1" applyNumberFormat="1" applyBorder="1" applyAlignment="1">
      <alignment horizontal="center" vertical="center"/>
    </xf>
    <xf numFmtId="171" fontId="0" fillId="0" borderId="36" xfId="0" applyNumberFormat="1" applyBorder="1" applyAlignment="1">
      <alignment horizontal="center" vertical="center"/>
    </xf>
    <xf numFmtId="14" fontId="0" fillId="0" borderId="36" xfId="0" applyNumberFormat="1" applyBorder="1" applyAlignment="1">
      <alignment horizontal="center" vertical="center"/>
    </xf>
    <xf numFmtId="0" fontId="0" fillId="0" borderId="36" xfId="0" applyNumberFormat="1" applyBorder="1" applyAlignment="1">
      <alignment horizontal="center" vertical="center"/>
    </xf>
    <xf numFmtId="9" fontId="0" fillId="0" borderId="3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2" applyAlignment="1">
      <alignment horizontal="center"/>
    </xf>
    <xf numFmtId="0" fontId="38" fillId="42" borderId="31" xfId="2" applyFont="1" applyFill="1" applyBorder="1" applyAlignment="1">
      <alignment horizontal="center"/>
    </xf>
    <xf numFmtId="0" fontId="38" fillId="42" borderId="33" xfId="2" applyFont="1" applyFill="1" applyBorder="1" applyAlignment="1">
      <alignment horizontal="center"/>
    </xf>
    <xf numFmtId="17" fontId="1" fillId="43" borderId="31" xfId="2" applyNumberFormat="1" applyFont="1" applyFill="1" applyBorder="1" applyAlignment="1">
      <alignment horizontal="center"/>
    </xf>
    <xf numFmtId="0" fontId="1" fillId="43" borderId="33" xfId="2" applyFont="1" applyFill="1" applyBorder="1" applyAlignment="1">
      <alignment horizontal="center"/>
    </xf>
    <xf numFmtId="17" fontId="1" fillId="42" borderId="31" xfId="2" applyNumberFormat="1" applyFont="1" applyFill="1" applyBorder="1" applyAlignment="1">
      <alignment horizontal="center"/>
    </xf>
    <xf numFmtId="0" fontId="1" fillId="42" borderId="33" xfId="2" applyFont="1" applyFill="1" applyBorder="1" applyAlignment="1">
      <alignment horizontal="center"/>
    </xf>
    <xf numFmtId="0" fontId="38" fillId="43" borderId="34" xfId="2" applyFont="1" applyFill="1" applyBorder="1" applyAlignment="1">
      <alignment horizontal="center"/>
    </xf>
    <xf numFmtId="0" fontId="38" fillId="43" borderId="23" xfId="2" applyFont="1" applyFill="1" applyBorder="1" applyAlignment="1">
      <alignment horizontal="center"/>
    </xf>
    <xf numFmtId="0" fontId="0" fillId="0" borderId="0" xfId="0" applyFont="1" applyAlignment="1">
      <alignment wrapText="1"/>
    </xf>
    <xf numFmtId="3" fontId="0" fillId="36" borderId="43" xfId="0" applyNumberFormat="1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5" fontId="0" fillId="0" borderId="32" xfId="0" quotePrefix="1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42" borderId="23" xfId="0" applyFont="1" applyFill="1" applyBorder="1" applyAlignment="1">
      <alignment vertical="center"/>
    </xf>
    <xf numFmtId="0" fontId="0" fillId="43" borderId="8" xfId="0" applyFont="1" applyFill="1" applyBorder="1" applyAlignment="1">
      <alignment horizontal="center" vertical="center"/>
    </xf>
    <xf numFmtId="0" fontId="0" fillId="46" borderId="8" xfId="0" applyFont="1" applyFill="1" applyBorder="1" applyAlignment="1">
      <alignment horizontal="center" vertical="center"/>
    </xf>
    <xf numFmtId="0" fontId="0" fillId="42" borderId="8" xfId="0" applyFont="1" applyFill="1" applyBorder="1" applyAlignment="1">
      <alignment horizontal="center" vertical="center"/>
    </xf>
    <xf numFmtId="0" fontId="37" fillId="45" borderId="4" xfId="0" applyFont="1" applyFill="1" applyBorder="1" applyAlignment="1">
      <alignment horizontal="center" vertical="center" wrapText="1"/>
    </xf>
    <xf numFmtId="0" fontId="37" fillId="45" borderId="5" xfId="0" applyFont="1" applyFill="1" applyBorder="1" applyAlignment="1">
      <alignment horizontal="center" vertical="center" wrapText="1"/>
    </xf>
    <xf numFmtId="0" fontId="37" fillId="45" borderId="6" xfId="0" applyFont="1" applyFill="1" applyBorder="1" applyAlignment="1">
      <alignment horizontal="center" vertical="center" wrapText="1"/>
    </xf>
    <xf numFmtId="0" fontId="0" fillId="42" borderId="7" xfId="0" applyFont="1" applyFill="1" applyBorder="1" applyAlignment="1">
      <alignment horizontal="center" vertical="center"/>
    </xf>
    <xf numFmtId="9" fontId="0" fillId="42" borderId="8" xfId="1" applyNumberFormat="1" applyFont="1" applyFill="1" applyBorder="1" applyAlignment="1">
      <alignment horizontal="center" vertical="center"/>
    </xf>
    <xf numFmtId="0" fontId="0" fillId="42" borderId="9" xfId="0" applyFont="1" applyFill="1" applyBorder="1" applyAlignment="1">
      <alignment vertical="center"/>
    </xf>
    <xf numFmtId="0" fontId="0" fillId="43" borderId="7" xfId="0" applyFont="1" applyFill="1" applyBorder="1" applyAlignment="1">
      <alignment horizontal="center" vertical="center"/>
    </xf>
    <xf numFmtId="9" fontId="0" fillId="43" borderId="8" xfId="1" applyNumberFormat="1" applyFont="1" applyFill="1" applyBorder="1" applyAlignment="1">
      <alignment horizontal="center" vertical="center"/>
    </xf>
    <xf numFmtId="0" fontId="0" fillId="43" borderId="9" xfId="0" applyFont="1" applyFill="1" applyBorder="1" applyAlignment="1">
      <alignment vertical="center"/>
    </xf>
    <xf numFmtId="0" fontId="0" fillId="46" borderId="7" xfId="0" applyFont="1" applyFill="1" applyBorder="1" applyAlignment="1">
      <alignment horizontal="center" vertical="center"/>
    </xf>
    <xf numFmtId="9" fontId="0" fillId="46" borderId="8" xfId="1" applyNumberFormat="1" applyFont="1" applyFill="1" applyBorder="1" applyAlignment="1">
      <alignment horizontal="center" vertical="center"/>
    </xf>
    <xf numFmtId="0" fontId="0" fillId="47" borderId="9" xfId="0" applyFont="1" applyFill="1" applyBorder="1" applyAlignment="1">
      <alignment vertical="center" wrapText="1"/>
    </xf>
    <xf numFmtId="0" fontId="38" fillId="42" borderId="21" xfId="0" applyFont="1" applyFill="1" applyBorder="1" applyAlignment="1">
      <alignment horizontal="center" vertical="center"/>
    </xf>
    <xf numFmtId="0" fontId="38" fillId="42" borderId="22" xfId="0" applyFont="1" applyFill="1" applyBorder="1" applyAlignment="1">
      <alignment horizontal="center" vertical="center"/>
    </xf>
    <xf numFmtId="9" fontId="38" fillId="42" borderId="22" xfId="1" applyNumberFormat="1" applyFont="1" applyFill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165" fontId="0" fillId="0" borderId="36" xfId="0" applyNumberFormat="1" applyFont="1" applyBorder="1" applyAlignment="1">
      <alignment horizontal="center" vertical="center"/>
    </xf>
    <xf numFmtId="9" fontId="0" fillId="0" borderId="36" xfId="0" applyNumberFormat="1" applyFont="1" applyBorder="1" applyAlignment="1">
      <alignment horizontal="center" vertical="center"/>
    </xf>
    <xf numFmtId="0" fontId="0" fillId="0" borderId="36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164" fontId="0" fillId="0" borderId="0" xfId="0" applyNumberFormat="1"/>
    <xf numFmtId="171" fontId="0" fillId="0" borderId="36" xfId="0" applyNumberFormat="1" applyFont="1" applyBorder="1" applyAlignment="1">
      <alignment horizontal="center" vertical="center"/>
    </xf>
    <xf numFmtId="9" fontId="0" fillId="47" borderId="32" xfId="1" applyNumberFormat="1" applyFont="1" applyFill="1" applyBorder="1" applyAlignment="1">
      <alignment horizontal="center" vertical="center"/>
    </xf>
    <xf numFmtId="3" fontId="0" fillId="0" borderId="0" xfId="0" applyNumberFormat="1" applyFont="1" applyAlignment="1">
      <alignment horizontal="center"/>
    </xf>
    <xf numFmtId="169" fontId="10" fillId="30" borderId="26" xfId="0" applyNumberFormat="1" applyFont="1" applyFill="1" applyBorder="1" applyAlignment="1">
      <alignment horizontal="center" vertical="center"/>
    </xf>
    <xf numFmtId="173" fontId="14" fillId="0" borderId="2" xfId="0" applyNumberFormat="1" applyFont="1" applyBorder="1"/>
    <xf numFmtId="173" fontId="13" fillId="19" borderId="0" xfId="0" applyNumberFormat="1" applyFont="1" applyFill="1" applyAlignment="1">
      <alignment horizontal="center" vertical="center" wrapText="1"/>
    </xf>
    <xf numFmtId="173" fontId="15" fillId="0" borderId="2" xfId="0" applyNumberFormat="1" applyFont="1" applyBorder="1"/>
    <xf numFmtId="0" fontId="0" fillId="25" borderId="29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13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6" borderId="32" xfId="0" applyFont="1" applyFill="1" applyBorder="1" applyAlignment="1">
      <alignment horizontal="center"/>
    </xf>
    <xf numFmtId="0" fontId="0" fillId="25" borderId="29" xfId="0" applyFont="1" applyFill="1" applyBorder="1" applyAlignment="1">
      <alignment horizontal="center"/>
    </xf>
    <xf numFmtId="0" fontId="0" fillId="26" borderId="29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0" fontId="0" fillId="25" borderId="32" xfId="0" applyFont="1" applyFill="1" applyBorder="1" applyAlignment="1">
      <alignment horizontal="center"/>
    </xf>
    <xf numFmtId="165" fontId="0" fillId="26" borderId="8" xfId="0" quotePrefix="1" applyNumberFormat="1" applyFont="1" applyFill="1" applyBorder="1" applyAlignment="1">
      <alignment horizontal="center"/>
    </xf>
    <xf numFmtId="165" fontId="0" fillId="25" borderId="8" xfId="0" quotePrefix="1" applyNumberFormat="1" applyFont="1" applyFill="1" applyBorder="1" applyAlignment="1">
      <alignment horizontal="center"/>
    </xf>
    <xf numFmtId="0" fontId="7" fillId="8" borderId="0" xfId="0" applyFont="1" applyFill="1" applyBorder="1" applyAlignment="1">
      <alignment horizontal="center" vertical="center"/>
    </xf>
    <xf numFmtId="0" fontId="8" fillId="17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3" fontId="6" fillId="9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 vertical="center"/>
    </xf>
    <xf numFmtId="0" fontId="7" fillId="12" borderId="0" xfId="0" applyFont="1" applyFill="1" applyBorder="1" applyAlignment="1">
      <alignment horizontal="center" vertical="center"/>
    </xf>
    <xf numFmtId="0" fontId="7" fillId="1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13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  <xf numFmtId="0" fontId="7" fillId="15" borderId="0" xfId="0" applyFont="1" applyFill="1" applyBorder="1" applyAlignment="1">
      <alignment horizontal="center" vertical="center" wrapText="1"/>
    </xf>
    <xf numFmtId="0" fontId="7" fillId="50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3" fontId="6" fillId="9" borderId="1" xfId="0" applyNumberFormat="1" applyFont="1" applyFill="1" applyBorder="1" applyAlignment="1">
      <alignment horizontal="center" vertical="center"/>
    </xf>
    <xf numFmtId="4" fontId="6" fillId="9" borderId="1" xfId="0" applyNumberFormat="1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  <xf numFmtId="1" fontId="39" fillId="9" borderId="1" xfId="0" applyNumberFormat="1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5" fillId="15" borderId="0" xfId="0" applyFont="1" applyFill="1" applyBorder="1" applyAlignment="1">
      <alignment horizontal="center" vertical="center"/>
    </xf>
    <xf numFmtId="0" fontId="40" fillId="8" borderId="0" xfId="0" applyFont="1" applyFill="1" applyBorder="1" applyAlignment="1">
      <alignment horizontal="center" vertical="center"/>
    </xf>
    <xf numFmtId="0" fontId="5" fillId="11" borderId="0" xfId="0" applyFont="1" applyFill="1" applyBorder="1" applyAlignment="1">
      <alignment horizontal="center" vertical="center"/>
    </xf>
    <xf numFmtId="0" fontId="5" fillId="12" borderId="0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0" fillId="26" borderId="10" xfId="0" applyFont="1" applyFill="1" applyBorder="1" applyAlignment="1">
      <alignment horizontal="center"/>
    </xf>
    <xf numFmtId="0" fontId="9" fillId="23" borderId="47" xfId="0" applyFont="1" applyFill="1" applyBorder="1" applyAlignment="1">
      <alignment horizontal="center" vertical="center" wrapText="1"/>
    </xf>
    <xf numFmtId="0" fontId="9" fillId="23" borderId="46" xfId="0" applyFont="1" applyFill="1" applyBorder="1" applyAlignment="1">
      <alignment horizontal="center" vertical="center" wrapText="1"/>
    </xf>
    <xf numFmtId="0" fontId="9" fillId="23" borderId="3" xfId="0" applyFont="1" applyFill="1" applyBorder="1" applyAlignment="1">
      <alignment horizontal="center" vertical="center" wrapText="1"/>
    </xf>
    <xf numFmtId="0" fontId="9" fillId="24" borderId="18" xfId="0" applyFont="1" applyFill="1" applyBorder="1" applyAlignment="1">
      <alignment horizontal="center"/>
    </xf>
    <xf numFmtId="0" fontId="9" fillId="24" borderId="19" xfId="0" applyFont="1" applyFill="1" applyBorder="1" applyAlignment="1">
      <alignment horizontal="center"/>
    </xf>
    <xf numFmtId="169" fontId="10" fillId="30" borderId="26" xfId="0" applyNumberFormat="1" applyFont="1" applyFill="1" applyBorder="1" applyAlignment="1">
      <alignment horizontal="center" vertical="center"/>
    </xf>
    <xf numFmtId="0" fontId="9" fillId="32" borderId="26" xfId="0" applyFont="1" applyFill="1" applyBorder="1" applyAlignment="1">
      <alignment horizontal="center" vertical="center" wrapText="1"/>
    </xf>
    <xf numFmtId="0" fontId="9" fillId="27" borderId="27" xfId="0" applyFont="1" applyFill="1" applyBorder="1" applyAlignment="1">
      <alignment horizontal="center" vertical="center" wrapText="1"/>
    </xf>
    <xf numFmtId="0" fontId="10" fillId="33" borderId="10" xfId="0" applyFont="1" applyFill="1" applyBorder="1" applyAlignment="1">
      <alignment horizontal="center"/>
    </xf>
    <xf numFmtId="169" fontId="10" fillId="31" borderId="26" xfId="0" applyNumberFormat="1" applyFont="1" applyFill="1" applyBorder="1" applyAlignment="1">
      <alignment horizontal="center" vertical="center"/>
    </xf>
    <xf numFmtId="0" fontId="9" fillId="24" borderId="25" xfId="0" applyFont="1" applyFill="1" applyBorder="1" applyAlignment="1">
      <alignment horizontal="center" vertical="center" wrapText="1"/>
    </xf>
    <xf numFmtId="0" fontId="9" fillId="24" borderId="26" xfId="0" applyFont="1" applyFill="1" applyBorder="1" applyAlignment="1">
      <alignment horizontal="center" vertical="center" wrapText="1"/>
    </xf>
    <xf numFmtId="0" fontId="10" fillId="33" borderId="25" xfId="0" applyFont="1" applyFill="1" applyBorder="1" applyAlignment="1">
      <alignment horizontal="center" vertical="center"/>
    </xf>
    <xf numFmtId="0" fontId="10" fillId="33" borderId="26" xfId="0" applyFont="1" applyFill="1" applyBorder="1" applyAlignment="1">
      <alignment horizontal="center" vertical="center"/>
    </xf>
    <xf numFmtId="0" fontId="10" fillId="33" borderId="27" xfId="0" applyFont="1" applyFill="1" applyBorder="1" applyAlignment="1">
      <alignment horizontal="center" vertical="center"/>
    </xf>
    <xf numFmtId="0" fontId="10" fillId="29" borderId="13" xfId="0" applyFont="1" applyFill="1" applyBorder="1" applyAlignment="1">
      <alignment horizontal="center"/>
    </xf>
    <xf numFmtId="0" fontId="37" fillId="41" borderId="14" xfId="0" applyFont="1" applyFill="1" applyBorder="1" applyAlignment="1">
      <alignment horizontal="center" wrapText="1"/>
    </xf>
    <xf numFmtId="0" fontId="37" fillId="41" borderId="45" xfId="0" applyFont="1" applyFill="1" applyBorder="1" applyAlignment="1">
      <alignment horizontal="center" wrapText="1"/>
    </xf>
    <xf numFmtId="0" fontId="37" fillId="44" borderId="25" xfId="0" applyFont="1" applyFill="1" applyBorder="1" applyAlignment="1">
      <alignment horizontal="center" vertical="center" wrapText="1"/>
    </xf>
    <xf numFmtId="0" fontId="37" fillId="44" borderId="26" xfId="0" applyFont="1" applyFill="1" applyBorder="1" applyAlignment="1">
      <alignment horizontal="center" vertical="center" wrapText="1"/>
    </xf>
    <xf numFmtId="0" fontId="37" fillId="44" borderId="27" xfId="0" applyFont="1" applyFill="1" applyBorder="1" applyAlignment="1">
      <alignment horizontal="center" vertical="center" wrapText="1"/>
    </xf>
    <xf numFmtId="0" fontId="37" fillId="41" borderId="25" xfId="2" applyFont="1" applyFill="1" applyBorder="1" applyAlignment="1">
      <alignment horizontal="center" wrapText="1"/>
    </xf>
    <xf numFmtId="0" fontId="37" fillId="41" borderId="27" xfId="2" applyFont="1" applyFill="1" applyBorder="1" applyAlignment="1">
      <alignment horizontal="center" wrapText="1"/>
    </xf>
    <xf numFmtId="0" fontId="12" fillId="21" borderId="0" xfId="0" applyFont="1" applyFill="1" applyBorder="1" applyAlignment="1">
      <alignment horizontal="center" vertical="center" wrapText="1"/>
    </xf>
    <xf numFmtId="0" fontId="13" fillId="19" borderId="0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center" vertical="center" wrapText="1"/>
    </xf>
    <xf numFmtId="0" fontId="18" fillId="20" borderId="2" xfId="0" applyFont="1" applyFill="1" applyBorder="1" applyAlignment="1">
      <alignment horizontal="center" vertical="center" wrapText="1"/>
    </xf>
    <xf numFmtId="0" fontId="41" fillId="48" borderId="32" xfId="0" applyFont="1" applyFill="1" applyBorder="1" applyAlignment="1">
      <alignment horizontal="center" vertical="center" wrapText="1"/>
    </xf>
    <xf numFmtId="3" fontId="30" fillId="34" borderId="43" xfId="0" applyNumberFormat="1" applyFont="1" applyFill="1" applyBorder="1" applyAlignment="1">
      <alignment horizontal="center" vertical="center"/>
    </xf>
    <xf numFmtId="0" fontId="24" fillId="0" borderId="0" xfId="0" applyFont="1" applyBorder="1"/>
    <xf numFmtId="0" fontId="20" fillId="34" borderId="0" xfId="0" applyFont="1" applyFill="1" applyBorder="1" applyAlignment="1">
      <alignment horizontal="center" vertical="center" wrapText="1"/>
    </xf>
    <xf numFmtId="0" fontId="21" fillId="34" borderId="31" xfId="0" applyFont="1" applyFill="1" applyBorder="1" applyAlignment="1">
      <alignment horizontal="center" vertical="center"/>
    </xf>
    <xf numFmtId="0" fontId="21" fillId="34" borderId="0" xfId="0" applyFont="1" applyFill="1" applyBorder="1" applyAlignment="1">
      <alignment horizontal="center" vertical="center"/>
    </xf>
    <xf numFmtId="0" fontId="21" fillId="34" borderId="0" xfId="0" applyFont="1" applyFill="1" applyBorder="1" applyAlignment="1">
      <alignment horizontal="left" vertical="center"/>
    </xf>
    <xf numFmtId="0" fontId="33" fillId="34" borderId="43" xfId="0" applyFont="1" applyFill="1" applyBorder="1" applyAlignment="1">
      <alignment horizontal="center" vertical="center"/>
    </xf>
  </cellXfs>
  <cellStyles count="3">
    <cellStyle name="Normal" xfId="0" builtinId="0"/>
    <cellStyle name="Normal 2" xfId="2"/>
    <cellStyle name="Percent" xfId="1" builtinId="5"/>
  </cellStyles>
  <dxfs count="2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71" formatCode="[$-809]dd\ mmmm\ yyyy;@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71" formatCode="[$-809]dd\ mmmm\ 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000000000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65" formatCode="000000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D7E4C0"/>
      <rgbColor rgb="FFE67E22"/>
      <rgbColor rgb="FFD6E4F7"/>
      <rgbColor rgb="FFC00000"/>
      <rgbColor rgb="FF1E8449"/>
      <rgbColor rgb="FF254061"/>
      <rgbColor rgb="FF77923C"/>
      <rgbColor rgb="FFC0504D"/>
      <rgbColor rgb="FF0F7B8C"/>
      <rgbColor rgb="FFBFBFBF"/>
      <rgbColor rgb="FF817F84"/>
      <rgbColor rgb="FF5393D3"/>
      <rgbColor rgb="FF7D3C98"/>
      <rgbColor rgb="FFFFF3E0"/>
      <rgbColor rgb="FFE8F4F8"/>
      <rgbColor rgb="FF375623"/>
      <rgbColor rgb="FFED7D31"/>
      <rgbColor rgb="FF2875A5"/>
      <rgbColor rgb="FFB9CDE5"/>
      <rgbColor rgb="FF1A5276"/>
      <rgbColor rgb="FFF5F5F5"/>
      <rgbColor rgb="FFFFDAD7"/>
      <rgbColor rgb="FFDCE6F2"/>
      <rgbColor rgb="FF948A54"/>
      <rgbColor rgb="FFC0392B"/>
      <rgbColor rgb="FF117A65"/>
      <rgbColor rgb="FF1F5C8B"/>
      <rgbColor rgb="FF4F81BD"/>
      <rgbColor rgb="FFEBF5FB"/>
      <rgbColor rgb="FFE2EFDA"/>
      <rgbColor rgb="FFFFFFAA"/>
      <rgbColor rgb="FFBDC3C7"/>
      <rgbColor rgb="FFFCD5B5"/>
      <rgbColor rgb="FFC3D69B"/>
      <rgbColor rgb="FFFAC090"/>
      <rgbColor rgb="FF2E75B6"/>
      <rgbColor rgb="FF00B050"/>
      <rgbColor rgb="FF92D050"/>
      <rgbColor rgb="FFD4A017"/>
      <rgbColor rgb="FFF39C12"/>
      <rgbColor rgb="FFE46C0A"/>
      <rgbColor rgb="FF585B61"/>
      <rgbColor rgb="FFAAAAAA"/>
      <rgbColor rgb="FF11284C"/>
      <rgbColor rgb="FF27AE60"/>
      <rgbColor rgb="FF1A2F4A"/>
      <rgbColor rgb="FF1A1A2E"/>
      <rgbColor rgb="FF943126"/>
      <rgbColor rgb="FF6F2F8E"/>
      <rgbColor rgb="FF1F3864"/>
      <rgbColor rgb="FF2E3E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Investment</a:t>
            </a:r>
            <a:r>
              <a:rPr lang="en-US" baseline="0"/>
              <a:t> Summary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D39-4619-8B6E-7BF3CBC54D03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D39-4619-8B6E-7BF3CBC54D03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D39-4619-8B6E-7BF3CBC54D03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D39-4619-8B6E-7BF3CBC54D03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D39-4619-8B6E-7BF3CBC54D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DASHBOARD!$K$6:$K$10</c:f>
              <c:strCache>
                <c:ptCount val="5"/>
                <c:pt idx="0">
                  <c:v>DPS Investment</c:v>
                </c:pt>
                <c:pt idx="1">
                  <c:v>FDR Investment</c:v>
                </c:pt>
                <c:pt idx="2">
                  <c:v>Savings Balance</c:v>
                </c:pt>
                <c:pt idx="3">
                  <c:v>CNG Due</c:v>
                </c:pt>
                <c:pt idx="4">
                  <c:v>Loan Due</c:v>
                </c:pt>
              </c:strCache>
            </c:strRef>
          </c:cat>
          <c:val>
            <c:numRef>
              <c:f>DASHBOARD!$L$6:$L$10</c:f>
              <c:numCache>
                <c:formatCode>#,##0_);\(#,##0\)</c:formatCode>
                <c:ptCount val="5"/>
                <c:pt idx="0">
                  <c:v>2050000</c:v>
                </c:pt>
                <c:pt idx="1">
                  <c:v>500000</c:v>
                </c:pt>
                <c:pt idx="2">
                  <c:v>491280.16999999993</c:v>
                </c:pt>
                <c:pt idx="3">
                  <c:v>1239500</c:v>
                </c:pt>
                <c:pt idx="4">
                  <c:v>758600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8A-40E0-8E6D-1F85004FA2E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</xdr:row>
      <xdr:rowOff>0</xdr:rowOff>
    </xdr:from>
    <xdr:to>
      <xdr:col>16</xdr:col>
      <xdr:colOff>567690</xdr:colOff>
      <xdr:row>14</xdr:row>
      <xdr:rowOff>259080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1" name="Table1" displayName="Table1" ref="B3:C41" totalsRowShown="0" headerRowBorderDxfId="116" tableBorderDxfId="115" totalsRowBorderDxfId="114">
  <tableColumns count="2">
    <tableColumn id="1" name="Driver" dataDxfId="113"/>
    <tableColumn id="2" name="Zohir Ahmed" dataDxfId="1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2" name="Table2" displayName="Table2" ref="B3:C41" totalsRowShown="0" headerRowDxfId="111" headerRowBorderDxfId="110" tableBorderDxfId="109" totalsRowBorderDxfId="108">
  <tableColumns count="2">
    <tableColumn id="1" name="Driver" dataDxfId="107"/>
    <tableColumn id="2" name="Abu Taher" dataDxfId="10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3" name="Table3" displayName="Table3" ref="B3:C41" totalsRowShown="0" headerRowDxfId="105" dataDxfId="103" headerRowBorderDxfId="104" tableBorderDxfId="102" totalsRowBorderDxfId="101">
  <tableColumns count="2">
    <tableColumn id="1" name="Driver" dataDxfId="100"/>
    <tableColumn id="2" name="Zahedul Islam" dataDxfId="9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14" name="Table4" displayName="Table4" ref="B3:C41" totalsRowShown="0" headerRowDxfId="98" dataDxfId="96" headerRowBorderDxfId="97" tableBorderDxfId="95" totalsRowBorderDxfId="94">
  <tableColumns count="2">
    <tableColumn id="1" name="Driver" dataDxfId="93"/>
    <tableColumn id="2" name="Sajal Barua" dataDxfId="9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5" name="Table47" displayName="Table47" ref="B3:C41" totalsRowShown="0" headerRowDxfId="91" dataDxfId="89" headerRowBorderDxfId="90" tableBorderDxfId="88" totalsRowBorderDxfId="87">
  <tableColumns count="2">
    <tableColumn id="1" name="Driver" dataDxfId="86"/>
    <tableColumn id="2" name="Nurul Abser" dataDxfId="8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6" name="Table478" displayName="Table478" ref="B3:C41" totalsRowShown="0" headerRowDxfId="84" dataDxfId="82" headerRowBorderDxfId="83" tableBorderDxfId="81" totalsRowBorderDxfId="80">
  <tableColumns count="2">
    <tableColumn id="1" name="Driver" dataDxfId="79"/>
    <tableColumn id="2" name="Abdul Malek" dataDxfId="7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7" name="Table4789" displayName="Table4789" ref="B3:C41" totalsRowShown="0" headerRowDxfId="77" dataDxfId="75" headerRowBorderDxfId="76" tableBorderDxfId="74" totalsRowBorderDxfId="73">
  <tableColumns count="2">
    <tableColumn id="1" name="Driver" dataDxfId="72"/>
    <tableColumn id="2" name="Kamal Uddin" dataDxfId="71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18" name="Table47812" displayName="Table47812" ref="B3:C41" totalsRowShown="0" headerRowDxfId="70" dataDxfId="68" headerRowBorderDxfId="69" tableBorderDxfId="67" totalsRowBorderDxfId="66">
  <tableColumns count="2">
    <tableColumn id="1" name="Driver" dataDxfId="65"/>
    <tableColumn id="2" name="Mohammad Yousof" dataDxfId="64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1" name="Table478122" displayName="Table478122" ref="B3:C41" totalsRowShown="0" headerRowDxfId="63" dataDxfId="61" headerRowBorderDxfId="62" tableBorderDxfId="60" totalsRowBorderDxfId="59">
  <tableColumns count="2">
    <tableColumn id="1" name="Driver" dataDxfId="58"/>
    <tableColumn id="2" name="Mohammad Alamgir" dataDxfId="57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2" name="Table47893" displayName="Table47893" ref="B3:C41" totalsRowShown="0" headerRowDxfId="56" dataDxfId="54" headerRowBorderDxfId="55" tableBorderDxfId="53" totalsRowBorderDxfId="52">
  <tableColumns count="2">
    <tableColumn id="1" name="Driver" dataDxfId="51"/>
    <tableColumn id="2" name="Norul Alam (Babul)" dataDxfId="5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3" name="Table478934" displayName="Table478934" ref="B3:C41" totalsRowShown="0" headerRowDxfId="49" dataDxfId="47" headerRowBorderDxfId="48" tableBorderDxfId="46" totalsRowBorderDxfId="45">
  <tableColumns count="2">
    <tableColumn id="1" name="Driver" dataDxfId="44"/>
    <tableColumn id="2" name="Norul Amin" dataDxfId="43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20" name="Table16" displayName="Table16" ref="B3:R22" totalsRowShown="0" headerRowDxfId="38" dataDxfId="36" headerRowBorderDxfId="37" tableBorderDxfId="35" totalsRowBorderDxfId="34">
  <tableColumns count="17">
    <tableColumn id="1" name="Loan ID" dataDxfId="33" totalsRowDxfId="32"/>
    <tableColumn id="2" name="Member ID" dataDxfId="31" totalsRowDxfId="30"/>
    <tableColumn id="3" name="Member Name" dataDxfId="29" totalsRowDxfId="28"/>
    <tableColumn id="4" name="Mobile Number" dataDxfId="27" totalsRowDxfId="26"/>
    <tableColumn id="5" name="Loan Amount" dataDxfId="25" totalsRowDxfId="24"/>
    <tableColumn id="6" name="Disbursement Date" dataDxfId="23" totalsRowDxfId="22"/>
    <tableColumn id="7" name="Guarantor Member ID" dataDxfId="21" totalsRowDxfId="20"/>
    <tableColumn id="8" name="Interest Rate" dataDxfId="19" totalsRowDxfId="18"/>
    <tableColumn id="9" name="Loan Payment Date" dataDxfId="17" totalsRowDxfId="16"/>
    <tableColumn id="10" name="Duration (Months)" dataDxfId="15" totalsRowDxfId="14">
      <calculatedColumnFormula>IFERROR(DATEDIF(G4,J4,"Y") &amp; " Years " &amp; DATEDIF(G4,J4,"YM") &amp; " Months " &amp; DATEDIF(G4,J4,"MD") &amp; " Days",0)</calculatedColumnFormula>
    </tableColumn>
    <tableColumn id="11" name="Rounded Duration (6 months multiple)" dataDxfId="13" totalsRowDxfId="12">
      <calculatedColumnFormula>IFERROR(CEILING(DATEDIF(G4,J4,"M"),6),0)</calculatedColumnFormula>
    </tableColumn>
    <tableColumn id="12" name="Till Date Payble Interest" dataDxfId="11" totalsRowDxfId="10">
      <calculatedColumnFormula>IF(Table16[[#This Row],[Paid %]]&gt;98%,0,IF(Table16[[#This Row],[Paid %]]=100%,0,F4*I4*(CEILING(DATEDIF(G4,TODAY(),"M"),6)/12)))</calculatedColumnFormula>
    </tableColumn>
    <tableColumn id="13" name="Payble Amount" dataDxfId="9" totalsRowDxfId="8"/>
    <tableColumn id="14" name="Collected Amount" dataDxfId="7" totalsRowDxfId="6"/>
    <tableColumn id="15" name="Remaining Amount" dataDxfId="5" totalsRowDxfId="4">
      <calculatedColumnFormula>IFERROR(N4-O4,0)</calculatedColumnFormula>
    </tableColumn>
    <tableColumn id="16" name="Paid %" dataDxfId="3" totalsRowDxfId="2">
      <calculatedColumnFormula>IFERROR(O4/N4,0)</calculatedColumnFormula>
    </tableColumn>
    <tableColumn id="17" name="Remarks" dataDxfId="1" totalsRowDxfId="0"/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showGridLines="0" topLeftCell="A19" zoomScale="96" zoomScaleNormal="96" workbookViewId="0">
      <selection activeCell="B25" sqref="B25:C25"/>
    </sheetView>
  </sheetViews>
  <sheetFormatPr defaultColWidth="8.6640625" defaultRowHeight="14.4" x14ac:dyDescent="0.3"/>
  <cols>
    <col min="1" max="1" width="2" style="1" customWidth="1"/>
    <col min="2" max="2" width="20" style="1" customWidth="1"/>
    <col min="3" max="3" width="6.5546875" style="1" customWidth="1"/>
    <col min="4" max="4" width="8.44140625" style="1" bestFit="1" customWidth="1"/>
    <col min="5" max="5" width="20" style="1" customWidth="1"/>
    <col min="6" max="6" width="7.109375" style="1" bestFit="1" customWidth="1"/>
    <col min="7" max="7" width="20" style="1" customWidth="1"/>
    <col min="8" max="8" width="8.44140625" style="1" bestFit="1" customWidth="1"/>
    <col min="9" max="9" width="20" style="1" customWidth="1"/>
    <col min="10" max="10" width="4" style="1" customWidth="1"/>
    <col min="11" max="11" width="13.88671875" bestFit="1" customWidth="1"/>
    <col min="12" max="12" width="9.44140625" bestFit="1" customWidth="1"/>
  </cols>
  <sheetData>
    <row r="1" spans="1:19" ht="7.5" customHeight="1" x14ac:dyDescent="0.3">
      <c r="A1" s="202"/>
    </row>
    <row r="2" spans="1:19" ht="24.6" x14ac:dyDescent="0.3">
      <c r="B2" s="288" t="s">
        <v>0</v>
      </c>
      <c r="C2" s="288"/>
      <c r="D2" s="288"/>
      <c r="E2" s="288"/>
      <c r="F2" s="288"/>
      <c r="G2" s="288"/>
      <c r="H2" s="288"/>
      <c r="I2" s="288"/>
    </row>
    <row r="3" spans="1:19" ht="25.5" customHeight="1" x14ac:dyDescent="0.3">
      <c r="B3" s="289" t="s">
        <v>1</v>
      </c>
      <c r="C3" s="289"/>
      <c r="D3" s="289"/>
      <c r="E3" s="289"/>
      <c r="F3" s="289"/>
      <c r="G3" s="289"/>
      <c r="H3" s="289"/>
      <c r="I3" s="289"/>
    </row>
    <row r="4" spans="1:19" ht="9.75" customHeight="1" x14ac:dyDescent="0.3"/>
    <row r="5" spans="1:19" ht="15.6" x14ac:dyDescent="0.3">
      <c r="B5" s="273" t="s">
        <v>2</v>
      </c>
      <c r="C5" s="273"/>
      <c r="D5" s="273"/>
      <c r="E5" s="273"/>
      <c r="F5" s="273"/>
      <c r="G5" s="273"/>
      <c r="H5" s="273"/>
      <c r="I5" s="273"/>
    </row>
    <row r="6" spans="1:19" x14ac:dyDescent="0.3">
      <c r="B6" s="259" t="s">
        <v>13</v>
      </c>
      <c r="C6" s="259"/>
      <c r="D6" s="259"/>
      <c r="E6" s="259"/>
      <c r="F6" s="259"/>
      <c r="G6" s="259"/>
      <c r="H6" s="259"/>
      <c r="I6" s="259"/>
      <c r="K6" s="1" t="s">
        <v>29</v>
      </c>
      <c r="L6" s="2">
        <f>B15</f>
        <v>2050000</v>
      </c>
    </row>
    <row r="7" spans="1:19" ht="21" x14ac:dyDescent="0.3">
      <c r="B7" s="260">
        <f>'Central Fund Control'!B20</f>
        <v>5036580.17</v>
      </c>
      <c r="C7" s="260"/>
      <c r="D7" s="260"/>
      <c r="E7" s="260"/>
      <c r="F7" s="260"/>
      <c r="G7" s="260"/>
      <c r="H7" s="260"/>
      <c r="I7" s="260"/>
      <c r="K7" s="1" t="s">
        <v>30</v>
      </c>
      <c r="L7" s="2">
        <f>D15</f>
        <v>500000</v>
      </c>
    </row>
    <row r="8" spans="1:19" ht="21.75" customHeight="1" x14ac:dyDescent="0.3">
      <c r="B8" s="279" t="s">
        <v>3</v>
      </c>
      <c r="C8" s="279"/>
      <c r="D8" s="259" t="s">
        <v>4</v>
      </c>
      <c r="E8" s="259"/>
      <c r="F8" s="280" t="s">
        <v>5</v>
      </c>
      <c r="G8" s="280"/>
      <c r="H8" s="281" t="s">
        <v>6</v>
      </c>
      <c r="I8" s="281"/>
      <c r="K8" s="1" t="s">
        <v>31</v>
      </c>
      <c r="L8" s="2">
        <f>F15</f>
        <v>491280.16999999993</v>
      </c>
    </row>
    <row r="9" spans="1:19" ht="21" x14ac:dyDescent="0.3">
      <c r="B9" s="274">
        <f>COUNTA('Member Wise Deposit Summary'!$B$4:$B$80)</f>
        <v>77</v>
      </c>
      <c r="C9" s="274"/>
      <c r="D9" s="274">
        <f>'Member Wise Deposit Summary'!E81</f>
        <v>125</v>
      </c>
      <c r="E9" s="274"/>
      <c r="F9" s="274">
        <v>1000</v>
      </c>
      <c r="G9" s="274"/>
      <c r="H9" s="274">
        <f>125*1000*(COUNTIF('Month Wise Collection Summary'!C4:C10,"&gt;0")+COUNTIF('Month Wise Collection Summary'!C12:C23,"&gt;0")+COUNTIF('Month Wise Collection Summary'!C25:C36,"&gt;0")+COUNTIF('Month Wise Collection Summary'!C38:C49,"&gt;0")+COUNTIF('Month Wise Collection Summary'!C51:C62,"&gt;0")+COUNTIF('Month Wise Collection Summary'!C64:C75,"&gt;0"))</f>
        <v>5125000</v>
      </c>
      <c r="I9" s="274"/>
      <c r="K9" s="1" t="s">
        <v>32</v>
      </c>
      <c r="L9" s="2">
        <f>H15</f>
        <v>1239500</v>
      </c>
      <c r="S9" s="144"/>
    </row>
    <row r="10" spans="1:19" ht="21.75" customHeight="1" x14ac:dyDescent="0.3">
      <c r="B10" s="276" t="s">
        <v>7</v>
      </c>
      <c r="C10" s="276"/>
      <c r="D10" s="285" t="s">
        <v>8</v>
      </c>
      <c r="E10" s="285"/>
      <c r="F10" s="286" t="s">
        <v>9</v>
      </c>
      <c r="G10" s="286"/>
      <c r="H10" s="287" t="s">
        <v>10</v>
      </c>
      <c r="I10" s="287"/>
      <c r="K10" s="1" t="s">
        <v>33</v>
      </c>
      <c r="L10" s="2">
        <f>H13</f>
        <v>758600</v>
      </c>
    </row>
    <row r="11" spans="1:19" ht="21" x14ac:dyDescent="0.3">
      <c r="B11" s="274">
        <f>'Month Wise Collection Summary'!C77</f>
        <v>4493000</v>
      </c>
      <c r="C11" s="274"/>
      <c r="D11" s="274">
        <f>'Month Wise Collection Summary'!D77</f>
        <v>216000</v>
      </c>
      <c r="E11" s="274"/>
      <c r="F11" s="274">
        <f>'Month Wise Collection Summary'!E77</f>
        <v>375000</v>
      </c>
      <c r="G11" s="274"/>
      <c r="H11" s="274">
        <f>'Month Wise Collection Summary'!F77</f>
        <v>23150</v>
      </c>
      <c r="I11" s="274"/>
    </row>
    <row r="12" spans="1:19" ht="21.75" customHeight="1" x14ac:dyDescent="0.3">
      <c r="B12" s="282" t="s">
        <v>11</v>
      </c>
      <c r="C12" s="282"/>
      <c r="D12" s="283" t="s">
        <v>12</v>
      </c>
      <c r="E12" s="283"/>
      <c r="F12" s="276" t="s">
        <v>14</v>
      </c>
      <c r="G12" s="276"/>
      <c r="H12" s="284" t="s">
        <v>331</v>
      </c>
      <c r="I12" s="281"/>
      <c r="K12" s="144"/>
    </row>
    <row r="13" spans="1:19" ht="22.8" x14ac:dyDescent="0.3">
      <c r="B13" s="275">
        <f>'Member Wise Deposit Summary'!F81</f>
        <v>12500</v>
      </c>
      <c r="C13" s="275"/>
      <c r="D13" s="275">
        <f>'Month Wise Collection Summary'!H77</f>
        <v>83069.83</v>
      </c>
      <c r="E13" s="275"/>
      <c r="F13" s="278" t="str">
        <f>IF(SUM((B11+D11+F11+H11+B13+B17))=SUM(D13+H13+B15+D15+F15+H15),"✔ BALANCED","⚠ WARNING — MISMATCH DETECTED")</f>
        <v>✔ BALANCED</v>
      </c>
      <c r="G13" s="278"/>
      <c r="H13" s="274">
        <f>'Central Fund Control'!D9</f>
        <v>758600</v>
      </c>
      <c r="I13" s="274"/>
    </row>
    <row r="14" spans="1:19" ht="21.75" customHeight="1" x14ac:dyDescent="0.3">
      <c r="B14" s="279" t="s">
        <v>15</v>
      </c>
      <c r="C14" s="279"/>
      <c r="D14" s="259" t="s">
        <v>16</v>
      </c>
      <c r="E14" s="259"/>
      <c r="F14" s="280" t="s">
        <v>17</v>
      </c>
      <c r="G14" s="280"/>
      <c r="H14" s="281" t="s">
        <v>18</v>
      </c>
      <c r="I14" s="281"/>
    </row>
    <row r="15" spans="1:19" ht="21" x14ac:dyDescent="0.3">
      <c r="B15" s="274">
        <f>'Central Fund Control'!D5</f>
        <v>2050000</v>
      </c>
      <c r="C15" s="274"/>
      <c r="D15" s="274">
        <f>'Central Fund Control'!D6</f>
        <v>500000</v>
      </c>
      <c r="E15" s="274"/>
      <c r="F15" s="275">
        <f>'Central Fund Control'!D7</f>
        <v>491280.16999999993</v>
      </c>
      <c r="G15" s="275"/>
      <c r="H15" s="274">
        <f>'Central Fund Control'!D8</f>
        <v>1239500</v>
      </c>
      <c r="I15" s="274"/>
    </row>
    <row r="16" spans="1:19" ht="9.75" customHeight="1" x14ac:dyDescent="0.3">
      <c r="B16" s="276" t="s">
        <v>341</v>
      </c>
      <c r="C16" s="276"/>
    </row>
    <row r="17" spans="2:9" ht="19.2" customHeight="1" x14ac:dyDescent="0.3">
      <c r="B17" s="277">
        <f>'Central Fund Control'!B10</f>
        <v>2800</v>
      </c>
      <c r="C17" s="277"/>
    </row>
    <row r="18" spans="2:9" ht="9.75" customHeight="1" x14ac:dyDescent="0.3"/>
    <row r="19" spans="2:9" ht="27.75" customHeight="1" x14ac:dyDescent="0.3">
      <c r="B19" s="273" t="s">
        <v>26</v>
      </c>
      <c r="C19" s="273"/>
      <c r="D19" s="273"/>
      <c r="E19" s="273"/>
      <c r="F19" s="273"/>
      <c r="G19" s="273"/>
      <c r="H19" s="273"/>
      <c r="I19" s="273"/>
    </row>
    <row r="20" spans="2:9" ht="24" customHeight="1" x14ac:dyDescent="0.3">
      <c r="B20" s="265" t="str">
        <f>HYPERLINK("#'Member Wise Deposit Summary'!A1","👥 Member Deposits")</f>
        <v>👥 Member Deposits</v>
      </c>
      <c r="C20" s="265"/>
      <c r="D20" s="270" t="str">
        <f>HYPERLINK("#'Month Wise Collection Summary'!A1","📅 Monthly Collections")</f>
        <v>📅 Monthly Collections</v>
      </c>
      <c r="E20" s="270"/>
      <c r="F20" s="263" t="str">
        <f>HYPERLINK("#'Month Wise Expenses'!A1","💸 Month Expenses")</f>
        <v>💸 Month Expenses</v>
      </c>
      <c r="G20" s="263"/>
      <c r="H20" s="257" t="str">
        <f>HYPERLINK("#'Monthly Collection-2023'!A1","📋 Collection 2023")</f>
        <v>📋 Collection 2023</v>
      </c>
      <c r="I20" s="257"/>
    </row>
    <row r="21" spans="2:9" ht="24" customHeight="1" x14ac:dyDescent="0.3">
      <c r="B21" s="266" t="str">
        <f>HYPERLINK("#'Monthly Collection-2024)'!A1","📋 Collection 2024")</f>
        <v>📋 Collection 2024</v>
      </c>
      <c r="C21" s="266"/>
      <c r="D21" s="268" t="str">
        <f>HYPERLINK("#'Monthly Collection-2025'!A1","📋 Collection 2025")</f>
        <v>📋 Collection 2025</v>
      </c>
      <c r="E21" s="268"/>
      <c r="F21" s="264" t="str">
        <f>HYPERLINK("#'Monthly Collection-2026'!A1","📋 Collection 2026")</f>
        <v>📋 Collection 2026</v>
      </c>
      <c r="G21" s="264"/>
      <c r="H21" s="262" t="str">
        <f>HYPERLINK("#'Monthly Collection-2027'!A1","📋 Collection 2027")</f>
        <v>📋 Collection 2027</v>
      </c>
      <c r="I21" s="262"/>
    </row>
    <row r="22" spans="2:9" ht="24" customHeight="1" x14ac:dyDescent="0.3">
      <c r="B22" s="267" t="str">
        <f>HYPERLINK("#'Monthly Collection-2028'!A1","📋 Collection 2028")</f>
        <v>📋 Collection 2028</v>
      </c>
      <c r="C22" s="267"/>
      <c r="D22" s="261" t="str">
        <f>HYPERLINK("#'CNG 1 (Zohir Ahmed)'!A1","🚗 CNG 1 – Zohir")</f>
        <v>🚗 CNG 1 – Zohir</v>
      </c>
      <c r="E22" s="261"/>
      <c r="F22" s="270" t="str">
        <f>HYPERLINK("#'CNG 2 (Abu Taher)'!A1","🚗 CNG 2 – Taher")</f>
        <v>🚗 CNG 2 – Taher</v>
      </c>
      <c r="G22" s="270"/>
      <c r="H22" s="265" t="str">
        <f>HYPERLINK("#'CNG 3 (Zahedul Islam)'!A1","🚗 CNG 3 – Zahedul")</f>
        <v>🚗 CNG 3 – Zahedul</v>
      </c>
      <c r="I22" s="265"/>
    </row>
    <row r="23" spans="2:9" ht="24" customHeight="1" x14ac:dyDescent="0.3">
      <c r="B23" s="263" t="str">
        <f>HYPERLINK("#'CNG 4 (Sajal Barua)'!A1","🚗 CNG 4 – Sajal")</f>
        <v>🚗 CNG 4 – Sajal</v>
      </c>
      <c r="C23" s="263"/>
      <c r="D23" s="257" t="str">
        <f>HYPERLINK("#'CNG 5 (Nurul Abser)'!A1","🚗 CNG 5 – Nurul")</f>
        <v>🚗 CNG 5 – Nurul</v>
      </c>
      <c r="E23" s="257"/>
      <c r="F23" s="266" t="str">
        <f>HYPERLINK("#'CNG 6 (Abdul Malek)'!A1","🚗 CNG 6 – Malek")</f>
        <v>🚗 CNG 6 – Malek</v>
      </c>
      <c r="G23" s="266"/>
      <c r="H23" s="267" t="str">
        <f>HYPERLINK("#'Auto Rikshwa (Kamal Uddin)'!A1","🚗 Auto – Kamal")</f>
        <v>🚗 Auto – Kamal</v>
      </c>
      <c r="I23" s="267"/>
    </row>
    <row r="24" spans="2:9" ht="24" customHeight="1" x14ac:dyDescent="0.3">
      <c r="B24" s="264" t="str">
        <f>HYPERLINK("#'CNG 7 (Md. Yousof)'!A1","🚗 CNG 7 – Yousof")</f>
        <v>🚗 CNG 7 – Yousof</v>
      </c>
      <c r="C24" s="264"/>
      <c r="D24" s="272" t="str">
        <f>HYPERLINK("#'CNG 8 (Md. Alamgir'!A1","🚗 CNG 8 – Alamgir")</f>
        <v>🚗 CNG 8 – Alamgir</v>
      </c>
      <c r="E24" s="272"/>
      <c r="F24" s="268" t="str">
        <f>HYPERLINK("#'CNG Summary'!A1","📈 CNG Summary")</f>
        <v>📈 CNG Summary</v>
      </c>
      <c r="G24" s="268"/>
      <c r="H24" s="271" t="str">
        <f>HYPERLINK("#'Month Wise CNG Instlmnt Summary'!A1","📉 Month Wise CNG Installment Summary")</f>
        <v>📉 Month Wise CNG Installment Summary</v>
      </c>
      <c r="I24" s="271"/>
    </row>
    <row r="25" spans="2:9" ht="24" customHeight="1" x14ac:dyDescent="0.3">
      <c r="B25" s="269" t="str">
        <f>HYPERLINK("#'Loan Collection Summary'!A1","💼 Loan Summary")</f>
        <v>💼 Loan Summary</v>
      </c>
      <c r="C25" s="269"/>
      <c r="D25" s="261" t="str">
        <f>HYPERLINK("#'Central Fund Control'!A1","🏦 Fund Control")</f>
        <v>🏦 Fund Control</v>
      </c>
      <c r="E25" s="261"/>
      <c r="F25" s="262" t="str">
        <f>HYPERLINK("#'Investment Register'!A1","💹 Investments")</f>
        <v>💹 Investments</v>
      </c>
      <c r="G25" s="262"/>
      <c r="H25" s="263" t="str">
        <f>HYPERLINK("#'Profit &amp; Loss'!A1","📉 P&amp;L Statement")</f>
        <v>📉 P&amp;L Statement</v>
      </c>
      <c r="I25" s="263"/>
    </row>
    <row r="26" spans="2:9" ht="29.4" customHeight="1" x14ac:dyDescent="0.3">
      <c r="B26" s="264" t="str">
        <f>HYPERLINK("#'Share Maturity'!A1","🏁 Share Maturity")</f>
        <v>🏁 Share Maturity</v>
      </c>
      <c r="C26" s="264"/>
      <c r="D26" s="257" t="str">
        <f>HYPERLINK("#'Member Final Receivable'!A1","👤 Final Receivable")</f>
        <v>👤 Final Receivable</v>
      </c>
      <c r="E26" s="257"/>
    </row>
    <row r="27" spans="2:9" ht="18" customHeight="1" x14ac:dyDescent="0.3">
      <c r="B27" s="258" t="s">
        <v>27</v>
      </c>
      <c r="C27" s="258"/>
      <c r="D27" s="258"/>
      <c r="E27" s="258"/>
      <c r="F27" s="258"/>
      <c r="G27" s="258"/>
      <c r="H27" s="258"/>
      <c r="I27" s="258"/>
    </row>
    <row r="28" spans="2:9" ht="19.5" customHeight="1" x14ac:dyDescent="0.3"/>
    <row r="29" spans="2:9" ht="19.5" customHeight="1" x14ac:dyDescent="0.3"/>
    <row r="30" spans="2:9" ht="19.5" customHeight="1" x14ac:dyDescent="0.3"/>
    <row r="31" spans="2:9" ht="19.5" customHeight="1" x14ac:dyDescent="0.3"/>
    <row r="32" spans="2:9" ht="19.5" customHeight="1" x14ac:dyDescent="0.3"/>
    <row r="33" ht="19.5" customHeight="1" x14ac:dyDescent="0.3"/>
    <row r="34" ht="19.5" customHeight="1" x14ac:dyDescent="0.3"/>
    <row r="35" ht="19.5" customHeight="1" x14ac:dyDescent="0.3"/>
    <row r="36" ht="19.5" customHeight="1" x14ac:dyDescent="0.3"/>
    <row r="37" ht="19.5" customHeight="1" x14ac:dyDescent="0.3"/>
    <row r="38" ht="19.5" customHeight="1" x14ac:dyDescent="0.3"/>
    <row r="39" ht="19.5" customHeight="1" x14ac:dyDescent="0.3"/>
    <row r="40" ht="19.5" customHeight="1" x14ac:dyDescent="0.3"/>
    <row r="41" ht="19.5" customHeight="1" x14ac:dyDescent="0.3"/>
    <row r="42" ht="19.5" customHeight="1" x14ac:dyDescent="0.3"/>
    <row r="43" ht="19.5" customHeight="1" x14ac:dyDescent="0.3"/>
    <row r="44" ht="19.5" customHeight="1" x14ac:dyDescent="0.3"/>
    <row r="45" ht="19.5" customHeight="1" x14ac:dyDescent="0.3"/>
    <row r="46" ht="19.5" customHeight="1" x14ac:dyDescent="0.3"/>
    <row r="47" ht="19.5" customHeight="1" x14ac:dyDescent="0.3"/>
    <row r="48" ht="19.5" customHeight="1" x14ac:dyDescent="0.3"/>
    <row r="49" ht="19.5" customHeight="1" x14ac:dyDescent="0.3"/>
    <row r="50" ht="19.5" customHeight="1" x14ac:dyDescent="0.3"/>
    <row r="51" ht="19.5" customHeight="1" x14ac:dyDescent="0.3"/>
    <row r="52" ht="19.5" customHeight="1" x14ac:dyDescent="0.3"/>
    <row r="53" ht="19.5" customHeight="1" x14ac:dyDescent="0.3"/>
    <row r="54" ht="19.5" customHeight="1" x14ac:dyDescent="0.3"/>
  </sheetData>
  <mergeCells count="67">
    <mergeCell ref="B2:I2"/>
    <mergeCell ref="B3:I3"/>
    <mergeCell ref="B5:I5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4:C14"/>
    <mergeCell ref="D14:E14"/>
    <mergeCell ref="F14:G14"/>
    <mergeCell ref="H14:I14"/>
    <mergeCell ref="B19:I19"/>
    <mergeCell ref="D20:E20"/>
    <mergeCell ref="F20:G20"/>
    <mergeCell ref="H20:I20"/>
    <mergeCell ref="B15:C15"/>
    <mergeCell ref="D15:E15"/>
    <mergeCell ref="F15:G15"/>
    <mergeCell ref="H15:I15"/>
    <mergeCell ref="B16:C16"/>
    <mergeCell ref="B17:C17"/>
    <mergeCell ref="B25:C25"/>
    <mergeCell ref="B21:C21"/>
    <mergeCell ref="D21:E21"/>
    <mergeCell ref="F21:G21"/>
    <mergeCell ref="H21:I21"/>
    <mergeCell ref="B22:C22"/>
    <mergeCell ref="D22:E22"/>
    <mergeCell ref="F22:G22"/>
    <mergeCell ref="H24:I24"/>
    <mergeCell ref="D24:E24"/>
    <mergeCell ref="D26:E26"/>
    <mergeCell ref="B27:I27"/>
    <mergeCell ref="B6:I6"/>
    <mergeCell ref="B7:I7"/>
    <mergeCell ref="D25:E25"/>
    <mergeCell ref="F25:G25"/>
    <mergeCell ref="H25:I25"/>
    <mergeCell ref="B26:C26"/>
    <mergeCell ref="B20:C20"/>
    <mergeCell ref="H22:I22"/>
    <mergeCell ref="B23:C23"/>
    <mergeCell ref="D23:E23"/>
    <mergeCell ref="F23:G23"/>
    <mergeCell ref="H23:I23"/>
    <mergeCell ref="B24:C24"/>
    <mergeCell ref="F24:G24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showGridLines="0" tabSelected="1" topLeftCell="A51" zoomScaleNormal="100" workbookViewId="0">
      <selection activeCell="C74" sqref="C74"/>
    </sheetView>
  </sheetViews>
  <sheetFormatPr defaultColWidth="8.88671875" defaultRowHeight="14.4" x14ac:dyDescent="0.3"/>
  <cols>
    <col min="1" max="1" width="15" style="3" customWidth="1"/>
    <col min="2" max="2" width="13.5546875" style="3" customWidth="1"/>
    <col min="3" max="3" width="27.5546875" style="3" customWidth="1"/>
    <col min="4" max="4" width="16.6640625" style="3" customWidth="1"/>
    <col min="5" max="5" width="18" style="3" customWidth="1"/>
    <col min="6" max="6" width="13.109375" style="3" customWidth="1"/>
    <col min="7" max="7" width="21" style="3" customWidth="1"/>
    <col min="8" max="8" width="11" style="3" customWidth="1"/>
    <col min="9" max="16384" width="8.88671875" style="3"/>
  </cols>
  <sheetData>
    <row r="1" spans="1:9" ht="19.5" customHeight="1" x14ac:dyDescent="0.3">
      <c r="A1" s="4" t="str">
        <f>HYPERLINK("#DASHBOARD!A1","⬅ Dashboard")</f>
        <v>⬅ Dashboard</v>
      </c>
    </row>
    <row r="2" spans="1:9" s="5" customFormat="1" ht="36" customHeight="1" thickBot="1" x14ac:dyDescent="0.35">
      <c r="B2" s="291" t="s">
        <v>150</v>
      </c>
      <c r="C2" s="292"/>
      <c r="D2" s="292"/>
      <c r="E2" s="292"/>
      <c r="F2" s="292"/>
      <c r="G2" s="292"/>
      <c r="H2" s="292"/>
      <c r="I2" s="292"/>
    </row>
    <row r="3" spans="1:9" s="5" customFormat="1" ht="42.75" customHeight="1" x14ac:dyDescent="0.3">
      <c r="B3" s="6" t="s">
        <v>35</v>
      </c>
      <c r="C3" s="7" t="s">
        <v>36</v>
      </c>
      <c r="D3" s="7" t="s">
        <v>37</v>
      </c>
      <c r="E3" s="8" t="s">
        <v>38</v>
      </c>
      <c r="F3" s="8" t="s">
        <v>39</v>
      </c>
      <c r="G3" s="8" t="s">
        <v>40</v>
      </c>
      <c r="H3" s="9" t="s">
        <v>41</v>
      </c>
      <c r="I3" s="9" t="s">
        <v>339</v>
      </c>
    </row>
    <row r="4" spans="1:9" ht="14.25" customHeight="1" x14ac:dyDescent="0.3">
      <c r="B4" s="10">
        <f>'Monthly Collection-2023'!B4</f>
        <v>1</v>
      </c>
      <c r="C4" s="11" t="str">
        <f>'Monthly Collection-2023'!C4</f>
        <v>Monjurul Islam</v>
      </c>
      <c r="D4" s="12">
        <v>1814824030</v>
      </c>
      <c r="E4" s="11">
        <f>'Monthly Collection-2023'!E4</f>
        <v>3</v>
      </c>
      <c r="F4" s="11">
        <f t="shared" ref="F4:F35" si="0">E4*100</f>
        <v>300</v>
      </c>
      <c r="G4" s="11">
        <f>'Monthly Collection-2023'!AH4+'Monthly Collection-2024)'!BB4+'Monthly Collection-2025'!BB4+'Monthly Collection-2026'!BB4+'Monthly Collection-2027'!BB4+'Monthly Collection-2028'!BB4</f>
        <v>123000</v>
      </c>
      <c r="H4" s="13">
        <f>'Monthly Collection-2023'!AI4+'Monthly Collection-2024)'!BC4+'Monthly Collection-2025'!BC4+'Monthly Collection-2026'!BC4+'Monthly Collection-2027'!BC4+'Monthly Collection-2028'!BC4</f>
        <v>300</v>
      </c>
      <c r="I4" s="11" t="str">
        <f>IF(G4&gt;(E4*1000*41),"Advanced",IF(G4&lt;(E4*1000*41),"Due","Regular"))</f>
        <v>Regular</v>
      </c>
    </row>
    <row r="5" spans="1:9" ht="14.25" customHeight="1" x14ac:dyDescent="0.3">
      <c r="B5" s="14">
        <f>'Monthly Collection-2023'!B5</f>
        <v>2</v>
      </c>
      <c r="C5" s="15" t="str">
        <f>'Monthly Collection-2023'!C5</f>
        <v>Saiful Islam</v>
      </c>
      <c r="D5" s="16">
        <v>1816724075</v>
      </c>
      <c r="E5" s="15">
        <f>'Monthly Collection-2023'!E5</f>
        <v>2</v>
      </c>
      <c r="F5" s="15">
        <f t="shared" si="0"/>
        <v>200</v>
      </c>
      <c r="G5" s="15">
        <f>'Monthly Collection-2023'!AH5+'Monthly Collection-2024)'!BB5+'Monthly Collection-2025'!BB5+'Monthly Collection-2026'!BB5+'Monthly Collection-2027'!BB5+'Monthly Collection-2028'!BB5</f>
        <v>82000</v>
      </c>
      <c r="H5" s="17">
        <f>'Monthly Collection-2023'!AI5+'Monthly Collection-2024)'!BC5+'Monthly Collection-2025'!BC5+'Monthly Collection-2026'!BC5+'Monthly Collection-2027'!BC5+'Monthly Collection-2028'!BC5</f>
        <v>0</v>
      </c>
      <c r="I5" s="11" t="str">
        <f t="shared" ref="I5:I68" si="1">IF(G5&gt;(E5*1000*41),"Advanced",IF(G5&lt;(E5*1000*41),"Due","Regular"))</f>
        <v>Regular</v>
      </c>
    </row>
    <row r="6" spans="1:9" ht="14.25" customHeight="1" x14ac:dyDescent="0.3">
      <c r="B6" s="10">
        <f>'Monthly Collection-2023'!B6</f>
        <v>3</v>
      </c>
      <c r="C6" s="11" t="str">
        <f>'Monthly Collection-2023'!C6</f>
        <v>Mohammad Tawhidul Islam</v>
      </c>
      <c r="D6" s="12">
        <v>1846506898</v>
      </c>
      <c r="E6" s="11">
        <f>'Monthly Collection-2023'!E6</f>
        <v>2</v>
      </c>
      <c r="F6" s="11">
        <f t="shared" si="0"/>
        <v>200</v>
      </c>
      <c r="G6" s="11">
        <f>'Monthly Collection-2023'!AH6+'Monthly Collection-2024)'!BB6+'Monthly Collection-2025'!BB6+'Monthly Collection-2026'!BB6+'Monthly Collection-2027'!BB6+'Monthly Collection-2028'!BB6</f>
        <v>82000</v>
      </c>
      <c r="H6" s="13">
        <f>'Monthly Collection-2023'!AI6+'Monthly Collection-2024)'!BC6+'Monthly Collection-2025'!BC6+'Monthly Collection-2026'!BC6+'Monthly Collection-2027'!BC6+'Monthly Collection-2028'!BC6</f>
        <v>100</v>
      </c>
      <c r="I6" s="11" t="str">
        <f t="shared" si="1"/>
        <v>Regular</v>
      </c>
    </row>
    <row r="7" spans="1:9" ht="14.25" customHeight="1" x14ac:dyDescent="0.3">
      <c r="B7" s="14">
        <f>'Monthly Collection-2023'!B7</f>
        <v>4</v>
      </c>
      <c r="C7" s="15" t="str">
        <f>'Monthly Collection-2023'!C7</f>
        <v>Amanat Khan</v>
      </c>
      <c r="D7" s="18">
        <v>966551311461</v>
      </c>
      <c r="E7" s="15">
        <f>'Monthly Collection-2023'!E7</f>
        <v>5</v>
      </c>
      <c r="F7" s="15">
        <f t="shared" si="0"/>
        <v>500</v>
      </c>
      <c r="G7" s="15">
        <f>'Monthly Collection-2023'!AH7+'Monthly Collection-2024)'!BB7+'Monthly Collection-2025'!BB7+'Monthly Collection-2026'!BB7+'Monthly Collection-2027'!BB7+'Monthly Collection-2028'!BB7</f>
        <v>205000</v>
      </c>
      <c r="H7" s="17">
        <f>'Monthly Collection-2023'!AI7+'Monthly Collection-2024)'!BC7+'Monthly Collection-2025'!BC7+'Monthly Collection-2026'!BC7+'Monthly Collection-2027'!BC7+'Monthly Collection-2028'!BC7</f>
        <v>0</v>
      </c>
      <c r="I7" s="11" t="str">
        <f t="shared" si="1"/>
        <v>Regular</v>
      </c>
    </row>
    <row r="8" spans="1:9" ht="14.25" customHeight="1" x14ac:dyDescent="0.3">
      <c r="B8" s="10">
        <f>'Monthly Collection-2023'!B8</f>
        <v>5</v>
      </c>
      <c r="C8" s="11" t="str">
        <f>'Monthly Collection-2023'!C8</f>
        <v>Nurunnabi Hosen Tanzid</v>
      </c>
      <c r="D8" s="12">
        <v>1838848678</v>
      </c>
      <c r="E8" s="11">
        <f>'Monthly Collection-2023'!E8</f>
        <v>2</v>
      </c>
      <c r="F8" s="11">
        <f t="shared" si="0"/>
        <v>200</v>
      </c>
      <c r="G8" s="11">
        <f>'Monthly Collection-2023'!AH8+'Monthly Collection-2024)'!BB8+'Monthly Collection-2025'!BB8+'Monthly Collection-2026'!BB8+'Monthly Collection-2027'!BB8+'Monthly Collection-2028'!BB8</f>
        <v>82000</v>
      </c>
      <c r="H8" s="13">
        <f>'Monthly Collection-2023'!AI8+'Monthly Collection-2024)'!BC8+'Monthly Collection-2025'!BC8+'Monthly Collection-2026'!BC8+'Monthly Collection-2027'!BC8+'Monthly Collection-2028'!BC8</f>
        <v>300</v>
      </c>
      <c r="I8" s="11" t="str">
        <f t="shared" si="1"/>
        <v>Regular</v>
      </c>
    </row>
    <row r="9" spans="1:9" ht="14.25" customHeight="1" x14ac:dyDescent="0.3">
      <c r="B9" s="14">
        <f>'Monthly Collection-2023'!B9</f>
        <v>6</v>
      </c>
      <c r="C9" s="15" t="str">
        <f>'Monthly Collection-2023'!C9</f>
        <v>Jashim Uddin</v>
      </c>
      <c r="D9" s="18">
        <v>966538760537</v>
      </c>
      <c r="E9" s="15">
        <f>'Monthly Collection-2023'!E9</f>
        <v>2</v>
      </c>
      <c r="F9" s="15">
        <f t="shared" si="0"/>
        <v>200</v>
      </c>
      <c r="G9" s="15">
        <f>'Monthly Collection-2023'!AH9+'Monthly Collection-2024)'!BB9+'Monthly Collection-2025'!BB9+'Monthly Collection-2026'!BB9+'Monthly Collection-2027'!BB9+'Monthly Collection-2028'!BB9</f>
        <v>82000</v>
      </c>
      <c r="H9" s="17">
        <f>'Monthly Collection-2023'!AI9+'Monthly Collection-2024)'!BC9+'Monthly Collection-2025'!BC9+'Monthly Collection-2026'!BC9+'Monthly Collection-2027'!BC9+'Monthly Collection-2028'!BC9</f>
        <v>0</v>
      </c>
      <c r="I9" s="11" t="str">
        <f t="shared" si="1"/>
        <v>Regular</v>
      </c>
    </row>
    <row r="10" spans="1:9" ht="14.25" customHeight="1" x14ac:dyDescent="0.3">
      <c r="B10" s="10">
        <f>'Monthly Collection-2023'!B10</f>
        <v>7</v>
      </c>
      <c r="C10" s="11" t="str">
        <f>'Monthly Collection-2023'!C10</f>
        <v>Shibu Sankar Karmaker</v>
      </c>
      <c r="D10" s="12">
        <v>1885946523</v>
      </c>
      <c r="E10" s="11">
        <f>'Monthly Collection-2023'!E10</f>
        <v>2</v>
      </c>
      <c r="F10" s="11">
        <f t="shared" si="0"/>
        <v>200</v>
      </c>
      <c r="G10" s="11">
        <f>'Monthly Collection-2023'!AH10+'Monthly Collection-2024)'!BB10+'Monthly Collection-2025'!BB10+'Monthly Collection-2026'!BB10+'Monthly Collection-2027'!BB10+'Monthly Collection-2028'!BB10</f>
        <v>82000</v>
      </c>
      <c r="H10" s="13">
        <f>'Monthly Collection-2023'!AI10+'Monthly Collection-2024)'!BC10+'Monthly Collection-2025'!BC10+'Monthly Collection-2026'!BC10+'Monthly Collection-2027'!BC10+'Monthly Collection-2028'!BC10</f>
        <v>0</v>
      </c>
      <c r="I10" s="11" t="str">
        <f t="shared" si="1"/>
        <v>Regular</v>
      </c>
    </row>
    <row r="11" spans="1:9" ht="14.25" customHeight="1" x14ac:dyDescent="0.3">
      <c r="B11" s="14">
        <f>'Monthly Collection-2023'!B11</f>
        <v>8</v>
      </c>
      <c r="C11" s="15" t="str">
        <f>'Monthly Collection-2023'!C11</f>
        <v>Monsur</v>
      </c>
      <c r="D11" s="16">
        <v>1608632799</v>
      </c>
      <c r="E11" s="15">
        <f>'Monthly Collection-2023'!E11</f>
        <v>2</v>
      </c>
      <c r="F11" s="15">
        <f t="shared" si="0"/>
        <v>200</v>
      </c>
      <c r="G11" s="15">
        <f>'Monthly Collection-2023'!AH11+'Monthly Collection-2024)'!BB11+'Monthly Collection-2025'!BB11+'Monthly Collection-2026'!BB11+'Monthly Collection-2027'!BB11+'Monthly Collection-2028'!BB11</f>
        <v>82000</v>
      </c>
      <c r="H11" s="17">
        <f>'Monthly Collection-2023'!AI11+'Monthly Collection-2024)'!BC11+'Monthly Collection-2025'!BC11+'Monthly Collection-2026'!BC11+'Monthly Collection-2027'!BC11+'Monthly Collection-2028'!BC11</f>
        <v>0</v>
      </c>
      <c r="I11" s="11" t="str">
        <f t="shared" si="1"/>
        <v>Regular</v>
      </c>
    </row>
    <row r="12" spans="1:9" ht="14.25" customHeight="1" x14ac:dyDescent="0.3">
      <c r="B12" s="10">
        <f>'Monthly Collection-2023'!B12</f>
        <v>9</v>
      </c>
      <c r="C12" s="11" t="str">
        <f>'Monthly Collection-2023'!C12</f>
        <v>Monjur Alam</v>
      </c>
      <c r="D12" s="12">
        <v>1811938007</v>
      </c>
      <c r="E12" s="11">
        <f>'Monthly Collection-2023'!E12</f>
        <v>2</v>
      </c>
      <c r="F12" s="11">
        <f t="shared" si="0"/>
        <v>200</v>
      </c>
      <c r="G12" s="11">
        <f>'Monthly Collection-2023'!AH12+'Monthly Collection-2024)'!BB12+'Monthly Collection-2025'!BB12+'Monthly Collection-2026'!BB12+'Monthly Collection-2027'!BB12+'Monthly Collection-2028'!BB12</f>
        <v>82000</v>
      </c>
      <c r="H12" s="13">
        <f>'Monthly Collection-2023'!AI12+'Monthly Collection-2024)'!BC12+'Monthly Collection-2025'!BC12+'Monthly Collection-2026'!BC12+'Monthly Collection-2027'!BC12+'Monthly Collection-2028'!BC12</f>
        <v>100</v>
      </c>
      <c r="I12" s="11" t="str">
        <f t="shared" si="1"/>
        <v>Regular</v>
      </c>
    </row>
    <row r="13" spans="1:9" ht="14.25" customHeight="1" x14ac:dyDescent="0.3">
      <c r="B13" s="14">
        <f>'Monthly Collection-2023'!B13</f>
        <v>10</v>
      </c>
      <c r="C13" s="15" t="str">
        <f>'Monthly Collection-2023'!C13</f>
        <v>Rupal Kanti Karmaker</v>
      </c>
      <c r="D13" s="16">
        <v>1812934934</v>
      </c>
      <c r="E13" s="15">
        <f>'Monthly Collection-2023'!E13</f>
        <v>1</v>
      </c>
      <c r="F13" s="15">
        <f t="shared" si="0"/>
        <v>100</v>
      </c>
      <c r="G13" s="15">
        <f>'Monthly Collection-2023'!AH13+'Monthly Collection-2024)'!BB13+'Monthly Collection-2025'!BB13+'Monthly Collection-2026'!BB13+'Monthly Collection-2027'!BB13+'Monthly Collection-2028'!BB13</f>
        <v>40000</v>
      </c>
      <c r="H13" s="17">
        <f>'Monthly Collection-2023'!AI13+'Monthly Collection-2024)'!BC13+'Monthly Collection-2025'!BC13+'Monthly Collection-2026'!BC13+'Monthly Collection-2027'!BC13+'Monthly Collection-2028'!BC13</f>
        <v>100</v>
      </c>
      <c r="I13" s="11" t="str">
        <f t="shared" si="1"/>
        <v>Due</v>
      </c>
    </row>
    <row r="14" spans="1:9" ht="14.25" customHeight="1" x14ac:dyDescent="0.3">
      <c r="B14" s="10">
        <f>'Monthly Collection-2023'!B14</f>
        <v>11</v>
      </c>
      <c r="C14" s="11" t="str">
        <f>'Monthly Collection-2023'!C14</f>
        <v>Yousof</v>
      </c>
      <c r="D14" s="12">
        <v>1858217297</v>
      </c>
      <c r="E14" s="11">
        <f>'Monthly Collection-2023'!E14</f>
        <v>3</v>
      </c>
      <c r="F14" s="11">
        <f t="shared" si="0"/>
        <v>300</v>
      </c>
      <c r="G14" s="11">
        <f>'Monthly Collection-2023'!AH14+'Monthly Collection-2024)'!BB14+'Monthly Collection-2025'!BB14+'Monthly Collection-2026'!BB14+'Monthly Collection-2027'!BB14+'Monthly Collection-2028'!BB14</f>
        <v>123000</v>
      </c>
      <c r="H14" s="13">
        <f>'Monthly Collection-2023'!AI14+'Monthly Collection-2024)'!BC14+'Monthly Collection-2025'!BC14+'Monthly Collection-2026'!BC14+'Monthly Collection-2027'!BC14+'Monthly Collection-2028'!BC14</f>
        <v>0</v>
      </c>
      <c r="I14" s="11" t="str">
        <f t="shared" si="1"/>
        <v>Regular</v>
      </c>
    </row>
    <row r="15" spans="1:9" ht="14.25" customHeight="1" x14ac:dyDescent="0.3">
      <c r="B15" s="14">
        <f>'Monthly Collection-2023'!B15</f>
        <v>12</v>
      </c>
      <c r="C15" s="15" t="str">
        <f>'Monthly Collection-2023'!C15</f>
        <v>Arjun Kanti Karmaker</v>
      </c>
      <c r="D15" s="16" t="s">
        <v>83</v>
      </c>
      <c r="E15" s="15">
        <f>'Monthly Collection-2023'!E15</f>
        <v>1</v>
      </c>
      <c r="F15" s="15">
        <f t="shared" si="0"/>
        <v>100</v>
      </c>
      <c r="G15" s="15">
        <f>'Monthly Collection-2023'!AH15+'Monthly Collection-2024)'!BB15+'Monthly Collection-2025'!BB15+'Monthly Collection-2026'!BB15+'Monthly Collection-2027'!BB15+'Monthly Collection-2028'!BB15</f>
        <v>41000</v>
      </c>
      <c r="H15" s="17">
        <f>'Monthly Collection-2023'!AI15+'Monthly Collection-2024)'!BC15+'Monthly Collection-2025'!BC15+'Monthly Collection-2026'!BC15+'Monthly Collection-2027'!BC15+'Monthly Collection-2028'!BC15</f>
        <v>0</v>
      </c>
      <c r="I15" s="11" t="str">
        <f t="shared" si="1"/>
        <v>Regular</v>
      </c>
    </row>
    <row r="16" spans="1:9" ht="14.25" customHeight="1" x14ac:dyDescent="0.3">
      <c r="B16" s="10">
        <f>'Monthly Collection-2023'!B16</f>
        <v>13</v>
      </c>
      <c r="C16" s="11" t="str">
        <f>'Monthly Collection-2023'!C16</f>
        <v>Abdul Jabber</v>
      </c>
      <c r="D16" s="12">
        <v>1814941801</v>
      </c>
      <c r="E16" s="11">
        <f>'Monthly Collection-2023'!E16</f>
        <v>2</v>
      </c>
      <c r="F16" s="11">
        <f t="shared" si="0"/>
        <v>200</v>
      </c>
      <c r="G16" s="11">
        <f>'Monthly Collection-2023'!AH16+'Monthly Collection-2024)'!BB16+'Monthly Collection-2025'!BB16+'Monthly Collection-2026'!BB16+'Monthly Collection-2027'!BB16+'Monthly Collection-2028'!BB16</f>
        <v>82000</v>
      </c>
      <c r="H16" s="13">
        <f>'Monthly Collection-2023'!AI16+'Monthly Collection-2024)'!BC16+'Monthly Collection-2025'!BC16+'Monthly Collection-2026'!BC16+'Monthly Collection-2027'!BC16+'Monthly Collection-2028'!BC16</f>
        <v>0</v>
      </c>
      <c r="I16" s="11" t="str">
        <f t="shared" si="1"/>
        <v>Regular</v>
      </c>
    </row>
    <row r="17" spans="2:9" ht="14.25" customHeight="1" x14ac:dyDescent="0.3">
      <c r="B17" s="14">
        <f>'Monthly Collection-2023'!B17</f>
        <v>14</v>
      </c>
      <c r="C17" s="15" t="str">
        <f>'Monthly Collection-2023'!C17</f>
        <v>Mohammad Helal Uddin</v>
      </c>
      <c r="D17" s="16">
        <v>1819700976</v>
      </c>
      <c r="E17" s="15">
        <f>'Monthly Collection-2023'!E17</f>
        <v>3</v>
      </c>
      <c r="F17" s="15">
        <f t="shared" si="0"/>
        <v>300</v>
      </c>
      <c r="G17" s="15">
        <f>'Monthly Collection-2023'!AH17+'Monthly Collection-2024)'!BB17+'Monthly Collection-2025'!BB17+'Monthly Collection-2026'!BB17+'Monthly Collection-2027'!BB17+'Monthly Collection-2028'!BB17</f>
        <v>123000</v>
      </c>
      <c r="H17" s="17">
        <f>'Monthly Collection-2023'!AI17+'Monthly Collection-2024)'!BC17+'Monthly Collection-2025'!BC17+'Monthly Collection-2026'!BC17+'Monthly Collection-2027'!BC17+'Monthly Collection-2028'!BC17</f>
        <v>0</v>
      </c>
      <c r="I17" s="11" t="str">
        <f t="shared" si="1"/>
        <v>Regular</v>
      </c>
    </row>
    <row r="18" spans="2:9" ht="14.25" customHeight="1" x14ac:dyDescent="0.3">
      <c r="B18" s="10">
        <f>'Monthly Collection-2023'!B18</f>
        <v>15</v>
      </c>
      <c r="C18" s="11" t="str">
        <f>'Monthly Collection-2023'!C18</f>
        <v>Abul Kashem</v>
      </c>
      <c r="D18" s="12">
        <v>1871777022</v>
      </c>
      <c r="E18" s="11">
        <f>'Monthly Collection-2023'!E18</f>
        <v>3</v>
      </c>
      <c r="F18" s="11">
        <f t="shared" si="0"/>
        <v>300</v>
      </c>
      <c r="G18" s="11">
        <f>'Monthly Collection-2023'!AH18+'Monthly Collection-2024)'!BB18+'Monthly Collection-2025'!BB18+'Monthly Collection-2026'!BB18+'Monthly Collection-2027'!BB18+'Monthly Collection-2028'!BB18</f>
        <v>123000</v>
      </c>
      <c r="H18" s="13">
        <f>'Monthly Collection-2023'!AI18+'Monthly Collection-2024)'!BC18+'Monthly Collection-2025'!BC18+'Monthly Collection-2026'!BC18+'Monthly Collection-2027'!BC18+'Monthly Collection-2028'!BC18</f>
        <v>0</v>
      </c>
      <c r="I18" s="11" t="str">
        <f t="shared" si="1"/>
        <v>Regular</v>
      </c>
    </row>
    <row r="19" spans="2:9" ht="14.25" customHeight="1" x14ac:dyDescent="0.3">
      <c r="B19" s="14">
        <f>'Monthly Collection-2023'!B19</f>
        <v>16</v>
      </c>
      <c r="C19" s="15" t="str">
        <f>'Monthly Collection-2023'!C19</f>
        <v>Uzzal Karmaker</v>
      </c>
      <c r="D19" s="16">
        <v>1820016020</v>
      </c>
      <c r="E19" s="15">
        <f>'Monthly Collection-2023'!E19</f>
        <v>2</v>
      </c>
      <c r="F19" s="15">
        <f t="shared" si="0"/>
        <v>200</v>
      </c>
      <c r="G19" s="15">
        <f>'Monthly Collection-2023'!AH19+'Monthly Collection-2024)'!BB19+'Monthly Collection-2025'!BB19+'Monthly Collection-2026'!BB19+'Monthly Collection-2027'!BB19+'Monthly Collection-2028'!BB19</f>
        <v>80000</v>
      </c>
      <c r="H19" s="17">
        <f>'Monthly Collection-2023'!AI19+'Monthly Collection-2024)'!BC19+'Monthly Collection-2025'!BC19+'Monthly Collection-2026'!BC19+'Monthly Collection-2027'!BC19+'Monthly Collection-2028'!BC19</f>
        <v>300</v>
      </c>
      <c r="I19" s="11" t="str">
        <f t="shared" si="1"/>
        <v>Due</v>
      </c>
    </row>
    <row r="20" spans="2:9" ht="14.25" customHeight="1" x14ac:dyDescent="0.3">
      <c r="B20" s="10">
        <f>'Monthly Collection-2023'!B20</f>
        <v>17</v>
      </c>
      <c r="C20" s="11" t="str">
        <f>'Monthly Collection-2023'!C20</f>
        <v>Jahedul Islam</v>
      </c>
      <c r="D20" s="19">
        <v>971562765681</v>
      </c>
      <c r="E20" s="11">
        <f>'Monthly Collection-2023'!E20</f>
        <v>2</v>
      </c>
      <c r="F20" s="11">
        <f t="shared" si="0"/>
        <v>200</v>
      </c>
      <c r="G20" s="11">
        <f>'Monthly Collection-2023'!AH20+'Monthly Collection-2024)'!BB20+'Monthly Collection-2025'!BB20+'Monthly Collection-2026'!BB20+'Monthly Collection-2027'!BB20+'Monthly Collection-2028'!BB20</f>
        <v>82000</v>
      </c>
      <c r="H20" s="13">
        <f>'Monthly Collection-2023'!AI20+'Monthly Collection-2024)'!BC20+'Monthly Collection-2025'!BC20+'Monthly Collection-2026'!BC20+'Monthly Collection-2027'!BC20+'Monthly Collection-2028'!BC20</f>
        <v>0</v>
      </c>
      <c r="I20" s="11" t="str">
        <f t="shared" si="1"/>
        <v>Regular</v>
      </c>
    </row>
    <row r="21" spans="2:9" ht="14.25" customHeight="1" x14ac:dyDescent="0.3">
      <c r="B21" s="14">
        <f>'Monthly Collection-2023'!B21</f>
        <v>18</v>
      </c>
      <c r="C21" s="15" t="str">
        <f>'Monthly Collection-2023'!C21</f>
        <v>Mohammad Alamgir</v>
      </c>
      <c r="D21" s="16">
        <v>1822092650</v>
      </c>
      <c r="E21" s="15">
        <f>'Monthly Collection-2023'!E21</f>
        <v>2</v>
      </c>
      <c r="F21" s="15">
        <f t="shared" si="0"/>
        <v>200</v>
      </c>
      <c r="G21" s="15">
        <f>'Monthly Collection-2023'!AH21+'Monthly Collection-2024)'!BB21+'Monthly Collection-2025'!BB21+'Monthly Collection-2026'!BB21+'Monthly Collection-2027'!BB21+'Monthly Collection-2028'!BB21</f>
        <v>86000</v>
      </c>
      <c r="H21" s="17">
        <f>'Monthly Collection-2023'!AI21+'Monthly Collection-2024)'!BC21+'Monthly Collection-2025'!BC21+'Monthly Collection-2026'!BC21+'Monthly Collection-2027'!BC21+'Monthly Collection-2028'!BC21</f>
        <v>100</v>
      </c>
      <c r="I21" s="11" t="str">
        <f t="shared" si="1"/>
        <v>Advanced</v>
      </c>
    </row>
    <row r="22" spans="2:9" ht="14.25" customHeight="1" x14ac:dyDescent="0.3">
      <c r="B22" s="10">
        <f>'Monthly Collection-2023'!B22</f>
        <v>19</v>
      </c>
      <c r="C22" s="11" t="str">
        <f>'Monthly Collection-2023'!C22</f>
        <v>Kafil Uddin</v>
      </c>
      <c r="D22" s="19">
        <v>966534770192</v>
      </c>
      <c r="E22" s="11">
        <f>'Monthly Collection-2023'!E22</f>
        <v>1</v>
      </c>
      <c r="F22" s="11">
        <f t="shared" si="0"/>
        <v>100</v>
      </c>
      <c r="G22" s="11">
        <f>'Monthly Collection-2023'!AH22+'Monthly Collection-2024)'!BB22+'Monthly Collection-2025'!BB22+'Monthly Collection-2026'!BB22+'Monthly Collection-2027'!BB22+'Monthly Collection-2028'!BB22</f>
        <v>41000</v>
      </c>
      <c r="H22" s="13">
        <f>'Monthly Collection-2023'!AI22+'Monthly Collection-2024)'!BC22+'Monthly Collection-2025'!BC22+'Monthly Collection-2026'!BC22+'Monthly Collection-2027'!BC22+'Monthly Collection-2028'!BC22</f>
        <v>0</v>
      </c>
      <c r="I22" s="11" t="str">
        <f t="shared" si="1"/>
        <v>Regular</v>
      </c>
    </row>
    <row r="23" spans="2:9" ht="14.25" customHeight="1" x14ac:dyDescent="0.3">
      <c r="B23" s="14">
        <f>'Monthly Collection-2023'!B23</f>
        <v>20</v>
      </c>
      <c r="C23" s="15" t="str">
        <f>'Monthly Collection-2023'!C23</f>
        <v>Mohammudul Hoque</v>
      </c>
      <c r="D23" s="16">
        <v>1816821801</v>
      </c>
      <c r="E23" s="15">
        <f>'Monthly Collection-2023'!E23</f>
        <v>2</v>
      </c>
      <c r="F23" s="15">
        <f t="shared" si="0"/>
        <v>200</v>
      </c>
      <c r="G23" s="15">
        <f>'Monthly Collection-2023'!AH23+'Monthly Collection-2024)'!BB23+'Monthly Collection-2025'!BB23+'Monthly Collection-2026'!BB23+'Monthly Collection-2027'!BB23+'Monthly Collection-2028'!BB23</f>
        <v>82000</v>
      </c>
      <c r="H23" s="17">
        <f>'Monthly Collection-2023'!AI23+'Monthly Collection-2024)'!BC23+'Monthly Collection-2025'!BC23+'Monthly Collection-2026'!BC23+'Monthly Collection-2027'!BC23+'Monthly Collection-2028'!BC23</f>
        <v>0</v>
      </c>
      <c r="I23" s="11" t="str">
        <f t="shared" si="1"/>
        <v>Regular</v>
      </c>
    </row>
    <row r="24" spans="2:9" ht="14.25" customHeight="1" x14ac:dyDescent="0.3">
      <c r="B24" s="10">
        <f>'Monthly Collection-2023'!B24</f>
        <v>21</v>
      </c>
      <c r="C24" s="11" t="str">
        <f>'Monthly Collection-2023'!C24</f>
        <v>Nurul Amin</v>
      </c>
      <c r="D24" s="12">
        <v>1820989105</v>
      </c>
      <c r="E24" s="11">
        <f>'Monthly Collection-2023'!E24</f>
        <v>1</v>
      </c>
      <c r="F24" s="11">
        <f t="shared" si="0"/>
        <v>100</v>
      </c>
      <c r="G24" s="11">
        <f>'Monthly Collection-2023'!AH24+'Monthly Collection-2024)'!BB24+'Monthly Collection-2025'!BB24+'Monthly Collection-2026'!BB24+'Monthly Collection-2027'!BB24+'Monthly Collection-2028'!BB24</f>
        <v>41000</v>
      </c>
      <c r="H24" s="13">
        <f>'Monthly Collection-2023'!AI24+'Monthly Collection-2024)'!BC24+'Monthly Collection-2025'!BC24+'Monthly Collection-2026'!BC24+'Monthly Collection-2027'!BC24+'Monthly Collection-2028'!BC24</f>
        <v>50</v>
      </c>
      <c r="I24" s="11" t="str">
        <f t="shared" si="1"/>
        <v>Regular</v>
      </c>
    </row>
    <row r="25" spans="2:9" ht="14.25" customHeight="1" x14ac:dyDescent="0.3">
      <c r="B25" s="14">
        <f>'Monthly Collection-2023'!B25</f>
        <v>22</v>
      </c>
      <c r="C25" s="15" t="str">
        <f>'Monthly Collection-2023'!C25</f>
        <v>Abul Kashem</v>
      </c>
      <c r="D25" s="16">
        <v>1873812598</v>
      </c>
      <c r="E25" s="15">
        <f>'Monthly Collection-2023'!E25</f>
        <v>1</v>
      </c>
      <c r="F25" s="15">
        <f t="shared" si="0"/>
        <v>100</v>
      </c>
      <c r="G25" s="15">
        <f>'Monthly Collection-2023'!AH25+'Monthly Collection-2024)'!BB25+'Monthly Collection-2025'!BB25+'Monthly Collection-2026'!BB25+'Monthly Collection-2027'!BB25+'Monthly Collection-2028'!BB25</f>
        <v>40000</v>
      </c>
      <c r="H25" s="17">
        <f>'Monthly Collection-2023'!AI25+'Monthly Collection-2024)'!BC25+'Monthly Collection-2025'!BC25+'Monthly Collection-2026'!BC25+'Monthly Collection-2027'!BC25+'Monthly Collection-2028'!BC25</f>
        <v>150</v>
      </c>
      <c r="I25" s="11" t="str">
        <f t="shared" si="1"/>
        <v>Due</v>
      </c>
    </row>
    <row r="26" spans="2:9" ht="14.25" customHeight="1" x14ac:dyDescent="0.3">
      <c r="B26" s="10">
        <f>'Monthly Collection-2023'!B26</f>
        <v>23</v>
      </c>
      <c r="C26" s="11" t="str">
        <f>'Monthly Collection-2023'!C26</f>
        <v>Belal Uddin</v>
      </c>
      <c r="D26" s="12">
        <v>1815073916</v>
      </c>
      <c r="E26" s="11">
        <f>'Monthly Collection-2023'!E26</f>
        <v>1</v>
      </c>
      <c r="F26" s="11">
        <f t="shared" si="0"/>
        <v>100</v>
      </c>
      <c r="G26" s="11">
        <f>'Monthly Collection-2023'!AH26+'Monthly Collection-2024)'!BB26+'Monthly Collection-2025'!BB26+'Monthly Collection-2026'!BB26+'Monthly Collection-2027'!BB26+'Monthly Collection-2028'!BB26</f>
        <v>37000</v>
      </c>
      <c r="H26" s="13">
        <f>'Monthly Collection-2023'!AI26+'Monthly Collection-2024)'!BC26+'Monthly Collection-2025'!BC26+'Monthly Collection-2026'!BC26+'Monthly Collection-2027'!BC26+'Monthly Collection-2028'!BC26</f>
        <v>650</v>
      </c>
      <c r="I26" s="11" t="str">
        <f t="shared" si="1"/>
        <v>Due</v>
      </c>
    </row>
    <row r="27" spans="2:9" ht="14.25" customHeight="1" x14ac:dyDescent="0.3">
      <c r="B27" s="14">
        <f>'Monthly Collection-2023'!B27</f>
        <v>24</v>
      </c>
      <c r="C27" s="15" t="str">
        <f>'Monthly Collection-2023'!C27</f>
        <v>Md. Helal Uddin</v>
      </c>
      <c r="D27" s="16">
        <v>1860493163</v>
      </c>
      <c r="E27" s="15">
        <f>'Monthly Collection-2023'!E27</f>
        <v>1</v>
      </c>
      <c r="F27" s="15">
        <f t="shared" si="0"/>
        <v>100</v>
      </c>
      <c r="G27" s="15">
        <f>'Monthly Collection-2023'!AH27+'Monthly Collection-2024)'!BB27+'Monthly Collection-2025'!BB27+'Monthly Collection-2026'!BB27+'Monthly Collection-2027'!BB27+'Monthly Collection-2028'!BB27</f>
        <v>36000</v>
      </c>
      <c r="H27" s="17">
        <f>'Monthly Collection-2023'!AI27+'Monthly Collection-2024)'!BC27+'Monthly Collection-2025'!BC27+'Monthly Collection-2026'!BC27+'Monthly Collection-2027'!BC27+'Monthly Collection-2028'!BC27</f>
        <v>1600</v>
      </c>
      <c r="I27" s="11" t="str">
        <f t="shared" si="1"/>
        <v>Due</v>
      </c>
    </row>
    <row r="28" spans="2:9" ht="14.25" customHeight="1" x14ac:dyDescent="0.3">
      <c r="B28" s="10">
        <f>'Monthly Collection-2023'!B28</f>
        <v>25</v>
      </c>
      <c r="C28" s="11" t="str">
        <f>'Monthly Collection-2023'!C28</f>
        <v>Md.Hamid</v>
      </c>
      <c r="D28" s="12">
        <v>1870876309</v>
      </c>
      <c r="E28" s="11">
        <f>'Monthly Collection-2023'!E28</f>
        <v>1</v>
      </c>
      <c r="F28" s="11">
        <f t="shared" si="0"/>
        <v>100</v>
      </c>
      <c r="G28" s="11">
        <f>'Monthly Collection-2023'!AH28+'Monthly Collection-2024)'!BB28+'Monthly Collection-2025'!BB28+'Monthly Collection-2026'!BB28+'Monthly Collection-2027'!BB28+'Monthly Collection-2028'!BB28</f>
        <v>41000</v>
      </c>
      <c r="H28" s="13">
        <f>'Monthly Collection-2023'!AI28+'Monthly Collection-2024)'!BC28+'Monthly Collection-2025'!BC28+'Monthly Collection-2026'!BC28+'Monthly Collection-2027'!BC28+'Monthly Collection-2028'!BC28</f>
        <v>150</v>
      </c>
      <c r="I28" s="11" t="str">
        <f t="shared" si="1"/>
        <v>Regular</v>
      </c>
    </row>
    <row r="29" spans="2:9" ht="14.25" customHeight="1" x14ac:dyDescent="0.3">
      <c r="B29" s="14">
        <f>'Monthly Collection-2023'!B29</f>
        <v>26</v>
      </c>
      <c r="C29" s="15" t="str">
        <f>'Monthly Collection-2023'!C29</f>
        <v>Samsul Alam</v>
      </c>
      <c r="D29" s="16">
        <v>1865394799</v>
      </c>
      <c r="E29" s="15">
        <f>'Monthly Collection-2023'!E29</f>
        <v>3</v>
      </c>
      <c r="F29" s="15">
        <f t="shared" si="0"/>
        <v>300</v>
      </c>
      <c r="G29" s="15">
        <f>'Monthly Collection-2023'!AH29+'Monthly Collection-2024)'!BB29+'Monthly Collection-2025'!BB29+'Monthly Collection-2026'!BB29+'Monthly Collection-2027'!BB29+'Monthly Collection-2028'!BB29</f>
        <v>120000</v>
      </c>
      <c r="H29" s="17">
        <f>'Monthly Collection-2023'!AI29+'Monthly Collection-2024)'!BC29+'Monthly Collection-2025'!BC29+'Monthly Collection-2026'!BC29+'Monthly Collection-2027'!BC29+'Monthly Collection-2028'!BC29</f>
        <v>150</v>
      </c>
      <c r="I29" s="11" t="str">
        <f t="shared" si="1"/>
        <v>Due</v>
      </c>
    </row>
    <row r="30" spans="2:9" ht="14.25" customHeight="1" x14ac:dyDescent="0.3">
      <c r="B30" s="10">
        <f>'Monthly Collection-2023'!B30</f>
        <v>27</v>
      </c>
      <c r="C30" s="11" t="str">
        <f>'Monthly Collection-2023'!C30</f>
        <v>Riad Hossen</v>
      </c>
      <c r="D30" s="12">
        <v>1882217274</v>
      </c>
      <c r="E30" s="11">
        <f>'Monthly Collection-2023'!E30</f>
        <v>1</v>
      </c>
      <c r="F30" s="11">
        <f t="shared" si="0"/>
        <v>100</v>
      </c>
      <c r="G30" s="11">
        <f>'Monthly Collection-2023'!AH30+'Monthly Collection-2024)'!BB30+'Monthly Collection-2025'!BB30+'Monthly Collection-2026'!BB30+'Monthly Collection-2027'!BB30+'Monthly Collection-2028'!BB30</f>
        <v>41000</v>
      </c>
      <c r="H30" s="13">
        <f>'Monthly Collection-2023'!AI30+'Monthly Collection-2024)'!BC30+'Monthly Collection-2025'!BC30+'Monthly Collection-2026'!BC30+'Monthly Collection-2027'!BC30+'Monthly Collection-2028'!BC30</f>
        <v>100</v>
      </c>
      <c r="I30" s="11" t="str">
        <f t="shared" si="1"/>
        <v>Regular</v>
      </c>
    </row>
    <row r="31" spans="2:9" ht="14.25" customHeight="1" x14ac:dyDescent="0.3">
      <c r="B31" s="14">
        <f>'Monthly Collection-2023'!B31</f>
        <v>28</v>
      </c>
      <c r="C31" s="15" t="str">
        <f>'Monthly Collection-2023'!C31</f>
        <v>Md. Sohel Islam</v>
      </c>
      <c r="D31" s="255" t="s">
        <v>371</v>
      </c>
      <c r="E31" s="15">
        <f>'Monthly Collection-2023'!E31</f>
        <v>1</v>
      </c>
      <c r="F31" s="15">
        <f t="shared" si="0"/>
        <v>100</v>
      </c>
      <c r="G31" s="15">
        <f>'Monthly Collection-2023'!AH31+'Monthly Collection-2024)'!BB31+'Monthly Collection-2025'!BB31+'Monthly Collection-2026'!BB31+'Monthly Collection-2027'!BB31+'Monthly Collection-2028'!BB31</f>
        <v>41000</v>
      </c>
      <c r="H31" s="17">
        <f>'Monthly Collection-2023'!AI31+'Monthly Collection-2024)'!BC31+'Monthly Collection-2025'!BC31+'Monthly Collection-2026'!BC31+'Monthly Collection-2027'!BC31+'Monthly Collection-2028'!BC31</f>
        <v>100</v>
      </c>
      <c r="I31" s="11" t="str">
        <f t="shared" si="1"/>
        <v>Regular</v>
      </c>
    </row>
    <row r="32" spans="2:9" ht="14.25" customHeight="1" x14ac:dyDescent="0.3">
      <c r="B32" s="10">
        <f>'Monthly Collection-2023'!B32</f>
        <v>29</v>
      </c>
      <c r="C32" s="11" t="str">
        <f>'Monthly Collection-2023'!C32</f>
        <v>Idrish Alam</v>
      </c>
      <c r="D32" s="12">
        <v>1883033042</v>
      </c>
      <c r="E32" s="11">
        <f>'Monthly Collection-2023'!E32</f>
        <v>1</v>
      </c>
      <c r="F32" s="11">
        <f t="shared" si="0"/>
        <v>100</v>
      </c>
      <c r="G32" s="11">
        <f>'Monthly Collection-2023'!AH32+'Monthly Collection-2024)'!BB32+'Monthly Collection-2025'!BB32+'Monthly Collection-2026'!BB32+'Monthly Collection-2027'!BB32+'Monthly Collection-2028'!BB32</f>
        <v>41000</v>
      </c>
      <c r="H32" s="13">
        <f>'Monthly Collection-2023'!AI32+'Monthly Collection-2024)'!BC32+'Monthly Collection-2025'!BC32+'Monthly Collection-2026'!BC32+'Monthly Collection-2027'!BC32+'Monthly Collection-2028'!BC32</f>
        <v>100</v>
      </c>
      <c r="I32" s="11" t="str">
        <f t="shared" si="1"/>
        <v>Regular</v>
      </c>
    </row>
    <row r="33" spans="2:9" ht="14.25" customHeight="1" x14ac:dyDescent="0.3">
      <c r="B33" s="14">
        <f>'Monthly Collection-2023'!B33</f>
        <v>30</v>
      </c>
      <c r="C33" s="15" t="str">
        <f>'Monthly Collection-2023'!C33</f>
        <v>Jahed</v>
      </c>
      <c r="D33" s="16">
        <v>966562024068</v>
      </c>
      <c r="E33" s="15">
        <f>'Monthly Collection-2023'!E33</f>
        <v>2</v>
      </c>
      <c r="F33" s="15">
        <f t="shared" si="0"/>
        <v>200</v>
      </c>
      <c r="G33" s="15">
        <f>'Monthly Collection-2023'!AH33+'Monthly Collection-2024)'!BB33+'Monthly Collection-2025'!BB33+'Monthly Collection-2026'!BB33+'Monthly Collection-2027'!BB33+'Monthly Collection-2028'!BB33</f>
        <v>82000</v>
      </c>
      <c r="H33" s="17">
        <f>'Monthly Collection-2023'!AI33+'Monthly Collection-2024)'!BC33+'Monthly Collection-2025'!BC33+'Monthly Collection-2026'!BC33+'Monthly Collection-2027'!BC33+'Monthly Collection-2028'!BC33</f>
        <v>300</v>
      </c>
      <c r="I33" s="11" t="str">
        <f t="shared" si="1"/>
        <v>Regular</v>
      </c>
    </row>
    <row r="34" spans="2:9" ht="14.25" customHeight="1" x14ac:dyDescent="0.3">
      <c r="B34" s="10">
        <f>'Monthly Collection-2023'!B34</f>
        <v>31</v>
      </c>
      <c r="C34" s="11" t="str">
        <f>'Monthly Collection-2023'!C34</f>
        <v>Sahidul Islam</v>
      </c>
      <c r="D34" s="19">
        <v>966549955548</v>
      </c>
      <c r="E34" s="11">
        <f>'Monthly Collection-2023'!E34</f>
        <v>2</v>
      </c>
      <c r="F34" s="11">
        <f t="shared" si="0"/>
        <v>200</v>
      </c>
      <c r="G34" s="11">
        <f>'Monthly Collection-2023'!AH34+'Monthly Collection-2024)'!BB34+'Monthly Collection-2025'!BB34+'Monthly Collection-2026'!BB34+'Monthly Collection-2027'!BB34+'Monthly Collection-2028'!BB34</f>
        <v>82000</v>
      </c>
      <c r="H34" s="13">
        <f>'Monthly Collection-2023'!AI34+'Monthly Collection-2024)'!BC34+'Monthly Collection-2025'!BC34+'Monthly Collection-2026'!BC34+'Monthly Collection-2027'!BC34+'Monthly Collection-2028'!BC34</f>
        <v>100</v>
      </c>
      <c r="I34" s="11" t="str">
        <f t="shared" si="1"/>
        <v>Regular</v>
      </c>
    </row>
    <row r="35" spans="2:9" ht="14.25" customHeight="1" x14ac:dyDescent="0.3">
      <c r="B35" s="14">
        <f>'Monthly Collection-2023'!B35</f>
        <v>32</v>
      </c>
      <c r="C35" s="15" t="str">
        <f>'Monthly Collection-2023'!C35</f>
        <v>Md. Sohel Uddin</v>
      </c>
      <c r="D35" s="16">
        <v>1822020050</v>
      </c>
      <c r="E35" s="15">
        <f>'Monthly Collection-2023'!E35</f>
        <v>2</v>
      </c>
      <c r="F35" s="15">
        <f t="shared" si="0"/>
        <v>200</v>
      </c>
      <c r="G35" s="15">
        <f>'Monthly Collection-2023'!AH35+'Monthly Collection-2024)'!BB35+'Monthly Collection-2025'!BB35+'Monthly Collection-2026'!BB35+'Monthly Collection-2027'!BB35+'Monthly Collection-2028'!BB35</f>
        <v>82000</v>
      </c>
      <c r="H35" s="17">
        <f>'Monthly Collection-2023'!AI35+'Monthly Collection-2024)'!BC35+'Monthly Collection-2025'!BC35+'Monthly Collection-2026'!BC35+'Monthly Collection-2027'!BC35+'Monthly Collection-2028'!BC35</f>
        <v>900</v>
      </c>
      <c r="I35" s="11" t="str">
        <f t="shared" si="1"/>
        <v>Regular</v>
      </c>
    </row>
    <row r="36" spans="2:9" ht="14.25" customHeight="1" x14ac:dyDescent="0.3">
      <c r="B36" s="10">
        <f>'Monthly Collection-2023'!B36</f>
        <v>33</v>
      </c>
      <c r="C36" s="11" t="str">
        <f>'Monthly Collection-2023'!C36</f>
        <v>Mohammad Faruk</v>
      </c>
      <c r="D36" s="12">
        <v>1831797810</v>
      </c>
      <c r="E36" s="11">
        <f>'Monthly Collection-2023'!E36</f>
        <v>1</v>
      </c>
      <c r="F36" s="11">
        <f t="shared" ref="F36:F67" si="2">E36*100</f>
        <v>100</v>
      </c>
      <c r="G36" s="11">
        <f>'Monthly Collection-2023'!AH36+'Monthly Collection-2024)'!BB36+'Monthly Collection-2025'!BB36+'Monthly Collection-2026'!BB36+'Monthly Collection-2027'!BB36+'Monthly Collection-2028'!BB36</f>
        <v>39000</v>
      </c>
      <c r="H36" s="13">
        <f>'Monthly Collection-2023'!AI36+'Monthly Collection-2024)'!BC36+'Monthly Collection-2025'!BC36+'Monthly Collection-2026'!BC36+'Monthly Collection-2027'!BC36+'Monthly Collection-2028'!BC36</f>
        <v>650</v>
      </c>
      <c r="I36" s="11" t="str">
        <f t="shared" si="1"/>
        <v>Due</v>
      </c>
    </row>
    <row r="37" spans="2:9" ht="14.25" customHeight="1" x14ac:dyDescent="0.3">
      <c r="B37" s="14">
        <f>'Monthly Collection-2023'!B37</f>
        <v>34</v>
      </c>
      <c r="C37" s="15" t="str">
        <f>'Monthly Collection-2023'!C37</f>
        <v>Didarul Islam</v>
      </c>
      <c r="D37" s="18">
        <v>971562663270</v>
      </c>
      <c r="E37" s="15">
        <f>'Monthly Collection-2023'!E37</f>
        <v>1</v>
      </c>
      <c r="F37" s="15">
        <f t="shared" si="2"/>
        <v>100</v>
      </c>
      <c r="G37" s="15">
        <f>'Monthly Collection-2023'!AH37+'Monthly Collection-2024)'!BB37+'Monthly Collection-2025'!BB37+'Monthly Collection-2026'!BB37+'Monthly Collection-2027'!BB37+'Monthly Collection-2028'!BB37</f>
        <v>41000</v>
      </c>
      <c r="H37" s="17">
        <f>'Monthly Collection-2023'!AI37+'Monthly Collection-2024)'!BC37+'Monthly Collection-2025'!BC37+'Monthly Collection-2026'!BC37+'Monthly Collection-2027'!BC37+'Monthly Collection-2028'!BC37</f>
        <v>0</v>
      </c>
      <c r="I37" s="11" t="str">
        <f t="shared" si="1"/>
        <v>Regular</v>
      </c>
    </row>
    <row r="38" spans="2:9" ht="14.25" customHeight="1" x14ac:dyDescent="0.3">
      <c r="B38" s="10">
        <f>'Monthly Collection-2023'!B38</f>
        <v>35</v>
      </c>
      <c r="C38" s="11" t="str">
        <f>'Monthly Collection-2023'!C38</f>
        <v>Mohammad Fahim</v>
      </c>
      <c r="D38" s="12">
        <v>1873808231</v>
      </c>
      <c r="E38" s="11">
        <f>'Monthly Collection-2023'!E38</f>
        <v>2</v>
      </c>
      <c r="F38" s="11">
        <f t="shared" si="2"/>
        <v>200</v>
      </c>
      <c r="G38" s="11">
        <f>'Monthly Collection-2023'!AH38+'Monthly Collection-2024)'!BB38+'Monthly Collection-2025'!BB38+'Monthly Collection-2026'!BB38+'Monthly Collection-2027'!BB38+'Monthly Collection-2028'!BB38</f>
        <v>82000</v>
      </c>
      <c r="H38" s="13">
        <f>'Monthly Collection-2023'!AI38+'Monthly Collection-2024)'!BC38+'Monthly Collection-2025'!BC38+'Monthly Collection-2026'!BC38+'Monthly Collection-2027'!BC38+'Monthly Collection-2028'!BC38</f>
        <v>0</v>
      </c>
      <c r="I38" s="11" t="str">
        <f t="shared" si="1"/>
        <v>Regular</v>
      </c>
    </row>
    <row r="39" spans="2:9" ht="14.25" customHeight="1" x14ac:dyDescent="0.3">
      <c r="B39" s="14">
        <f>'Monthly Collection-2023'!B39</f>
        <v>36</v>
      </c>
      <c r="C39" s="15" t="str">
        <f>'Monthly Collection-2023'!C39</f>
        <v>Delower Hossain</v>
      </c>
      <c r="D39" s="18">
        <v>971561572487</v>
      </c>
      <c r="E39" s="15">
        <f>'Monthly Collection-2023'!E39</f>
        <v>1</v>
      </c>
      <c r="F39" s="15">
        <f t="shared" si="2"/>
        <v>100</v>
      </c>
      <c r="G39" s="15">
        <f>'Monthly Collection-2023'!AH39+'Monthly Collection-2024)'!BB39+'Monthly Collection-2025'!BB39+'Monthly Collection-2026'!BB39+'Monthly Collection-2027'!BB39+'Monthly Collection-2028'!BB39</f>
        <v>41000</v>
      </c>
      <c r="H39" s="17">
        <f>'Monthly Collection-2023'!AI39+'Monthly Collection-2024)'!BC39+'Monthly Collection-2025'!BC39+'Monthly Collection-2026'!BC39+'Monthly Collection-2027'!BC39+'Monthly Collection-2028'!BC39</f>
        <v>0</v>
      </c>
      <c r="I39" s="11" t="str">
        <f t="shared" si="1"/>
        <v>Regular</v>
      </c>
    </row>
    <row r="40" spans="2:9" ht="14.25" customHeight="1" x14ac:dyDescent="0.3">
      <c r="B40" s="10">
        <f>'Monthly Collection-2023'!B40</f>
        <v>37</v>
      </c>
      <c r="C40" s="11" t="str">
        <f>'Monthly Collection-2023'!C40</f>
        <v>Abdul Malek</v>
      </c>
      <c r="D40" s="12">
        <v>1879352117</v>
      </c>
      <c r="E40" s="11">
        <f>'Monthly Collection-2023'!E40</f>
        <v>2</v>
      </c>
      <c r="F40" s="11">
        <f t="shared" si="2"/>
        <v>200</v>
      </c>
      <c r="G40" s="11">
        <f>'Monthly Collection-2023'!AH40+'Monthly Collection-2024)'!BB40+'Monthly Collection-2025'!BB40+'Monthly Collection-2026'!BB40+'Monthly Collection-2027'!BB40+'Monthly Collection-2028'!BB40</f>
        <v>82000</v>
      </c>
      <c r="H40" s="13">
        <f>'Monthly Collection-2023'!AI40+'Monthly Collection-2024)'!BC40+'Monthly Collection-2025'!BC40+'Monthly Collection-2026'!BC40+'Monthly Collection-2027'!BC40+'Monthly Collection-2028'!BC40</f>
        <v>100</v>
      </c>
      <c r="I40" s="11" t="str">
        <f t="shared" si="1"/>
        <v>Regular</v>
      </c>
    </row>
    <row r="41" spans="2:9" ht="14.25" customHeight="1" x14ac:dyDescent="0.3">
      <c r="B41" s="14">
        <f>'Monthly Collection-2023'!B41</f>
        <v>38</v>
      </c>
      <c r="C41" s="15" t="str">
        <f>'Monthly Collection-2023'!C41</f>
        <v>Khalil Uddin</v>
      </c>
      <c r="D41" s="255" t="s">
        <v>365</v>
      </c>
      <c r="E41" s="15">
        <f>'Monthly Collection-2023'!E41</f>
        <v>2</v>
      </c>
      <c r="F41" s="15">
        <f t="shared" si="2"/>
        <v>200</v>
      </c>
      <c r="G41" s="15">
        <f>'Monthly Collection-2023'!AH41+'Monthly Collection-2024)'!BB41+'Monthly Collection-2025'!BB41+'Monthly Collection-2026'!BB41+'Monthly Collection-2027'!BB41+'Monthly Collection-2028'!BB41</f>
        <v>82000</v>
      </c>
      <c r="H41" s="17">
        <f>'Monthly Collection-2023'!AI41+'Monthly Collection-2024)'!BC41+'Monthly Collection-2025'!BC41+'Monthly Collection-2026'!BC41+'Monthly Collection-2027'!BC41+'Monthly Collection-2028'!BC41</f>
        <v>0</v>
      </c>
      <c r="I41" s="11" t="str">
        <f t="shared" si="1"/>
        <v>Regular</v>
      </c>
    </row>
    <row r="42" spans="2:9" ht="14.25" customHeight="1" x14ac:dyDescent="0.3">
      <c r="B42" s="10">
        <f>'Monthly Collection-2023'!B42</f>
        <v>39</v>
      </c>
      <c r="C42" s="11" t="str">
        <f>'Monthly Collection-2023'!C42</f>
        <v>Mohammad Abul Hashem</v>
      </c>
      <c r="D42" s="12">
        <v>1873807617</v>
      </c>
      <c r="E42" s="11">
        <f>'Monthly Collection-2023'!E42</f>
        <v>2</v>
      </c>
      <c r="F42" s="11">
        <f t="shared" si="2"/>
        <v>200</v>
      </c>
      <c r="G42" s="11">
        <f>'Monthly Collection-2023'!AH42+'Monthly Collection-2024)'!BB42+'Monthly Collection-2025'!BB42+'Monthly Collection-2026'!BB42+'Monthly Collection-2027'!BB42+'Monthly Collection-2028'!BB42</f>
        <v>76000</v>
      </c>
      <c r="H42" s="13">
        <f>'Monthly Collection-2023'!AI42+'Monthly Collection-2024)'!BC42+'Monthly Collection-2025'!BC42+'Monthly Collection-2026'!BC42+'Monthly Collection-2027'!BC42+'Monthly Collection-2028'!BC42</f>
        <v>1400</v>
      </c>
      <c r="I42" s="11" t="str">
        <f t="shared" si="1"/>
        <v>Due</v>
      </c>
    </row>
    <row r="43" spans="2:9" ht="14.25" customHeight="1" x14ac:dyDescent="0.3">
      <c r="B43" s="14">
        <f>'Monthly Collection-2023'!B43</f>
        <v>40</v>
      </c>
      <c r="C43" s="15" t="str">
        <f>'Monthly Collection-2023'!C43</f>
        <v>Abdul Karim</v>
      </c>
      <c r="D43" s="18">
        <v>971569774500</v>
      </c>
      <c r="E43" s="15">
        <f>'Monthly Collection-2023'!E43</f>
        <v>2</v>
      </c>
      <c r="F43" s="15">
        <f t="shared" si="2"/>
        <v>200</v>
      </c>
      <c r="G43" s="15">
        <f>'Monthly Collection-2023'!AH43+'Monthly Collection-2024)'!BB43+'Monthly Collection-2025'!BB43+'Monthly Collection-2026'!BB43+'Monthly Collection-2027'!BB43+'Monthly Collection-2028'!BB43</f>
        <v>82000</v>
      </c>
      <c r="H43" s="17">
        <f>'Monthly Collection-2023'!AI43+'Monthly Collection-2024)'!BC43+'Monthly Collection-2025'!BC43+'Monthly Collection-2026'!BC43+'Monthly Collection-2027'!BC43+'Monthly Collection-2028'!BC43</f>
        <v>0</v>
      </c>
      <c r="I43" s="11" t="str">
        <f t="shared" si="1"/>
        <v>Regular</v>
      </c>
    </row>
    <row r="44" spans="2:9" ht="14.25" customHeight="1" x14ac:dyDescent="0.3">
      <c r="B44" s="10">
        <f>'Monthly Collection-2023'!B44</f>
        <v>41</v>
      </c>
      <c r="C44" s="11" t="str">
        <f>'Monthly Collection-2023'!C44</f>
        <v>Mohammad Kaisar</v>
      </c>
      <c r="D44" s="12">
        <v>1830621990</v>
      </c>
      <c r="E44" s="11">
        <f>'Monthly Collection-2023'!E44</f>
        <v>2</v>
      </c>
      <c r="F44" s="11">
        <f t="shared" si="2"/>
        <v>200</v>
      </c>
      <c r="G44" s="11">
        <f>'Monthly Collection-2023'!AH44+'Monthly Collection-2024)'!BB44+'Monthly Collection-2025'!BB44+'Monthly Collection-2026'!BB44+'Monthly Collection-2027'!BB44+'Monthly Collection-2028'!BB44</f>
        <v>82000</v>
      </c>
      <c r="H44" s="13">
        <f>'Monthly Collection-2023'!AI44+'Monthly Collection-2024)'!BC44+'Monthly Collection-2025'!BC44+'Monthly Collection-2026'!BC44+'Monthly Collection-2027'!BC44+'Monthly Collection-2028'!BC44</f>
        <v>1200</v>
      </c>
      <c r="I44" s="11" t="str">
        <f t="shared" si="1"/>
        <v>Regular</v>
      </c>
    </row>
    <row r="45" spans="2:9" ht="14.25" customHeight="1" x14ac:dyDescent="0.3">
      <c r="B45" s="14">
        <f>'Monthly Collection-2023'!B45</f>
        <v>42</v>
      </c>
      <c r="C45" s="15" t="str">
        <f>'Monthly Collection-2023'!C45</f>
        <v>Korshed Alam</v>
      </c>
      <c r="D45" s="255" t="s">
        <v>361</v>
      </c>
      <c r="E45" s="15">
        <f>'Monthly Collection-2023'!E45</f>
        <v>6</v>
      </c>
      <c r="F45" s="15">
        <f t="shared" si="2"/>
        <v>600</v>
      </c>
      <c r="G45" s="15">
        <f>'Monthly Collection-2023'!AH45+'Monthly Collection-2024)'!BB45+'Monthly Collection-2025'!BB45+'Monthly Collection-2026'!BB45+'Monthly Collection-2027'!BB45+'Monthly Collection-2028'!BB45</f>
        <v>246000</v>
      </c>
      <c r="H45" s="17">
        <f>'Monthly Collection-2023'!AI45+'Monthly Collection-2024)'!BC45+'Monthly Collection-2025'!BC45+'Monthly Collection-2026'!BC45+'Monthly Collection-2027'!BC45+'Monthly Collection-2028'!BC45</f>
        <v>0</v>
      </c>
      <c r="I45" s="11" t="str">
        <f t="shared" si="1"/>
        <v>Regular</v>
      </c>
    </row>
    <row r="46" spans="2:9" ht="14.25" customHeight="1" x14ac:dyDescent="0.3">
      <c r="B46" s="10">
        <f>'Monthly Collection-2023'!B46</f>
        <v>43</v>
      </c>
      <c r="C46" s="11" t="str">
        <f>'Monthly Collection-2023'!C46</f>
        <v>Emon Hasan</v>
      </c>
      <c r="D46" s="19">
        <v>971545640821</v>
      </c>
      <c r="E46" s="11">
        <f>'Monthly Collection-2023'!E46</f>
        <v>2</v>
      </c>
      <c r="F46" s="11">
        <f t="shared" si="2"/>
        <v>200</v>
      </c>
      <c r="G46" s="11">
        <f>'Monthly Collection-2023'!AH46+'Monthly Collection-2024)'!BB46+'Monthly Collection-2025'!BB46+'Monthly Collection-2026'!BB46+'Monthly Collection-2027'!BB46+'Monthly Collection-2028'!BB46</f>
        <v>78000</v>
      </c>
      <c r="H46" s="13">
        <f>'Monthly Collection-2023'!AI46+'Monthly Collection-2024)'!BC46+'Monthly Collection-2025'!BC46+'Monthly Collection-2026'!BC46+'Monthly Collection-2027'!BC46+'Monthly Collection-2028'!BC46</f>
        <v>1000</v>
      </c>
      <c r="I46" s="11" t="str">
        <f t="shared" si="1"/>
        <v>Due</v>
      </c>
    </row>
    <row r="47" spans="2:9" ht="14.25" customHeight="1" x14ac:dyDescent="0.3">
      <c r="B47" s="14">
        <f>'Monthly Collection-2023'!B47</f>
        <v>44</v>
      </c>
      <c r="C47" s="15" t="str">
        <f>'Monthly Collection-2023'!C47</f>
        <v>Tawhidul Islam</v>
      </c>
      <c r="D47" s="18">
        <v>971562982931</v>
      </c>
      <c r="E47" s="15">
        <f>'Monthly Collection-2023'!E47</f>
        <v>2</v>
      </c>
      <c r="F47" s="15">
        <f t="shared" si="2"/>
        <v>200</v>
      </c>
      <c r="G47" s="15">
        <f>'Monthly Collection-2023'!AH47+'Monthly Collection-2024)'!BB47+'Monthly Collection-2025'!BB47+'Monthly Collection-2026'!BB47+'Monthly Collection-2027'!BB47+'Monthly Collection-2028'!BB47</f>
        <v>80000</v>
      </c>
      <c r="H47" s="17">
        <f>'Monthly Collection-2023'!AI47+'Monthly Collection-2024)'!BC47+'Monthly Collection-2025'!BC47+'Monthly Collection-2026'!BC47+'Monthly Collection-2027'!BC47+'Monthly Collection-2028'!BC47</f>
        <v>1600</v>
      </c>
      <c r="I47" s="11" t="str">
        <f t="shared" si="1"/>
        <v>Due</v>
      </c>
    </row>
    <row r="48" spans="2:9" ht="14.25" customHeight="1" x14ac:dyDescent="0.3">
      <c r="B48" s="10">
        <f>'Monthly Collection-2023'!B48</f>
        <v>45</v>
      </c>
      <c r="C48" s="11" t="str">
        <f>'Monthly Collection-2023'!C48</f>
        <v>Sahidul Islam</v>
      </c>
      <c r="D48" s="12">
        <v>1840409753</v>
      </c>
      <c r="E48" s="11">
        <f>'Monthly Collection-2023'!E48</f>
        <v>1</v>
      </c>
      <c r="F48" s="11">
        <f t="shared" si="2"/>
        <v>100</v>
      </c>
      <c r="G48" s="11">
        <f>'Monthly Collection-2023'!AH48+'Monthly Collection-2024)'!BB48+'Monthly Collection-2025'!BB48+'Monthly Collection-2026'!BB48+'Monthly Collection-2027'!BB48+'Monthly Collection-2028'!BB48</f>
        <v>39000</v>
      </c>
      <c r="H48" s="13">
        <f>'Monthly Collection-2023'!AI48+'Monthly Collection-2024)'!BC48+'Monthly Collection-2025'!BC48+'Monthly Collection-2026'!BC48+'Monthly Collection-2027'!BC48+'Monthly Collection-2028'!BC48</f>
        <v>850</v>
      </c>
      <c r="I48" s="11" t="str">
        <f t="shared" si="1"/>
        <v>Due</v>
      </c>
    </row>
    <row r="49" spans="2:9" ht="14.25" customHeight="1" x14ac:dyDescent="0.3">
      <c r="B49" s="14">
        <f>'Monthly Collection-2023'!B49</f>
        <v>46</v>
      </c>
      <c r="C49" s="15" t="str">
        <f>'Monthly Collection-2023'!C49</f>
        <v>Amir Hossen</v>
      </c>
      <c r="D49" s="16">
        <v>1871081769</v>
      </c>
      <c r="E49" s="15">
        <f>'Monthly Collection-2023'!E49</f>
        <v>1</v>
      </c>
      <c r="F49" s="15">
        <f t="shared" si="2"/>
        <v>100</v>
      </c>
      <c r="G49" s="15">
        <f>'Monthly Collection-2023'!AH49+'Monthly Collection-2024)'!BB49+'Monthly Collection-2025'!BB49+'Monthly Collection-2026'!BB49+'Monthly Collection-2027'!BB49+'Monthly Collection-2028'!BB49</f>
        <v>40000</v>
      </c>
      <c r="H49" s="17">
        <f>'Monthly Collection-2023'!AI49+'Monthly Collection-2024)'!BC49+'Monthly Collection-2025'!BC49+'Monthly Collection-2026'!BC49+'Monthly Collection-2027'!BC49+'Monthly Collection-2028'!BC49</f>
        <v>1400</v>
      </c>
      <c r="I49" s="11" t="str">
        <f t="shared" si="1"/>
        <v>Due</v>
      </c>
    </row>
    <row r="50" spans="2:9" ht="14.25" customHeight="1" x14ac:dyDescent="0.3">
      <c r="B50" s="10">
        <f>'Monthly Collection-2023'!B50</f>
        <v>47</v>
      </c>
      <c r="C50" s="11" t="str">
        <f>'Monthly Collection-2023'!C50</f>
        <v>Mohammad Abdullah Al Rafi</v>
      </c>
      <c r="D50" s="12">
        <v>1882916447</v>
      </c>
      <c r="E50" s="11">
        <f>'Monthly Collection-2023'!E50</f>
        <v>1</v>
      </c>
      <c r="F50" s="11">
        <f t="shared" si="2"/>
        <v>100</v>
      </c>
      <c r="G50" s="11">
        <f>'Monthly Collection-2023'!AH50+'Monthly Collection-2024)'!BB50+'Monthly Collection-2025'!BB50+'Monthly Collection-2026'!BB50+'Monthly Collection-2027'!BB50+'Monthly Collection-2028'!BB50</f>
        <v>40000</v>
      </c>
      <c r="H50" s="13">
        <f>'Monthly Collection-2023'!AI50+'Monthly Collection-2024)'!BC50+'Monthly Collection-2025'!BC50+'Monthly Collection-2026'!BC50+'Monthly Collection-2027'!BC50+'Monthly Collection-2028'!BC50</f>
        <v>50</v>
      </c>
      <c r="I50" s="11" t="str">
        <f t="shared" si="1"/>
        <v>Due</v>
      </c>
    </row>
    <row r="51" spans="2:9" ht="14.25" customHeight="1" x14ac:dyDescent="0.3">
      <c r="B51" s="14">
        <f>'Monthly Collection-2023'!B51</f>
        <v>48</v>
      </c>
      <c r="C51" s="15" t="str">
        <f>'Monthly Collection-2023'!C51</f>
        <v>Nurul Huda Misbah</v>
      </c>
      <c r="D51" s="16">
        <v>1814836702</v>
      </c>
      <c r="E51" s="15">
        <f>'Monthly Collection-2023'!E51</f>
        <v>2</v>
      </c>
      <c r="F51" s="15">
        <f t="shared" si="2"/>
        <v>200</v>
      </c>
      <c r="G51" s="15">
        <f>'Monthly Collection-2023'!AH51+'Monthly Collection-2024)'!BB51+'Monthly Collection-2025'!BB51+'Monthly Collection-2026'!BB51+'Monthly Collection-2027'!BB51+'Monthly Collection-2028'!BB51</f>
        <v>82000</v>
      </c>
      <c r="H51" s="17">
        <f>'Monthly Collection-2023'!AI51+'Monthly Collection-2024)'!BC51+'Monthly Collection-2025'!BC51+'Monthly Collection-2026'!BC51+'Monthly Collection-2027'!BC51+'Monthly Collection-2028'!BC51</f>
        <v>0</v>
      </c>
      <c r="I51" s="11" t="str">
        <f t="shared" si="1"/>
        <v>Regular</v>
      </c>
    </row>
    <row r="52" spans="2:9" ht="14.25" customHeight="1" x14ac:dyDescent="0.3">
      <c r="B52" s="10">
        <f>'Monthly Collection-2023'!B52</f>
        <v>49</v>
      </c>
      <c r="C52" s="11" t="str">
        <f>'Monthly Collection-2023'!C52</f>
        <v>Aminul Hoque</v>
      </c>
      <c r="D52" s="256" t="s">
        <v>362</v>
      </c>
      <c r="E52" s="11">
        <f>'Monthly Collection-2023'!E52</f>
        <v>1</v>
      </c>
      <c r="F52" s="11">
        <f t="shared" si="2"/>
        <v>100</v>
      </c>
      <c r="G52" s="11">
        <f>'Monthly Collection-2023'!AH52+'Monthly Collection-2024)'!BB52+'Monthly Collection-2025'!BB52+'Monthly Collection-2026'!BB52+'Monthly Collection-2027'!BB52+'Monthly Collection-2028'!BB52</f>
        <v>41000</v>
      </c>
      <c r="H52" s="13">
        <f>'Monthly Collection-2023'!AI52+'Monthly Collection-2024)'!BC52+'Monthly Collection-2025'!BC52+'Monthly Collection-2026'!BC52+'Monthly Collection-2027'!BC52+'Monthly Collection-2028'!BC52</f>
        <v>300</v>
      </c>
      <c r="I52" s="11" t="str">
        <f t="shared" si="1"/>
        <v>Regular</v>
      </c>
    </row>
    <row r="53" spans="2:9" ht="14.25" customHeight="1" x14ac:dyDescent="0.3">
      <c r="B53" s="14">
        <f>'Monthly Collection-2023'!B53</f>
        <v>50</v>
      </c>
      <c r="C53" s="15" t="str">
        <f>'Monthly Collection-2023'!C53</f>
        <v>Shekh Ahmed Roki</v>
      </c>
      <c r="D53" s="16">
        <v>1829921642</v>
      </c>
      <c r="E53" s="15">
        <f>'Monthly Collection-2023'!E53</f>
        <v>1</v>
      </c>
      <c r="F53" s="15">
        <f t="shared" si="2"/>
        <v>100</v>
      </c>
      <c r="G53" s="15">
        <f>'Monthly Collection-2023'!AH53+'Monthly Collection-2024)'!BB53+'Monthly Collection-2025'!BB53+'Monthly Collection-2026'!BB53+'Monthly Collection-2027'!BB53+'Monthly Collection-2028'!BB53</f>
        <v>41000</v>
      </c>
      <c r="H53" s="17">
        <f>'Monthly Collection-2023'!AI53+'Monthly Collection-2024)'!BC53+'Monthly Collection-2025'!BC53+'Monthly Collection-2026'!BC53+'Monthly Collection-2027'!BC53+'Monthly Collection-2028'!BC53</f>
        <v>0</v>
      </c>
      <c r="I53" s="11" t="str">
        <f t="shared" si="1"/>
        <v>Regular</v>
      </c>
    </row>
    <row r="54" spans="2:9" ht="14.25" customHeight="1" x14ac:dyDescent="0.3">
      <c r="B54" s="10">
        <f>'Monthly Collection-2023'!B54</f>
        <v>51</v>
      </c>
      <c r="C54" s="11" t="str">
        <f>'Monthly Collection-2023'!C54</f>
        <v>Md. Sahjahan</v>
      </c>
      <c r="D54" s="12">
        <v>1889786926</v>
      </c>
      <c r="E54" s="11">
        <f>'Monthly Collection-2023'!E54</f>
        <v>3</v>
      </c>
      <c r="F54" s="11">
        <f t="shared" si="2"/>
        <v>300</v>
      </c>
      <c r="G54" s="11">
        <f>'Monthly Collection-2023'!AH54+'Monthly Collection-2024)'!BB54+'Monthly Collection-2025'!BB54+'Monthly Collection-2026'!BB54+'Monthly Collection-2027'!BB54+'Monthly Collection-2028'!BB54</f>
        <v>123000</v>
      </c>
      <c r="H54" s="13">
        <f>'Monthly Collection-2023'!AI54+'Monthly Collection-2024)'!BC54+'Monthly Collection-2025'!BC54+'Monthly Collection-2026'!BC54+'Monthly Collection-2027'!BC54+'Monthly Collection-2028'!BC54</f>
        <v>0</v>
      </c>
      <c r="I54" s="11" t="str">
        <f t="shared" si="1"/>
        <v>Regular</v>
      </c>
    </row>
    <row r="55" spans="2:9" ht="14.25" customHeight="1" x14ac:dyDescent="0.3">
      <c r="B55" s="14">
        <f>'Monthly Collection-2023'!B55</f>
        <v>52</v>
      </c>
      <c r="C55" s="15" t="str">
        <f>'Monthly Collection-2023'!C55</f>
        <v>Babul Hossen</v>
      </c>
      <c r="D55" s="16">
        <v>1833903155</v>
      </c>
      <c r="E55" s="15">
        <f>'Monthly Collection-2023'!E55</f>
        <v>1</v>
      </c>
      <c r="F55" s="15">
        <f t="shared" si="2"/>
        <v>100</v>
      </c>
      <c r="G55" s="15">
        <f>'Monthly Collection-2023'!AH55+'Monthly Collection-2024)'!BB55+'Monthly Collection-2025'!BB55+'Monthly Collection-2026'!BB55+'Monthly Collection-2027'!BB55+'Monthly Collection-2028'!BB55</f>
        <v>38000</v>
      </c>
      <c r="H55" s="17">
        <f>'Monthly Collection-2023'!AI55+'Monthly Collection-2024)'!BC55+'Monthly Collection-2025'!BC55+'Monthly Collection-2026'!BC55+'Monthly Collection-2027'!BC55+'Monthly Collection-2028'!BC55</f>
        <v>950</v>
      </c>
      <c r="I55" s="11" t="str">
        <f t="shared" si="1"/>
        <v>Due</v>
      </c>
    </row>
    <row r="56" spans="2:9" ht="14.25" customHeight="1" x14ac:dyDescent="0.3">
      <c r="B56" s="10">
        <f>'Monthly Collection-2023'!B56</f>
        <v>53</v>
      </c>
      <c r="C56" s="11" t="str">
        <f>'Monthly Collection-2023'!C56</f>
        <v>Khair Ahmed</v>
      </c>
      <c r="D56" s="12">
        <v>1897045177</v>
      </c>
      <c r="E56" s="11">
        <f>'Monthly Collection-2023'!E56</f>
        <v>1</v>
      </c>
      <c r="F56" s="11">
        <f t="shared" si="2"/>
        <v>100</v>
      </c>
      <c r="G56" s="11">
        <f>'Monthly Collection-2023'!AH56+'Monthly Collection-2024)'!BB56+'Monthly Collection-2025'!BB56+'Monthly Collection-2026'!BB56+'Monthly Collection-2027'!BB56+'Monthly Collection-2028'!BB56</f>
        <v>41000</v>
      </c>
      <c r="H56" s="13">
        <f>'Monthly Collection-2023'!AI56+'Monthly Collection-2024)'!BC56+'Monthly Collection-2025'!BC56+'Monthly Collection-2026'!BC56+'Monthly Collection-2027'!BC56+'Monthly Collection-2028'!BC56</f>
        <v>50</v>
      </c>
      <c r="I56" s="11" t="str">
        <f t="shared" si="1"/>
        <v>Regular</v>
      </c>
    </row>
    <row r="57" spans="2:9" ht="14.25" customHeight="1" x14ac:dyDescent="0.3">
      <c r="B57" s="14">
        <f>'Monthly Collection-2023'!B57</f>
        <v>54</v>
      </c>
      <c r="C57" s="15" t="str">
        <f>'Monthly Collection-2023'!C57</f>
        <v>Md. Lutfar Rahman</v>
      </c>
      <c r="D57" s="255" t="s">
        <v>363</v>
      </c>
      <c r="E57" s="15">
        <f>'Monthly Collection-2023'!E57</f>
        <v>1</v>
      </c>
      <c r="F57" s="15">
        <f t="shared" si="2"/>
        <v>100</v>
      </c>
      <c r="G57" s="15">
        <f>'Monthly Collection-2023'!AH57+'Monthly Collection-2024)'!BB57+'Monthly Collection-2025'!BB57+'Monthly Collection-2026'!BB57+'Monthly Collection-2027'!BB57+'Monthly Collection-2028'!BB57</f>
        <v>41000</v>
      </c>
      <c r="H57" s="17">
        <f>'Monthly Collection-2023'!AI57+'Monthly Collection-2024)'!BC57+'Monthly Collection-2025'!BC57+'Monthly Collection-2026'!BC57+'Monthly Collection-2027'!BC57+'Monthly Collection-2028'!BC57</f>
        <v>300</v>
      </c>
      <c r="I57" s="11" t="str">
        <f t="shared" si="1"/>
        <v>Regular</v>
      </c>
    </row>
    <row r="58" spans="2:9" ht="14.25" customHeight="1" x14ac:dyDescent="0.3">
      <c r="B58" s="10">
        <f>'Monthly Collection-2023'!B58</f>
        <v>55</v>
      </c>
      <c r="C58" s="11" t="str">
        <f>'Monthly Collection-2023'!C58</f>
        <v>Abu Bakker</v>
      </c>
      <c r="D58" s="256" t="s">
        <v>364</v>
      </c>
      <c r="E58" s="11">
        <f>'Monthly Collection-2023'!E58</f>
        <v>2</v>
      </c>
      <c r="F58" s="11">
        <f t="shared" si="2"/>
        <v>200</v>
      </c>
      <c r="G58" s="11">
        <f>'Monthly Collection-2023'!AH58+'Monthly Collection-2024)'!BB58+'Monthly Collection-2025'!BB58+'Monthly Collection-2026'!BB58+'Monthly Collection-2027'!BB58+'Monthly Collection-2028'!BB58</f>
        <v>86000</v>
      </c>
      <c r="H58" s="13">
        <f>'Monthly Collection-2023'!AI58+'Monthly Collection-2024)'!BC58+'Monthly Collection-2025'!BC58+'Monthly Collection-2026'!BC58+'Monthly Collection-2027'!BC58+'Monthly Collection-2028'!BC58</f>
        <v>1950</v>
      </c>
      <c r="I58" s="11" t="str">
        <f t="shared" si="1"/>
        <v>Advanced</v>
      </c>
    </row>
    <row r="59" spans="2:9" ht="14.25" customHeight="1" x14ac:dyDescent="0.3">
      <c r="B59" s="14">
        <f>'Monthly Collection-2023'!B59</f>
        <v>56</v>
      </c>
      <c r="C59" s="15" t="str">
        <f>'Monthly Collection-2023'!C59</f>
        <v>Abdullah Al Mumid</v>
      </c>
      <c r="D59" s="16" t="s">
        <v>126</v>
      </c>
      <c r="E59" s="15">
        <f>'Monthly Collection-2023'!E59</f>
        <v>1</v>
      </c>
      <c r="F59" s="15">
        <f t="shared" si="2"/>
        <v>100</v>
      </c>
      <c r="G59" s="15">
        <f>'Monthly Collection-2023'!AH59+'Monthly Collection-2024)'!BB59+'Monthly Collection-2025'!BB59+'Monthly Collection-2026'!BB59+'Monthly Collection-2027'!BB59+'Monthly Collection-2028'!BB59</f>
        <v>41000</v>
      </c>
      <c r="H59" s="17">
        <f>'Monthly Collection-2023'!AI59+'Monthly Collection-2024)'!BC59+'Monthly Collection-2025'!BC59+'Monthly Collection-2026'!BC59+'Monthly Collection-2027'!BC59+'Monthly Collection-2028'!BC59</f>
        <v>700</v>
      </c>
      <c r="I59" s="11" t="str">
        <f t="shared" si="1"/>
        <v>Regular</v>
      </c>
    </row>
    <row r="60" spans="2:9" ht="14.25" customHeight="1" x14ac:dyDescent="0.3">
      <c r="B60" s="10">
        <f>'Monthly Collection-2023'!B60</f>
        <v>57</v>
      </c>
      <c r="C60" s="11" t="str">
        <f>'Monthly Collection-2023'!C60</f>
        <v>Sujan Kanti Karmaker</v>
      </c>
      <c r="D60" s="12" t="s">
        <v>128</v>
      </c>
      <c r="E60" s="11">
        <f>'Monthly Collection-2023'!E60</f>
        <v>1</v>
      </c>
      <c r="F60" s="11">
        <f t="shared" si="2"/>
        <v>100</v>
      </c>
      <c r="G60" s="11">
        <f>'Monthly Collection-2023'!AH60+'Monthly Collection-2024)'!BB60+'Monthly Collection-2025'!BB60+'Monthly Collection-2026'!BB60+'Monthly Collection-2027'!BB60+'Monthly Collection-2028'!BB60</f>
        <v>41000</v>
      </c>
      <c r="H60" s="13">
        <f>'Monthly Collection-2023'!AI60+'Monthly Collection-2024)'!BC60+'Monthly Collection-2025'!BC60+'Monthly Collection-2026'!BC60+'Monthly Collection-2027'!BC60+'Monthly Collection-2028'!BC60</f>
        <v>900</v>
      </c>
      <c r="I60" s="11" t="str">
        <f t="shared" si="1"/>
        <v>Regular</v>
      </c>
    </row>
    <row r="61" spans="2:9" ht="14.25" customHeight="1" x14ac:dyDescent="0.3">
      <c r="B61" s="14">
        <f>'Monthly Collection-2023'!B61</f>
        <v>58</v>
      </c>
      <c r="C61" s="15" t="str">
        <f>'Monthly Collection-2023'!C61</f>
        <v>Prokash Kanti Nath</v>
      </c>
      <c r="D61" s="16" t="s">
        <v>130</v>
      </c>
      <c r="E61" s="15">
        <f>'Monthly Collection-2023'!E61</f>
        <v>1</v>
      </c>
      <c r="F61" s="15">
        <f t="shared" si="2"/>
        <v>100</v>
      </c>
      <c r="G61" s="15">
        <f>'Monthly Collection-2023'!AH61+'Monthly Collection-2024)'!BB61+'Monthly Collection-2025'!BB61+'Monthly Collection-2026'!BB61+'Monthly Collection-2027'!BB61+'Monthly Collection-2028'!BB61</f>
        <v>41000</v>
      </c>
      <c r="H61" s="17">
        <f>'Monthly Collection-2023'!AI61+'Monthly Collection-2024)'!BC61+'Monthly Collection-2025'!BC61+'Monthly Collection-2026'!BC61+'Monthly Collection-2027'!BC61+'Monthly Collection-2028'!BC61</f>
        <v>0</v>
      </c>
      <c r="I61" s="11" t="str">
        <f t="shared" si="1"/>
        <v>Regular</v>
      </c>
    </row>
    <row r="62" spans="2:9" ht="14.25" customHeight="1" x14ac:dyDescent="0.3">
      <c r="B62" s="10">
        <f>'Monthly Collection-2023'!B62</f>
        <v>59</v>
      </c>
      <c r="C62" s="11" t="str">
        <f>'Monthly Collection-2023'!C62</f>
        <v>Abdul Sabur</v>
      </c>
      <c r="D62" s="12">
        <v>1817246488</v>
      </c>
      <c r="E62" s="11">
        <f>'Monthly Collection-2023'!E62</f>
        <v>1</v>
      </c>
      <c r="F62" s="11">
        <f t="shared" si="2"/>
        <v>100</v>
      </c>
      <c r="G62" s="11">
        <f>'Monthly Collection-2023'!AH62+'Monthly Collection-2024)'!BB62+'Monthly Collection-2025'!BB62+'Monthly Collection-2026'!BB62+'Monthly Collection-2027'!BB62+'Monthly Collection-2028'!BB62</f>
        <v>41000</v>
      </c>
      <c r="H62" s="13">
        <f>'Monthly Collection-2023'!AI62+'Monthly Collection-2024)'!BC62+'Monthly Collection-2025'!BC62+'Monthly Collection-2026'!BC62+'Monthly Collection-2027'!BC62+'Monthly Collection-2028'!BC62</f>
        <v>0</v>
      </c>
      <c r="I62" s="11" t="str">
        <f t="shared" si="1"/>
        <v>Regular</v>
      </c>
    </row>
    <row r="63" spans="2:9" ht="14.25" customHeight="1" x14ac:dyDescent="0.3">
      <c r="B63" s="14">
        <f>'Monthly Collection-2023'!B63</f>
        <v>60</v>
      </c>
      <c r="C63" s="15" t="str">
        <f>'Monthly Collection-2023'!C63</f>
        <v>Ridowanul Hoque</v>
      </c>
      <c r="D63" s="16">
        <v>1866911987</v>
      </c>
      <c r="E63" s="15">
        <f>'Monthly Collection-2023'!E63</f>
        <v>2</v>
      </c>
      <c r="F63" s="15">
        <f t="shared" si="2"/>
        <v>200</v>
      </c>
      <c r="G63" s="15">
        <f>'Monthly Collection-2023'!AH63+'Monthly Collection-2024)'!BB63+'Monthly Collection-2025'!BB63+'Monthly Collection-2026'!BB63+'Monthly Collection-2027'!BB63+'Monthly Collection-2028'!BB63</f>
        <v>82000</v>
      </c>
      <c r="H63" s="17">
        <f>'Monthly Collection-2023'!AI63+'Monthly Collection-2024)'!BC63+'Monthly Collection-2025'!BC63+'Monthly Collection-2026'!BC63+'Monthly Collection-2027'!BC63+'Monthly Collection-2028'!BC63</f>
        <v>100</v>
      </c>
      <c r="I63" s="11" t="str">
        <f t="shared" si="1"/>
        <v>Regular</v>
      </c>
    </row>
    <row r="64" spans="2:9" ht="14.25" customHeight="1" x14ac:dyDescent="0.3">
      <c r="B64" s="10">
        <f>'Monthly Collection-2023'!B64</f>
        <v>61</v>
      </c>
      <c r="C64" s="11" t="str">
        <f>'Monthly Collection-2023'!C64</f>
        <v>Mohammad Toyab</v>
      </c>
      <c r="D64" s="12">
        <v>1817504865</v>
      </c>
      <c r="E64" s="11">
        <f>'Monthly Collection-2023'!E64</f>
        <v>1</v>
      </c>
      <c r="F64" s="11">
        <f t="shared" si="2"/>
        <v>100</v>
      </c>
      <c r="G64" s="11">
        <f>'Monthly Collection-2023'!AH64+'Monthly Collection-2024)'!BB64+'Monthly Collection-2025'!BB64+'Monthly Collection-2026'!BB64+'Monthly Collection-2027'!BB64+'Monthly Collection-2028'!BB64</f>
        <v>41000</v>
      </c>
      <c r="H64" s="13">
        <f>'Monthly Collection-2023'!AI64+'Monthly Collection-2024)'!BC64+'Monthly Collection-2025'!BC64+'Monthly Collection-2026'!BC64+'Monthly Collection-2027'!BC64+'Monthly Collection-2028'!BC64</f>
        <v>50</v>
      </c>
      <c r="I64" s="11" t="str">
        <f t="shared" si="1"/>
        <v>Regular</v>
      </c>
    </row>
    <row r="65" spans="2:12" ht="14.25" customHeight="1" x14ac:dyDescent="0.3">
      <c r="B65" s="14">
        <f>'Monthly Collection-2023'!B65</f>
        <v>62</v>
      </c>
      <c r="C65" s="15" t="str">
        <f>'Monthly Collection-2023'!C65</f>
        <v>Nurul Amin</v>
      </c>
      <c r="D65" s="16">
        <v>1885316318</v>
      </c>
      <c r="E65" s="15">
        <f>'Monthly Collection-2023'!E65</f>
        <v>1</v>
      </c>
      <c r="F65" s="15">
        <f t="shared" si="2"/>
        <v>100</v>
      </c>
      <c r="G65" s="15">
        <f>'Monthly Collection-2023'!AH65+'Monthly Collection-2024)'!BB65+'Monthly Collection-2025'!BB65+'Monthly Collection-2026'!BB65+'Monthly Collection-2027'!BB65+'Monthly Collection-2028'!BB65</f>
        <v>37000</v>
      </c>
      <c r="H65" s="17">
        <f>'Monthly Collection-2023'!AI65+'Monthly Collection-2024)'!BC65+'Monthly Collection-2025'!BC65+'Monthly Collection-2026'!BC65+'Monthly Collection-2027'!BC65+'Monthly Collection-2028'!BC65</f>
        <v>1200</v>
      </c>
      <c r="I65" s="11" t="str">
        <f t="shared" si="1"/>
        <v>Due</v>
      </c>
    </row>
    <row r="66" spans="2:12" ht="14.25" customHeight="1" x14ac:dyDescent="0.3">
      <c r="B66" s="10">
        <f>'Monthly Collection-2023'!B66</f>
        <v>63</v>
      </c>
      <c r="C66" s="11" t="str">
        <f>'Monthly Collection-2023'!C66</f>
        <v>Joy Sankar Karmaker</v>
      </c>
      <c r="D66" s="12">
        <v>1827204517</v>
      </c>
      <c r="E66" s="11">
        <f>'Monthly Collection-2023'!E66</f>
        <v>1</v>
      </c>
      <c r="F66" s="11">
        <f t="shared" si="2"/>
        <v>100</v>
      </c>
      <c r="G66" s="11">
        <f>'Monthly Collection-2023'!AH66+'Monthly Collection-2024)'!BB66+'Monthly Collection-2025'!BB66+'Monthly Collection-2026'!BB66+'Monthly Collection-2027'!BB66+'Monthly Collection-2028'!BB66</f>
        <v>39000</v>
      </c>
      <c r="H66" s="13">
        <f>'Monthly Collection-2023'!AI66+'Monthly Collection-2024)'!BC66+'Monthly Collection-2025'!BC66+'Monthly Collection-2026'!BC66+'Monthly Collection-2027'!BC66+'Monthly Collection-2028'!BC66</f>
        <v>50</v>
      </c>
      <c r="I66" s="11" t="str">
        <f t="shared" si="1"/>
        <v>Due</v>
      </c>
    </row>
    <row r="67" spans="2:12" ht="14.25" customHeight="1" x14ac:dyDescent="0.3">
      <c r="B67" s="14">
        <f>'Monthly Collection-2023'!B67</f>
        <v>64</v>
      </c>
      <c r="C67" s="15" t="str">
        <f>'Monthly Collection-2023'!C67</f>
        <v>Mohammad Sahjahan</v>
      </c>
      <c r="D67" s="255" t="s">
        <v>360</v>
      </c>
      <c r="E67" s="15">
        <f>'Monthly Collection-2023'!E67</f>
        <v>1</v>
      </c>
      <c r="F67" s="15">
        <f t="shared" si="2"/>
        <v>100</v>
      </c>
      <c r="G67" s="15">
        <f>'Monthly Collection-2023'!AH67+'Monthly Collection-2024)'!BB67+'Monthly Collection-2025'!BB67+'Monthly Collection-2026'!BB67+'Monthly Collection-2027'!BB67+'Monthly Collection-2028'!BB67</f>
        <v>41000</v>
      </c>
      <c r="H67" s="17">
        <f>'Monthly Collection-2023'!AI67+'Monthly Collection-2024)'!BC67+'Monthly Collection-2025'!BC67+'Monthly Collection-2026'!BC67+'Monthly Collection-2027'!BC67+'Monthly Collection-2028'!BC67</f>
        <v>250</v>
      </c>
      <c r="I67" s="11" t="str">
        <f t="shared" si="1"/>
        <v>Regular</v>
      </c>
    </row>
    <row r="68" spans="2:12" ht="14.25" customHeight="1" x14ac:dyDescent="0.3">
      <c r="B68" s="10">
        <f>'Monthly Collection-2023'!B68</f>
        <v>65</v>
      </c>
      <c r="C68" s="11" t="str">
        <f>'Monthly Collection-2023'!C68</f>
        <v>Akter Hossen</v>
      </c>
      <c r="D68" s="12">
        <v>1861821214</v>
      </c>
      <c r="E68" s="11">
        <f>'Monthly Collection-2023'!E68</f>
        <v>1</v>
      </c>
      <c r="F68" s="11">
        <f t="shared" ref="F68:F80" si="3">E68*100</f>
        <v>100</v>
      </c>
      <c r="G68" s="11">
        <f>'Monthly Collection-2023'!AH68+'Monthly Collection-2024)'!BB68+'Monthly Collection-2025'!BB68+'Monthly Collection-2026'!BB68+'Monthly Collection-2027'!BB68+'Monthly Collection-2028'!BB68</f>
        <v>41000</v>
      </c>
      <c r="H68" s="13">
        <f>'Monthly Collection-2023'!AI68+'Monthly Collection-2024)'!BC68+'Monthly Collection-2025'!BC68+'Monthly Collection-2026'!BC68+'Monthly Collection-2027'!BC68+'Monthly Collection-2028'!BC68</f>
        <v>250</v>
      </c>
      <c r="I68" s="11" t="str">
        <f t="shared" si="1"/>
        <v>Regular</v>
      </c>
    </row>
    <row r="69" spans="2:12" ht="14.25" customHeight="1" x14ac:dyDescent="0.3">
      <c r="B69" s="14">
        <f>'Monthly Collection-2023'!B69</f>
        <v>66</v>
      </c>
      <c r="C69" s="15" t="str">
        <f>'Monthly Collection-2023'!C69</f>
        <v>Ehsanul Kabir</v>
      </c>
      <c r="D69" s="255" t="s">
        <v>359</v>
      </c>
      <c r="E69" s="15">
        <f>'Monthly Collection-2023'!E69</f>
        <v>1</v>
      </c>
      <c r="F69" s="15">
        <f t="shared" si="3"/>
        <v>100</v>
      </c>
      <c r="G69" s="15">
        <f>'Monthly Collection-2023'!AH69+'Monthly Collection-2024)'!BB69+'Monthly Collection-2025'!BB69+'Monthly Collection-2026'!BB69+'Monthly Collection-2027'!BB69+'Monthly Collection-2028'!BB69</f>
        <v>41000</v>
      </c>
      <c r="H69" s="17">
        <f>'Monthly Collection-2023'!AI69+'Monthly Collection-2024)'!BC69+'Monthly Collection-2025'!BC69+'Monthly Collection-2026'!BC69+'Monthly Collection-2027'!BC69+'Monthly Collection-2028'!BC69</f>
        <v>250</v>
      </c>
      <c r="I69" s="11" t="str">
        <f t="shared" ref="I69:I80" si="4">IF(G69&gt;(E69*1000*41),"Advanced",IF(G69&lt;(E69*1000*41),"Due","Regular"))</f>
        <v>Regular</v>
      </c>
    </row>
    <row r="70" spans="2:12" ht="14.25" customHeight="1" x14ac:dyDescent="0.3">
      <c r="B70" s="10">
        <f>'Monthly Collection-2023'!B70</f>
        <v>67</v>
      </c>
      <c r="C70" s="11" t="str">
        <f>'Monthly Collection-2023'!C70</f>
        <v>Mohammad Sayed Uddin Forhad</v>
      </c>
      <c r="D70" s="19">
        <v>971585735180</v>
      </c>
      <c r="E70" s="11">
        <f>'Monthly Collection-2023'!E70</f>
        <v>1</v>
      </c>
      <c r="F70" s="11">
        <f t="shared" si="3"/>
        <v>100</v>
      </c>
      <c r="G70" s="11">
        <f>'Monthly Collection-2023'!AH70+'Monthly Collection-2024)'!BB70+'Monthly Collection-2025'!BB70+'Monthly Collection-2026'!BB70+'Monthly Collection-2027'!BB70+'Monthly Collection-2028'!BB70</f>
        <v>39000</v>
      </c>
      <c r="H70" s="13">
        <f>'Monthly Collection-2023'!AI70+'Monthly Collection-2024)'!BC70+'Monthly Collection-2025'!BC70+'Monthly Collection-2026'!BC70+'Monthly Collection-2027'!BC70+'Monthly Collection-2028'!BC70</f>
        <v>250</v>
      </c>
      <c r="I70" s="11" t="str">
        <f t="shared" si="4"/>
        <v>Due</v>
      </c>
    </row>
    <row r="71" spans="2:12" ht="14.25" customHeight="1" x14ac:dyDescent="0.3">
      <c r="B71" s="14">
        <f>'Monthly Collection-2023'!B71</f>
        <v>68</v>
      </c>
      <c r="C71" s="15" t="str">
        <f>'Monthly Collection-2023'!C71</f>
        <v>Mohammad Ziabul Hoque</v>
      </c>
      <c r="D71" s="18">
        <v>971502927559</v>
      </c>
      <c r="E71" s="15">
        <f>'Monthly Collection-2023'!E71</f>
        <v>1</v>
      </c>
      <c r="F71" s="15">
        <f t="shared" si="3"/>
        <v>100</v>
      </c>
      <c r="G71" s="15">
        <f>'Monthly Collection-2023'!AH71+'Monthly Collection-2024)'!BB71+'Monthly Collection-2025'!BB71+'Monthly Collection-2026'!BB71+'Monthly Collection-2027'!BB71+'Monthly Collection-2028'!BB71</f>
        <v>39000</v>
      </c>
      <c r="H71" s="17">
        <f>'Monthly Collection-2023'!AI71+'Monthly Collection-2024)'!BC71+'Monthly Collection-2025'!BC71+'Monthly Collection-2026'!BC71+'Monthly Collection-2027'!BC71+'Monthly Collection-2028'!BC71</f>
        <v>100</v>
      </c>
      <c r="I71" s="11" t="str">
        <f t="shared" si="4"/>
        <v>Due</v>
      </c>
    </row>
    <row r="72" spans="2:12" ht="14.25" customHeight="1" x14ac:dyDescent="0.3">
      <c r="B72" s="10">
        <f>'Monthly Collection-2023'!B72</f>
        <v>69</v>
      </c>
      <c r="C72" s="11" t="str">
        <f>'Monthly Collection-2023'!C72</f>
        <v>Mohammad Yousof</v>
      </c>
      <c r="D72" s="19">
        <v>971561607784</v>
      </c>
      <c r="E72" s="11">
        <f>'Monthly Collection-2023'!E72</f>
        <v>2</v>
      </c>
      <c r="F72" s="11">
        <f t="shared" si="3"/>
        <v>200</v>
      </c>
      <c r="G72" s="11">
        <f>'Monthly Collection-2023'!AH72+'Monthly Collection-2024)'!BB72+'Monthly Collection-2025'!BB72+'Monthly Collection-2026'!BB72+'Monthly Collection-2027'!BB72+'Monthly Collection-2028'!BB72</f>
        <v>82000</v>
      </c>
      <c r="H72" s="13">
        <f>'Monthly Collection-2023'!AI72+'Monthly Collection-2024)'!BC72+'Monthly Collection-2025'!BC72+'Monthly Collection-2026'!BC72+'Monthly Collection-2027'!BC72+'Monthly Collection-2028'!BC72</f>
        <v>0</v>
      </c>
      <c r="I72" s="11" t="str">
        <f t="shared" si="4"/>
        <v>Regular</v>
      </c>
    </row>
    <row r="73" spans="2:12" ht="14.25" customHeight="1" x14ac:dyDescent="0.3">
      <c r="B73" s="14">
        <f>'Monthly Collection-2023'!B73</f>
        <v>70</v>
      </c>
      <c r="C73" s="15" t="str">
        <f>'Monthly Collection-2023'!C73</f>
        <v>Mohammad Osman Goni</v>
      </c>
      <c r="D73" s="16">
        <v>1814123764</v>
      </c>
      <c r="E73" s="15">
        <f>'Monthly Collection-2023'!E73</f>
        <v>1</v>
      </c>
      <c r="F73" s="15">
        <f t="shared" si="3"/>
        <v>100</v>
      </c>
      <c r="G73" s="15">
        <f>'Monthly Collection-2023'!AH73+'Monthly Collection-2024)'!BB73+'Monthly Collection-2025'!BB73+'Monthly Collection-2026'!BB73+'Monthly Collection-2027'!BB73+'Monthly Collection-2028'!BB73</f>
        <v>41000</v>
      </c>
      <c r="H73" s="17">
        <f>'Monthly Collection-2023'!AI73+'Monthly Collection-2024)'!BC73+'Monthly Collection-2025'!BC73+'Monthly Collection-2026'!BC73+'Monthly Collection-2027'!BC73+'Monthly Collection-2028'!BC73</f>
        <v>50</v>
      </c>
      <c r="I73" s="11" t="str">
        <f t="shared" si="4"/>
        <v>Regular</v>
      </c>
    </row>
    <row r="74" spans="2:12" ht="14.25" customHeight="1" x14ac:dyDescent="0.3">
      <c r="B74" s="10">
        <f>'Monthly Collection-2023'!B74</f>
        <v>71</v>
      </c>
      <c r="C74" s="11" t="str">
        <f>'Monthly Collection-2023'!C74</f>
        <v>Iqbal Hossen</v>
      </c>
      <c r="D74" s="256" t="s">
        <v>370</v>
      </c>
      <c r="E74" s="11">
        <f>'Monthly Collection-2023'!E74</f>
        <v>1</v>
      </c>
      <c r="F74" s="11">
        <f t="shared" si="3"/>
        <v>100</v>
      </c>
      <c r="G74" s="11">
        <f>'Monthly Collection-2023'!AH74+'Monthly Collection-2024)'!BB74+'Monthly Collection-2025'!BB74+'Monthly Collection-2026'!BB74+'Monthly Collection-2027'!BB74+'Monthly Collection-2028'!BB74</f>
        <v>41000</v>
      </c>
      <c r="H74" s="13">
        <f>'Monthly Collection-2023'!AI74+'Monthly Collection-2024)'!BC74+'Monthly Collection-2025'!BC74+'Monthly Collection-2026'!BC74+'Monthly Collection-2027'!BC74+'Monthly Collection-2028'!BC74</f>
        <v>100</v>
      </c>
      <c r="I74" s="11" t="str">
        <f t="shared" si="4"/>
        <v>Regular</v>
      </c>
    </row>
    <row r="75" spans="2:12" ht="14.25" customHeight="1" x14ac:dyDescent="0.3">
      <c r="B75" s="14">
        <f>'Monthly Collection-2023'!B75</f>
        <v>72</v>
      </c>
      <c r="C75" s="15" t="str">
        <f>'Monthly Collection-2023'!C75</f>
        <v>Debasish Karmaker</v>
      </c>
      <c r="D75" s="16">
        <v>1863367162</v>
      </c>
      <c r="E75" s="15">
        <f>'Monthly Collection-2023'!E75</f>
        <v>1</v>
      </c>
      <c r="F75" s="15">
        <f t="shared" si="3"/>
        <v>100</v>
      </c>
      <c r="G75" s="15">
        <f>'Monthly Collection-2023'!AH75+'Monthly Collection-2024)'!BB75+'Monthly Collection-2025'!BB75+'Monthly Collection-2026'!BB75+'Monthly Collection-2027'!BB75+'Monthly Collection-2028'!BB75</f>
        <v>40000</v>
      </c>
      <c r="H75" s="17">
        <f>'Monthly Collection-2023'!AI75+'Monthly Collection-2024)'!BC75+'Monthly Collection-2025'!BC75+'Monthly Collection-2026'!BC75+'Monthly Collection-2027'!BC75+'Monthly Collection-2028'!BC75</f>
        <v>50</v>
      </c>
      <c r="I75" s="11" t="str">
        <f t="shared" si="4"/>
        <v>Due</v>
      </c>
    </row>
    <row r="76" spans="2:12" ht="14.25" customHeight="1" x14ac:dyDescent="0.3">
      <c r="B76" s="10">
        <f>'Monthly Collection-2023'!B76</f>
        <v>73</v>
      </c>
      <c r="C76" s="11" t="str">
        <f>'Monthly Collection-2023'!C76</f>
        <v>Salim Uddin</v>
      </c>
      <c r="D76" s="256" t="s">
        <v>366</v>
      </c>
      <c r="E76" s="11">
        <f>'Monthly Collection-2023'!E76</f>
        <v>1</v>
      </c>
      <c r="F76" s="11">
        <f t="shared" si="3"/>
        <v>100</v>
      </c>
      <c r="G76" s="11">
        <f>'Monthly Collection-2023'!AH76+'Monthly Collection-2024)'!BB76+'Monthly Collection-2025'!BB76+'Monthly Collection-2026'!BB76+'Monthly Collection-2027'!BB76+'Monthly Collection-2028'!BB76</f>
        <v>41000</v>
      </c>
      <c r="H76" s="13">
        <f>'Monthly Collection-2023'!AI76+'Monthly Collection-2024)'!BC76+'Monthly Collection-2025'!BC76+'Monthly Collection-2026'!BC76+'Monthly Collection-2027'!BC76+'Monthly Collection-2028'!BC76</f>
        <v>400</v>
      </c>
      <c r="I76" s="11" t="str">
        <f t="shared" si="4"/>
        <v>Regular</v>
      </c>
    </row>
    <row r="77" spans="2:12" ht="14.25" customHeight="1" x14ac:dyDescent="0.3">
      <c r="B77" s="14">
        <f>'Monthly Collection-2023'!B77</f>
        <v>74</v>
      </c>
      <c r="C77" s="15" t="str">
        <f>'Monthly Collection-2023'!C77</f>
        <v>Mujibur Rahman</v>
      </c>
      <c r="D77" s="255" t="s">
        <v>367</v>
      </c>
      <c r="E77" s="15">
        <f>'Monthly Collection-2023'!E77</f>
        <v>1</v>
      </c>
      <c r="F77" s="15">
        <f t="shared" si="3"/>
        <v>100</v>
      </c>
      <c r="G77" s="15">
        <f>'Monthly Collection-2023'!AH77+'Monthly Collection-2024)'!BB77+'Monthly Collection-2025'!BB77+'Monthly Collection-2026'!BB77+'Monthly Collection-2027'!BB77+'Monthly Collection-2028'!BB77</f>
        <v>40000</v>
      </c>
      <c r="H77" s="17">
        <f>'Monthly Collection-2023'!AI77+'Monthly Collection-2024)'!BC77+'Monthly Collection-2025'!BC77+'Monthly Collection-2026'!BC77+'Monthly Collection-2027'!BC77+'Monthly Collection-2028'!BC77</f>
        <v>0</v>
      </c>
      <c r="I77" s="11" t="str">
        <f t="shared" si="4"/>
        <v>Due</v>
      </c>
    </row>
    <row r="78" spans="2:12" ht="14.25" customHeight="1" x14ac:dyDescent="0.3">
      <c r="B78" s="10">
        <f>'Monthly Collection-2023'!B78</f>
        <v>75</v>
      </c>
      <c r="C78" s="11" t="str">
        <f>'Monthly Collection-2023'!C78</f>
        <v>Md. Borhan Uddin</v>
      </c>
      <c r="D78" s="12">
        <v>1608600387</v>
      </c>
      <c r="E78" s="11">
        <f>'Monthly Collection-2023'!E78</f>
        <v>1</v>
      </c>
      <c r="F78" s="11">
        <f t="shared" si="3"/>
        <v>100</v>
      </c>
      <c r="G78" s="11">
        <f>'Monthly Collection-2023'!AH78+'Monthly Collection-2024)'!BB78+'Monthly Collection-2025'!BB78+'Monthly Collection-2026'!BB78+'Monthly Collection-2027'!BB78+'Monthly Collection-2028'!BB78</f>
        <v>41000</v>
      </c>
      <c r="H78" s="13">
        <f>'Monthly Collection-2023'!AI78+'Monthly Collection-2024)'!BC78+'Monthly Collection-2025'!BC78+'Monthly Collection-2026'!BC78+'Monthly Collection-2027'!BC78+'Monthly Collection-2028'!BC78</f>
        <v>0</v>
      </c>
      <c r="I78" s="11" t="str">
        <f t="shared" si="4"/>
        <v>Regular</v>
      </c>
    </row>
    <row r="79" spans="2:12" ht="14.25" customHeight="1" x14ac:dyDescent="0.3">
      <c r="B79" s="14">
        <f>'Monthly Collection-2023'!B79</f>
        <v>76</v>
      </c>
      <c r="C79" s="15" t="str">
        <f>'Monthly Collection-2023'!C79</f>
        <v>Mokter Ahmed</v>
      </c>
      <c r="D79" s="255" t="s">
        <v>368</v>
      </c>
      <c r="E79" s="15">
        <f>'Monthly Collection-2023'!E79</f>
        <v>1</v>
      </c>
      <c r="F79" s="15">
        <f t="shared" si="3"/>
        <v>100</v>
      </c>
      <c r="G79" s="15">
        <f>'Monthly Collection-2023'!AH79+'Monthly Collection-2024)'!BB79+'Monthly Collection-2025'!BB79+'Monthly Collection-2026'!BB79+'Monthly Collection-2027'!BB79+'Monthly Collection-2028'!BB79</f>
        <v>41000</v>
      </c>
      <c r="H79" s="17">
        <f>'Monthly Collection-2023'!AI79+'Monthly Collection-2024)'!BC79+'Monthly Collection-2025'!BC79+'Monthly Collection-2026'!BC79+'Monthly Collection-2027'!BC79+'Monthly Collection-2028'!BC79</f>
        <v>50</v>
      </c>
      <c r="I79" s="11" t="str">
        <f t="shared" si="4"/>
        <v>Regular</v>
      </c>
    </row>
    <row r="80" spans="2:12" ht="15" customHeight="1" thickBot="1" x14ac:dyDescent="0.35">
      <c r="B80" s="10">
        <f>'Monthly Collection-2023'!B80</f>
        <v>77</v>
      </c>
      <c r="C80" s="11" t="str">
        <f>'Monthly Collection-2023'!C80</f>
        <v>Nepal Kanti Karmaker</v>
      </c>
      <c r="D80" s="12">
        <v>1812676040</v>
      </c>
      <c r="E80" s="11">
        <f>'Monthly Collection-2023'!E80</f>
        <v>1</v>
      </c>
      <c r="F80" s="11">
        <f t="shared" si="3"/>
        <v>100</v>
      </c>
      <c r="G80" s="11">
        <f>'Monthly Collection-2023'!AH80+'Monthly Collection-2024)'!BB80+'Monthly Collection-2025'!BB80+'Monthly Collection-2026'!BB80+'Monthly Collection-2027'!BB80+'Monthly Collection-2028'!BB80</f>
        <v>41000</v>
      </c>
      <c r="H80" s="13">
        <f>'Monthly Collection-2023'!AI80+'Monthly Collection-2024)'!BC80+'Monthly Collection-2025'!BC80+'Monthly Collection-2026'!BC80+'Monthly Collection-2027'!BC80+'Monthly Collection-2028'!BC80</f>
        <v>950</v>
      </c>
      <c r="I80" s="11" t="str">
        <f t="shared" si="4"/>
        <v>Regular</v>
      </c>
      <c r="L80" s="235"/>
    </row>
    <row r="81" spans="2:8" ht="15" customHeight="1" thickBot="1" x14ac:dyDescent="0.35">
      <c r="B81" s="290" t="s">
        <v>42</v>
      </c>
      <c r="C81" s="290"/>
      <c r="D81" s="290"/>
      <c r="E81" s="20">
        <f>SUM(E4:E80)</f>
        <v>125</v>
      </c>
      <c r="F81" s="20">
        <f>SUM(F4:F80)</f>
        <v>12500</v>
      </c>
      <c r="G81" s="20">
        <f>SUM(G4:G80)</f>
        <v>5084000</v>
      </c>
      <c r="H81" s="21">
        <f>SUM(H4:H80)</f>
        <v>23150</v>
      </c>
    </row>
  </sheetData>
  <autoFilter ref="A3:I81"/>
  <mergeCells count="2">
    <mergeCell ref="B81:D81"/>
    <mergeCell ref="B2:I2"/>
  </mergeCells>
  <conditionalFormatting sqref="I4:I80">
    <cfRule type="expression" dxfId="255" priority="1">
      <formula>$I4="Advanced"</formula>
    </cfRule>
    <cfRule type="expression" dxfId="254" priority="2">
      <formula>$I4="Due"</formula>
    </cfRule>
    <cfRule type="cellIs" dxfId="253" priority="3" operator="equal">
      <formula>"""Due"""</formula>
    </cfRule>
  </conditionalFormatting>
  <pageMargins left="0.75" right="0.75" top="1" bottom="1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7"/>
  <sheetViews>
    <sheetView showGridLines="0" zoomScaleNormal="100" workbookViewId="0">
      <pane ySplit="3" topLeftCell="A68" activePane="bottomLeft" state="frozen"/>
      <selection pane="bottomLeft"/>
    </sheetView>
  </sheetViews>
  <sheetFormatPr defaultColWidth="8.88671875" defaultRowHeight="14.4" outlineLevelRow="1" x14ac:dyDescent="0.3"/>
  <cols>
    <col min="1" max="1" width="15" style="3" customWidth="1"/>
    <col min="2" max="2" width="13.5546875" style="3" customWidth="1"/>
    <col min="3" max="3" width="27.5546875" style="3" customWidth="1"/>
    <col min="4" max="4" width="16.6640625" style="3" customWidth="1"/>
    <col min="5" max="5" width="18" style="3" customWidth="1"/>
    <col min="6" max="6" width="13.109375" style="3" customWidth="1"/>
    <col min="7" max="7" width="21" style="3" customWidth="1"/>
    <col min="8" max="8" width="7.88671875" style="3" customWidth="1"/>
    <col min="9" max="9" width="11" style="3" customWidth="1"/>
    <col min="10" max="16384" width="8.88671875" style="3"/>
  </cols>
  <sheetData>
    <row r="1" spans="1:9" ht="19.5" customHeight="1" x14ac:dyDescent="0.3">
      <c r="A1" s="4" t="str">
        <f>HYPERLINK("#DASHBOARD!A1","⬅ Dashboard")</f>
        <v>⬅ Dashboard</v>
      </c>
    </row>
    <row r="2" spans="1:9" s="5" customFormat="1" ht="36" customHeight="1" x14ac:dyDescent="0.3">
      <c r="B2" s="293" t="s">
        <v>34</v>
      </c>
      <c r="C2" s="293"/>
      <c r="D2" s="293"/>
      <c r="E2" s="293"/>
      <c r="F2" s="293"/>
      <c r="G2" s="293"/>
      <c r="H2" s="293"/>
      <c r="I2" s="293"/>
    </row>
    <row r="3" spans="1:9" s="5" customFormat="1" ht="29.25" customHeight="1" x14ac:dyDescent="0.3">
      <c r="B3" s="6" t="s">
        <v>43</v>
      </c>
      <c r="C3" s="22" t="s">
        <v>44</v>
      </c>
      <c r="D3" s="22" t="s">
        <v>19</v>
      </c>
      <c r="E3" s="22" t="s">
        <v>45</v>
      </c>
      <c r="F3" s="22" t="s">
        <v>20</v>
      </c>
      <c r="G3" s="8" t="s">
        <v>46</v>
      </c>
      <c r="H3" s="23" t="s">
        <v>21</v>
      </c>
      <c r="I3" s="24" t="s">
        <v>47</v>
      </c>
    </row>
    <row r="4" spans="1:9" ht="14.25" customHeight="1" outlineLevel="1" x14ac:dyDescent="0.3">
      <c r="B4" s="25">
        <v>45078</v>
      </c>
      <c r="C4" s="11">
        <f>'Monthly Collection-2023'!F81</f>
        <v>124000</v>
      </c>
      <c r="D4" s="11">
        <f>'Monthly Collection-2023'!G81</f>
        <v>0</v>
      </c>
      <c r="E4" s="11">
        <f>'Monthly Collection-2023'!H81</f>
        <v>0</v>
      </c>
      <c r="F4" s="11">
        <f>'Monthly Collection-2023'!I81</f>
        <v>0</v>
      </c>
      <c r="G4" s="11"/>
      <c r="H4" s="11">
        <f>'Month Wise Expenses'!D9</f>
        <v>6400</v>
      </c>
      <c r="I4" s="13">
        <f t="shared" ref="I4:I10" si="0">SUM(C4:G4)-H4</f>
        <v>117600</v>
      </c>
    </row>
    <row r="5" spans="1:9" ht="14.25" customHeight="1" outlineLevel="1" x14ac:dyDescent="0.3">
      <c r="B5" s="26">
        <v>45108</v>
      </c>
      <c r="C5" s="15">
        <f>'Monthly Collection-2023'!J81</f>
        <v>124000</v>
      </c>
      <c r="D5" s="15">
        <f>'Monthly Collection-2023'!K81</f>
        <v>4000</v>
      </c>
      <c r="E5" s="15">
        <f>'Monthly Collection-2023'!L81</f>
        <v>0</v>
      </c>
      <c r="F5" s="15">
        <f>'Monthly Collection-2023'!M81</f>
        <v>0</v>
      </c>
      <c r="G5" s="15"/>
      <c r="H5" s="15">
        <f>'Month Wise Expenses'!D10</f>
        <v>300</v>
      </c>
      <c r="I5" s="17">
        <f t="shared" si="0"/>
        <v>127700</v>
      </c>
    </row>
    <row r="6" spans="1:9" ht="14.25" customHeight="1" outlineLevel="1" x14ac:dyDescent="0.3">
      <c r="B6" s="25">
        <v>45139</v>
      </c>
      <c r="C6" s="11">
        <f>'Monthly Collection-2023'!N81</f>
        <v>122000</v>
      </c>
      <c r="D6" s="11">
        <f>'Monthly Collection-2023'!O81</f>
        <v>0</v>
      </c>
      <c r="E6" s="11">
        <f>'Monthly Collection-2023'!P81</f>
        <v>0</v>
      </c>
      <c r="F6" s="11">
        <f>'Monthly Collection-2023'!Q81</f>
        <v>50</v>
      </c>
      <c r="G6" s="11"/>
      <c r="H6" s="11">
        <f>'Month Wise Expenses'!D11</f>
        <v>0</v>
      </c>
      <c r="I6" s="13">
        <f t="shared" si="0"/>
        <v>122050</v>
      </c>
    </row>
    <row r="7" spans="1:9" ht="14.25" customHeight="1" outlineLevel="1" x14ac:dyDescent="0.3">
      <c r="B7" s="26">
        <v>45170</v>
      </c>
      <c r="C7" s="15">
        <f>'Monthly Collection-2023'!R81</f>
        <v>118000</v>
      </c>
      <c r="D7" s="15">
        <f>'Monthly Collection-2023'!S81</f>
        <v>11000</v>
      </c>
      <c r="E7" s="15">
        <f>'Monthly Collection-2023'!T81</f>
        <v>1000</v>
      </c>
      <c r="F7" s="15">
        <f>'Monthly Collection-2023'!U81</f>
        <v>200</v>
      </c>
      <c r="G7" s="15"/>
      <c r="H7" s="15">
        <f>'Month Wise Expenses'!D12</f>
        <v>0</v>
      </c>
      <c r="I7" s="17">
        <f t="shared" si="0"/>
        <v>130200</v>
      </c>
    </row>
    <row r="8" spans="1:9" ht="14.25" customHeight="1" outlineLevel="1" x14ac:dyDescent="0.3">
      <c r="B8" s="25">
        <v>45200</v>
      </c>
      <c r="C8" s="11">
        <f>'Monthly Collection-2023'!V81</f>
        <v>109000</v>
      </c>
      <c r="D8" s="11">
        <f>'Monthly Collection-2023'!W81</f>
        <v>0</v>
      </c>
      <c r="E8" s="11">
        <f>'Monthly Collection-2023'!X81</f>
        <v>5000</v>
      </c>
      <c r="F8" s="11">
        <f>'Monthly Collection-2023'!Y81</f>
        <v>300</v>
      </c>
      <c r="G8" s="11"/>
      <c r="H8" s="11">
        <f>'Month Wise Expenses'!D13</f>
        <v>0</v>
      </c>
      <c r="I8" s="13">
        <f t="shared" si="0"/>
        <v>114300</v>
      </c>
    </row>
    <row r="9" spans="1:9" ht="14.25" customHeight="1" outlineLevel="1" x14ac:dyDescent="0.3">
      <c r="B9" s="26">
        <v>45231</v>
      </c>
      <c r="C9" s="15">
        <f>'Monthly Collection-2023'!Z81</f>
        <v>108000</v>
      </c>
      <c r="D9" s="15">
        <f>'Monthly Collection-2023'!AA81</f>
        <v>0</v>
      </c>
      <c r="E9" s="15">
        <f>'Monthly Collection-2023'!AB81</f>
        <v>7000</v>
      </c>
      <c r="F9" s="15">
        <f>'Monthly Collection-2023'!AC81</f>
        <v>350</v>
      </c>
      <c r="G9" s="15"/>
      <c r="H9" s="15">
        <f>'Month Wise Expenses'!D14</f>
        <v>0</v>
      </c>
      <c r="I9" s="17">
        <f t="shared" si="0"/>
        <v>115350</v>
      </c>
    </row>
    <row r="10" spans="1:9" ht="15" customHeight="1" outlineLevel="1" x14ac:dyDescent="0.3">
      <c r="B10" s="25">
        <v>45261</v>
      </c>
      <c r="C10" s="11">
        <f>'Monthly Collection-2023'!AD81</f>
        <v>108000</v>
      </c>
      <c r="D10" s="11">
        <f>'Monthly Collection-2023'!AE81</f>
        <v>11000</v>
      </c>
      <c r="E10" s="11">
        <f>'Monthly Collection-2023'!AF81</f>
        <v>10000</v>
      </c>
      <c r="F10" s="11">
        <f>'Monthly Collection-2023'!AG81</f>
        <v>500</v>
      </c>
      <c r="G10" s="11"/>
      <c r="H10" s="11">
        <f>'Month Wise Expenses'!D15</f>
        <v>0</v>
      </c>
      <c r="I10" s="13">
        <f t="shared" si="0"/>
        <v>129500</v>
      </c>
    </row>
    <row r="11" spans="1:9" ht="15" customHeight="1" x14ac:dyDescent="0.3">
      <c r="B11" s="27" t="s">
        <v>48</v>
      </c>
      <c r="C11" s="28">
        <f t="shared" ref="C11:I11" si="1">SUM(C4:C10)</f>
        <v>813000</v>
      </c>
      <c r="D11" s="28">
        <f t="shared" si="1"/>
        <v>26000</v>
      </c>
      <c r="E11" s="28">
        <f t="shared" si="1"/>
        <v>23000</v>
      </c>
      <c r="F11" s="28">
        <f t="shared" si="1"/>
        <v>1400</v>
      </c>
      <c r="G11" s="28">
        <f t="shared" si="1"/>
        <v>0</v>
      </c>
      <c r="H11" s="28">
        <f t="shared" si="1"/>
        <v>6700</v>
      </c>
      <c r="I11" s="29">
        <f t="shared" si="1"/>
        <v>856700</v>
      </c>
    </row>
    <row r="12" spans="1:9" ht="14.25" customHeight="1" outlineLevel="1" x14ac:dyDescent="0.3">
      <c r="B12" s="30">
        <v>45292</v>
      </c>
      <c r="C12" s="31">
        <f>'Monthly Collection-2024)'!F81</f>
        <v>112000</v>
      </c>
      <c r="D12" s="31">
        <f>'Monthly Collection-2024)'!G81</f>
        <v>0</v>
      </c>
      <c r="E12" s="31">
        <f>'Monthly Collection-2024)'!H81</f>
        <v>11000</v>
      </c>
      <c r="F12" s="31">
        <f>'Monthly Collection-2024)'!I81</f>
        <v>550</v>
      </c>
      <c r="G12" s="31"/>
      <c r="H12" s="31">
        <f>'Month Wise Expenses'!G4</f>
        <v>0</v>
      </c>
      <c r="I12" s="32">
        <f t="shared" ref="I12:I23" si="2">SUM(C12:G12)-H12</f>
        <v>123550</v>
      </c>
    </row>
    <row r="13" spans="1:9" ht="14.25" customHeight="1" outlineLevel="1" x14ac:dyDescent="0.3">
      <c r="B13" s="25">
        <v>45323</v>
      </c>
      <c r="C13" s="11">
        <f>'Monthly Collection-2024)'!J81</f>
        <v>116000</v>
      </c>
      <c r="D13" s="11">
        <f>'Monthly Collection-2024)'!K81</f>
        <v>0</v>
      </c>
      <c r="E13" s="11">
        <f>'Monthly Collection-2024)'!L81</f>
        <v>2000</v>
      </c>
      <c r="F13" s="11">
        <f>'Monthly Collection-2024)'!M81</f>
        <v>100</v>
      </c>
      <c r="G13" s="11"/>
      <c r="H13" s="11">
        <f>'Month Wise Expenses'!G5</f>
        <v>0</v>
      </c>
      <c r="I13" s="13">
        <f t="shared" si="2"/>
        <v>118100</v>
      </c>
    </row>
    <row r="14" spans="1:9" ht="14.25" customHeight="1" outlineLevel="1" x14ac:dyDescent="0.3">
      <c r="B14" s="26">
        <v>45352</v>
      </c>
      <c r="C14" s="15">
        <f>'Monthly Collection-2024)'!N81</f>
        <v>119000</v>
      </c>
      <c r="D14" s="15">
        <f>'Monthly Collection-2024)'!O81</f>
        <v>11000</v>
      </c>
      <c r="E14" s="15">
        <f>'Monthly Collection-2024)'!P81</f>
        <v>3000</v>
      </c>
      <c r="F14" s="15">
        <f>'Monthly Collection-2024)'!Q81</f>
        <v>200</v>
      </c>
      <c r="G14" s="15"/>
      <c r="H14" s="15">
        <f>'Month Wise Expenses'!G6</f>
        <v>0</v>
      </c>
      <c r="I14" s="17">
        <f t="shared" si="2"/>
        <v>133200</v>
      </c>
    </row>
    <row r="15" spans="1:9" ht="14.25" customHeight="1" outlineLevel="1" x14ac:dyDescent="0.3">
      <c r="B15" s="25">
        <v>45383</v>
      </c>
      <c r="C15" s="11">
        <f>'Monthly Collection-2024)'!R81</f>
        <v>108000</v>
      </c>
      <c r="D15" s="11">
        <f>'Monthly Collection-2024)'!S81</f>
        <v>0</v>
      </c>
      <c r="E15" s="11">
        <f>'Monthly Collection-2024)'!T81</f>
        <v>2000</v>
      </c>
      <c r="F15" s="11">
        <f>'Monthly Collection-2024)'!U81</f>
        <v>200</v>
      </c>
      <c r="G15" s="11"/>
      <c r="H15" s="11">
        <f>'Month Wise Expenses'!G7</f>
        <v>0</v>
      </c>
      <c r="I15" s="13">
        <f t="shared" si="2"/>
        <v>110200</v>
      </c>
    </row>
    <row r="16" spans="1:9" ht="14.25" customHeight="1" outlineLevel="1" x14ac:dyDescent="0.3">
      <c r="B16" s="26">
        <v>45413</v>
      </c>
      <c r="C16" s="15">
        <f>'Monthly Collection-2024)'!V81</f>
        <v>104000</v>
      </c>
      <c r="D16" s="15">
        <f>'Monthly Collection-2024)'!W81</f>
        <v>4000</v>
      </c>
      <c r="E16" s="15">
        <f>'Monthly Collection-2024)'!X81</f>
        <v>32000</v>
      </c>
      <c r="F16" s="15">
        <f>'Monthly Collection-2024)'!Y81</f>
        <v>3800</v>
      </c>
      <c r="G16" s="15"/>
      <c r="H16" s="15">
        <f>'Month Wise Expenses'!G8</f>
        <v>0</v>
      </c>
      <c r="I16" s="17">
        <f t="shared" si="2"/>
        <v>143800</v>
      </c>
    </row>
    <row r="17" spans="2:9" ht="14.25" customHeight="1" outlineLevel="1" x14ac:dyDescent="0.3">
      <c r="B17" s="25">
        <v>45444</v>
      </c>
      <c r="C17" s="11">
        <f>'Monthly Collection-2024)'!Z81</f>
        <v>115000</v>
      </c>
      <c r="D17" s="11">
        <f>'Monthly Collection-2024)'!AA81</f>
        <v>6000</v>
      </c>
      <c r="E17" s="11">
        <f>'Monthly Collection-2024)'!AB81</f>
        <v>12000</v>
      </c>
      <c r="F17" s="11">
        <f>'Monthly Collection-2024)'!AC81</f>
        <v>600</v>
      </c>
      <c r="G17" s="11"/>
      <c r="H17" s="11">
        <f>'Month Wise Expenses'!G9</f>
        <v>0</v>
      </c>
      <c r="I17" s="13">
        <f t="shared" si="2"/>
        <v>133600</v>
      </c>
    </row>
    <row r="18" spans="2:9" ht="14.25" customHeight="1" outlineLevel="1" x14ac:dyDescent="0.3">
      <c r="B18" s="26">
        <v>45474</v>
      </c>
      <c r="C18" s="15">
        <f>'Monthly Collection-2024)'!AD81</f>
        <v>114000</v>
      </c>
      <c r="D18" s="15">
        <f>'Monthly Collection-2024)'!AE81</f>
        <v>11000</v>
      </c>
      <c r="E18" s="15">
        <f>'Monthly Collection-2024)'!AF81</f>
        <v>8000</v>
      </c>
      <c r="F18" s="15">
        <f>'Monthly Collection-2024)'!AG81</f>
        <v>550</v>
      </c>
      <c r="G18" s="15"/>
      <c r="H18" s="15">
        <f>'Month Wise Expenses'!G10</f>
        <v>0</v>
      </c>
      <c r="I18" s="17">
        <f t="shared" si="2"/>
        <v>133550</v>
      </c>
    </row>
    <row r="19" spans="2:9" ht="14.25" customHeight="1" outlineLevel="1" x14ac:dyDescent="0.3">
      <c r="B19" s="25">
        <v>45505</v>
      </c>
      <c r="C19" s="11">
        <f>'Monthly Collection-2024)'!AH81</f>
        <v>108000</v>
      </c>
      <c r="D19" s="11">
        <f>'Monthly Collection-2024)'!AI81</f>
        <v>8000</v>
      </c>
      <c r="E19" s="11">
        <f>'Monthly Collection-2024)'!AJ81</f>
        <v>8000</v>
      </c>
      <c r="F19" s="11">
        <f>'Monthly Collection-2024)'!AK81</f>
        <v>1350</v>
      </c>
      <c r="G19" s="11"/>
      <c r="H19" s="11">
        <f>'Month Wise Expenses'!G11</f>
        <v>0</v>
      </c>
      <c r="I19" s="13">
        <f t="shared" si="2"/>
        <v>125350</v>
      </c>
    </row>
    <row r="20" spans="2:9" ht="14.25" customHeight="1" outlineLevel="1" x14ac:dyDescent="0.3">
      <c r="B20" s="26">
        <v>45536</v>
      </c>
      <c r="C20" s="15">
        <f>'Monthly Collection-2024)'!AL81</f>
        <v>108000</v>
      </c>
      <c r="D20" s="15">
        <f>'Monthly Collection-2024)'!AM81</f>
        <v>3000</v>
      </c>
      <c r="E20" s="15">
        <f>'Monthly Collection-2024)'!AN81</f>
        <v>7000</v>
      </c>
      <c r="F20" s="15">
        <f>'Monthly Collection-2024)'!AO81</f>
        <v>400</v>
      </c>
      <c r="G20" s="15"/>
      <c r="H20" s="15">
        <f>'Month Wise Expenses'!G12</f>
        <v>1000</v>
      </c>
      <c r="I20" s="17">
        <f t="shared" si="2"/>
        <v>117400</v>
      </c>
    </row>
    <row r="21" spans="2:9" ht="14.25" customHeight="1" outlineLevel="1" x14ac:dyDescent="0.3">
      <c r="B21" s="25">
        <v>45566</v>
      </c>
      <c r="C21" s="11">
        <f>'Monthly Collection-2024)'!AP81</f>
        <v>109000</v>
      </c>
      <c r="D21" s="11">
        <f>'Monthly Collection-2024)'!AQ81</f>
        <v>6000</v>
      </c>
      <c r="E21" s="11">
        <f>'Monthly Collection-2024)'!AR81</f>
        <v>5000</v>
      </c>
      <c r="F21" s="11">
        <f>'Monthly Collection-2024)'!AS81</f>
        <v>250</v>
      </c>
      <c r="G21" s="11"/>
      <c r="H21" s="11">
        <f>'Month Wise Expenses'!G13</f>
        <v>1000</v>
      </c>
      <c r="I21" s="13">
        <f t="shared" si="2"/>
        <v>119250</v>
      </c>
    </row>
    <row r="22" spans="2:9" ht="14.25" customHeight="1" outlineLevel="1" x14ac:dyDescent="0.3">
      <c r="B22" s="26">
        <v>45597</v>
      </c>
      <c r="C22" s="15">
        <f>'Monthly Collection-2024)'!AT81</f>
        <v>111000</v>
      </c>
      <c r="D22" s="15">
        <f>'Monthly Collection-2024)'!AU81</f>
        <v>2000</v>
      </c>
      <c r="E22" s="15">
        <f>'Monthly Collection-2024)'!AV81</f>
        <v>14000</v>
      </c>
      <c r="F22" s="15">
        <f>'Monthly Collection-2024)'!AW81</f>
        <v>700</v>
      </c>
      <c r="G22" s="15"/>
      <c r="H22" s="15">
        <f>'Month Wise Expenses'!G14</f>
        <v>1300</v>
      </c>
      <c r="I22" s="17">
        <f t="shared" si="2"/>
        <v>126400</v>
      </c>
    </row>
    <row r="23" spans="2:9" ht="15" customHeight="1" outlineLevel="1" x14ac:dyDescent="0.3">
      <c r="B23" s="25">
        <v>45627</v>
      </c>
      <c r="C23" s="11">
        <f>'Monthly Collection-2024)'!AX81</f>
        <v>105000</v>
      </c>
      <c r="D23" s="11">
        <f>'Monthly Collection-2024)'!AY81</f>
        <v>8000</v>
      </c>
      <c r="E23" s="11">
        <f>'Monthly Collection-2024)'!AZ81</f>
        <v>4000</v>
      </c>
      <c r="F23" s="11">
        <f>'Monthly Collection-2024)'!BA81</f>
        <v>200</v>
      </c>
      <c r="G23" s="11"/>
      <c r="H23" s="11">
        <f>'Month Wise Expenses'!G15</f>
        <v>1000</v>
      </c>
      <c r="I23" s="13">
        <f t="shared" si="2"/>
        <v>116200</v>
      </c>
    </row>
    <row r="24" spans="2:9" ht="15" customHeight="1" x14ac:dyDescent="0.3">
      <c r="B24" s="27" t="s">
        <v>49</v>
      </c>
      <c r="C24" s="28">
        <f t="shared" ref="C24:I24" si="3">SUM(C12:C23)</f>
        <v>1329000</v>
      </c>
      <c r="D24" s="28">
        <f t="shared" si="3"/>
        <v>59000</v>
      </c>
      <c r="E24" s="28">
        <f t="shared" si="3"/>
        <v>108000</v>
      </c>
      <c r="F24" s="28">
        <f t="shared" si="3"/>
        <v>8900</v>
      </c>
      <c r="G24" s="28">
        <f t="shared" si="3"/>
        <v>0</v>
      </c>
      <c r="H24" s="28">
        <f t="shared" si="3"/>
        <v>4300</v>
      </c>
      <c r="I24" s="29">
        <f t="shared" si="3"/>
        <v>1500600</v>
      </c>
    </row>
    <row r="25" spans="2:9" ht="14.25" customHeight="1" outlineLevel="1" x14ac:dyDescent="0.3">
      <c r="B25" s="26">
        <v>45658</v>
      </c>
      <c r="C25" s="15">
        <f>'Monthly Collection-2025'!F81</f>
        <v>113000</v>
      </c>
      <c r="D25" s="15">
        <f>'Monthly Collection-2025'!G81</f>
        <v>14000</v>
      </c>
      <c r="E25" s="15">
        <f>'Monthly Collection-2025'!H81</f>
        <v>20000</v>
      </c>
      <c r="F25" s="15">
        <f>'Monthly Collection-2025'!I81</f>
        <v>1000</v>
      </c>
      <c r="G25" s="15">
        <f>'Month Wise CNG Instlmnt Summary'!C4</f>
        <v>30000</v>
      </c>
      <c r="H25" s="15">
        <f>'Month Wise Expenses'!J4</f>
        <v>1000</v>
      </c>
      <c r="I25" s="32">
        <f t="shared" ref="I25:I36" si="4">SUM(C25:G25)-H25</f>
        <v>177000</v>
      </c>
    </row>
    <row r="26" spans="2:9" ht="14.25" customHeight="1" outlineLevel="1" x14ac:dyDescent="0.3">
      <c r="B26" s="25">
        <v>45689</v>
      </c>
      <c r="C26" s="11">
        <f>'Monthly Collection-2025'!J81</f>
        <v>113000</v>
      </c>
      <c r="D26" s="11">
        <f>'Monthly Collection-2025'!K81</f>
        <v>2000</v>
      </c>
      <c r="E26" s="11">
        <f>'Monthly Collection-2025'!L81</f>
        <v>12000</v>
      </c>
      <c r="F26" s="11">
        <f>'Monthly Collection-2025'!M81</f>
        <v>750</v>
      </c>
      <c r="G26" s="11">
        <f>'Month Wise CNG Instlmnt Summary'!C5</f>
        <v>30000</v>
      </c>
      <c r="H26" s="11">
        <f>'Month Wise Expenses'!J5</f>
        <v>1250</v>
      </c>
      <c r="I26" s="13">
        <f t="shared" si="4"/>
        <v>156500</v>
      </c>
    </row>
    <row r="27" spans="2:9" ht="14.25" customHeight="1" outlineLevel="1" x14ac:dyDescent="0.3">
      <c r="B27" s="26">
        <v>45717</v>
      </c>
      <c r="C27" s="15">
        <f>'Monthly Collection-2025'!N81</f>
        <v>108000</v>
      </c>
      <c r="D27" s="15">
        <f>'Monthly Collection-2025'!O81</f>
        <v>4000</v>
      </c>
      <c r="E27" s="15">
        <f>'Monthly Collection-2025'!P81</f>
        <v>3000</v>
      </c>
      <c r="F27" s="15">
        <f>'Monthly Collection-2025'!Q81</f>
        <v>150</v>
      </c>
      <c r="G27" s="15">
        <f>'Month Wise CNG Instlmnt Summary'!C6</f>
        <v>45000</v>
      </c>
      <c r="H27" s="15">
        <f>'Month Wise Expenses'!J6</f>
        <v>1400</v>
      </c>
      <c r="I27" s="17">
        <f t="shared" si="4"/>
        <v>158750</v>
      </c>
    </row>
    <row r="28" spans="2:9" ht="14.25" customHeight="1" outlineLevel="1" x14ac:dyDescent="0.3">
      <c r="B28" s="25">
        <v>45748</v>
      </c>
      <c r="C28" s="11">
        <f>'Monthly Collection-2025'!R81</f>
        <v>104000</v>
      </c>
      <c r="D28" s="11">
        <f>'Monthly Collection-2025'!S81</f>
        <v>5000</v>
      </c>
      <c r="E28" s="11">
        <f>'Monthly Collection-2025'!T81</f>
        <v>10000</v>
      </c>
      <c r="F28" s="11">
        <f>'Monthly Collection-2025'!U81</f>
        <v>500</v>
      </c>
      <c r="G28" s="11">
        <f>'Month Wise CNG Instlmnt Summary'!C7</f>
        <v>45000</v>
      </c>
      <c r="H28" s="11">
        <f>'Month Wise Expenses'!J7</f>
        <v>1000</v>
      </c>
      <c r="I28" s="13">
        <f t="shared" si="4"/>
        <v>163500</v>
      </c>
    </row>
    <row r="29" spans="2:9" ht="14.25" customHeight="1" outlineLevel="1" x14ac:dyDescent="0.3">
      <c r="B29" s="26">
        <v>45778</v>
      </c>
      <c r="C29" s="15">
        <f>'Monthly Collection-2025'!V81</f>
        <v>108000</v>
      </c>
      <c r="D29" s="15">
        <f>'Monthly Collection-2025'!W81</f>
        <v>8000</v>
      </c>
      <c r="E29" s="15">
        <f>'Monthly Collection-2025'!X81</f>
        <v>18000</v>
      </c>
      <c r="F29" s="15">
        <f>'Monthly Collection-2025'!Y81</f>
        <v>950</v>
      </c>
      <c r="G29" s="15">
        <f>'Month Wise CNG Instlmnt Summary'!C8</f>
        <v>55000</v>
      </c>
      <c r="H29" s="15">
        <f>'Month Wise Expenses'!J8</f>
        <v>1000</v>
      </c>
      <c r="I29" s="17">
        <f t="shared" si="4"/>
        <v>188950</v>
      </c>
    </row>
    <row r="30" spans="2:9" ht="14.25" customHeight="1" outlineLevel="1" x14ac:dyDescent="0.3">
      <c r="B30" s="25">
        <v>45809</v>
      </c>
      <c r="C30" s="11">
        <f>'Monthly Collection-2025'!Z81</f>
        <v>107000</v>
      </c>
      <c r="D30" s="11">
        <f>'Monthly Collection-2025'!AA81</f>
        <v>5000</v>
      </c>
      <c r="E30" s="11">
        <f>'Monthly Collection-2025'!AB81</f>
        <v>7000</v>
      </c>
      <c r="F30" s="11">
        <f>'Monthly Collection-2025'!AC81</f>
        <v>350</v>
      </c>
      <c r="G30" s="11">
        <f>'Month Wise CNG Instlmnt Summary'!C9</f>
        <v>40000</v>
      </c>
      <c r="H30" s="11">
        <f>'Month Wise Expenses'!J9</f>
        <v>1000</v>
      </c>
      <c r="I30" s="13">
        <f t="shared" si="4"/>
        <v>158350</v>
      </c>
    </row>
    <row r="31" spans="2:9" ht="14.25" customHeight="1" outlineLevel="1" x14ac:dyDescent="0.3">
      <c r="B31" s="26">
        <v>45839</v>
      </c>
      <c r="C31" s="15">
        <f>'Monthly Collection-2025'!AD81</f>
        <v>102000</v>
      </c>
      <c r="D31" s="15">
        <f>'Monthly Collection-2025'!AE81</f>
        <v>12000</v>
      </c>
      <c r="E31" s="15">
        <f>'Monthly Collection-2025'!AF81</f>
        <v>9000</v>
      </c>
      <c r="F31" s="15">
        <f>'Monthly Collection-2025'!AG81</f>
        <v>450</v>
      </c>
      <c r="G31" s="15">
        <f>'Month Wise CNG Instlmnt Summary'!C10</f>
        <v>55000</v>
      </c>
      <c r="H31" s="15">
        <f>'Month Wise Expenses'!J10</f>
        <v>1250</v>
      </c>
      <c r="I31" s="17">
        <f t="shared" si="4"/>
        <v>177200</v>
      </c>
    </row>
    <row r="32" spans="2:9" ht="14.25" customHeight="1" outlineLevel="1" x14ac:dyDescent="0.3">
      <c r="B32" s="25">
        <v>45870</v>
      </c>
      <c r="C32" s="11">
        <f>'Monthly Collection-2025'!AH81</f>
        <v>108000</v>
      </c>
      <c r="D32" s="11">
        <f>'Monthly Collection-2025'!AI81</f>
        <v>2000</v>
      </c>
      <c r="E32" s="11">
        <f>'Monthly Collection-2025'!AJ81</f>
        <v>24000</v>
      </c>
      <c r="F32" s="11">
        <f>'Monthly Collection-2025'!AK81</f>
        <v>1250</v>
      </c>
      <c r="G32" s="11">
        <f>'Month Wise CNG Instlmnt Summary'!C11</f>
        <v>55000</v>
      </c>
      <c r="H32" s="11">
        <f>'Month Wise Expenses'!J11</f>
        <v>4000</v>
      </c>
      <c r="I32" s="13">
        <f t="shared" si="4"/>
        <v>186250</v>
      </c>
    </row>
    <row r="33" spans="2:9" ht="14.25" customHeight="1" outlineLevel="1" x14ac:dyDescent="0.3">
      <c r="B33" s="26">
        <v>45901</v>
      </c>
      <c r="C33" s="15">
        <f>'Monthly Collection-2025'!AL81</f>
        <v>105000</v>
      </c>
      <c r="D33" s="15">
        <f>'Monthly Collection-2025'!AM81</f>
        <v>10000</v>
      </c>
      <c r="E33" s="15">
        <f>'Monthly Collection-2025'!AN81</f>
        <v>3000</v>
      </c>
      <c r="F33" s="15">
        <f>'Monthly Collection-2025'!AO81</f>
        <v>150</v>
      </c>
      <c r="G33" s="15">
        <f>'Month Wise CNG Instlmnt Summary'!C12+2700</f>
        <v>57700</v>
      </c>
      <c r="H33" s="15">
        <f>'Month Wise Expenses'!J12</f>
        <v>3250</v>
      </c>
      <c r="I33" s="17">
        <f t="shared" si="4"/>
        <v>172600</v>
      </c>
    </row>
    <row r="34" spans="2:9" ht="14.25" customHeight="1" outlineLevel="1" x14ac:dyDescent="0.3">
      <c r="B34" s="25">
        <v>45931</v>
      </c>
      <c r="C34" s="11">
        <f>'Monthly Collection-2025'!AP81</f>
        <v>108000</v>
      </c>
      <c r="D34" s="11">
        <f>'Monthly Collection-2025'!AQ81</f>
        <v>3000</v>
      </c>
      <c r="E34" s="11">
        <f>'Monthly Collection-2025'!AR81</f>
        <v>11000</v>
      </c>
      <c r="F34" s="11">
        <f>'Monthly Collection-2025'!AS81</f>
        <v>900</v>
      </c>
      <c r="G34" s="11">
        <f>'Month Wise CNG Instlmnt Summary'!C13</f>
        <v>55000</v>
      </c>
      <c r="H34" s="11">
        <f>'Month Wise Expenses'!J13</f>
        <v>1250</v>
      </c>
      <c r="I34" s="13">
        <f t="shared" si="4"/>
        <v>176650</v>
      </c>
    </row>
    <row r="35" spans="2:9" ht="14.25" customHeight="1" outlineLevel="1" x14ac:dyDescent="0.3">
      <c r="B35" s="26">
        <v>45962</v>
      </c>
      <c r="C35" s="15">
        <f>'Monthly Collection-2025'!AT81</f>
        <v>114000</v>
      </c>
      <c r="D35" s="15">
        <f>'Monthly Collection-2025'!AU81</f>
        <v>5000</v>
      </c>
      <c r="E35" s="15">
        <f>'Monthly Collection-2025'!AV81</f>
        <v>11000</v>
      </c>
      <c r="F35" s="15">
        <f>'Monthly Collection-2025'!AW81</f>
        <v>550</v>
      </c>
      <c r="G35" s="15">
        <f>'Month Wise CNG Instlmnt Summary'!C14+27000</f>
        <v>93000</v>
      </c>
      <c r="H35" s="15">
        <f>'Month Wise Expenses'!J14</f>
        <v>1000</v>
      </c>
      <c r="I35" s="17">
        <f t="shared" si="4"/>
        <v>222550</v>
      </c>
    </row>
    <row r="36" spans="2:9" ht="15" customHeight="1" outlineLevel="1" x14ac:dyDescent="0.3">
      <c r="B36" s="25">
        <v>45992</v>
      </c>
      <c r="C36" s="11">
        <f>'Monthly Collection-2025'!AX81</f>
        <v>109000</v>
      </c>
      <c r="D36" s="11">
        <f>'Monthly Collection-2025'!AY81</f>
        <v>0</v>
      </c>
      <c r="E36" s="11">
        <f>'Monthly Collection-2025'!AZ81</f>
        <v>10000</v>
      </c>
      <c r="F36" s="11">
        <f>'Monthly Collection-2025'!BA81</f>
        <v>500</v>
      </c>
      <c r="G36" s="11">
        <f>'Month Wise CNG Instlmnt Summary'!C15</f>
        <v>72000</v>
      </c>
      <c r="H36" s="11">
        <f>'Month Wise Expenses'!J15</f>
        <v>1000</v>
      </c>
      <c r="I36" s="13">
        <f t="shared" si="4"/>
        <v>190500</v>
      </c>
    </row>
    <row r="37" spans="2:9" ht="15" customHeight="1" x14ac:dyDescent="0.3">
      <c r="B37" s="27" t="s">
        <v>50</v>
      </c>
      <c r="C37" s="28">
        <f t="shared" ref="C37:I37" si="5">SUM(C25:C36)</f>
        <v>1299000</v>
      </c>
      <c r="D37" s="28">
        <f t="shared" si="5"/>
        <v>70000</v>
      </c>
      <c r="E37" s="28">
        <f t="shared" si="5"/>
        <v>138000</v>
      </c>
      <c r="F37" s="28">
        <f t="shared" si="5"/>
        <v>7500</v>
      </c>
      <c r="G37" s="28">
        <f t="shared" si="5"/>
        <v>632700</v>
      </c>
      <c r="H37" s="28">
        <f t="shared" si="5"/>
        <v>18400</v>
      </c>
      <c r="I37" s="29">
        <f t="shared" si="5"/>
        <v>2128800</v>
      </c>
    </row>
    <row r="38" spans="2:9" ht="14.25" customHeight="1" outlineLevel="1" x14ac:dyDescent="0.3">
      <c r="B38" s="26">
        <v>46023</v>
      </c>
      <c r="C38" s="15">
        <f>'Monthly Collection-2026'!F81</f>
        <v>114000</v>
      </c>
      <c r="D38" s="15">
        <f>'Monthly Collection-2026'!G81</f>
        <v>8000</v>
      </c>
      <c r="E38" s="15">
        <f>'Monthly Collection-2026'!H81</f>
        <v>3000</v>
      </c>
      <c r="F38" s="15">
        <f>'Monthly Collection-2026'!I81</f>
        <v>150</v>
      </c>
      <c r="G38" s="15">
        <f>'Month Wise CNG Instlmnt Summary'!F4</f>
        <v>66000</v>
      </c>
      <c r="H38" s="15">
        <f>'Month Wise Expenses'!M4</f>
        <v>50697</v>
      </c>
      <c r="I38" s="32">
        <f t="shared" ref="I38:I49" si="6">SUM(C38:G38)-H38</f>
        <v>140453</v>
      </c>
    </row>
    <row r="39" spans="2:9" ht="14.25" customHeight="1" outlineLevel="1" x14ac:dyDescent="0.3">
      <c r="B39" s="25">
        <v>46054</v>
      </c>
      <c r="C39" s="11">
        <f>'Monthly Collection-2026'!J81</f>
        <v>105000</v>
      </c>
      <c r="D39" s="11">
        <f>'Monthly Collection-2026'!K81</f>
        <v>4000</v>
      </c>
      <c r="E39" s="11">
        <f>'Monthly Collection-2026'!L81</f>
        <v>10000</v>
      </c>
      <c r="F39" s="11">
        <f>'Monthly Collection-2026'!M81</f>
        <v>500</v>
      </c>
      <c r="G39" s="11">
        <f>'Month Wise CNG Instlmnt Summary'!F5</f>
        <v>73000</v>
      </c>
      <c r="H39" s="11">
        <f>'Month Wise Expenses'!M5</f>
        <v>1000</v>
      </c>
      <c r="I39" s="13">
        <f t="shared" si="6"/>
        <v>191500</v>
      </c>
    </row>
    <row r="40" spans="2:9" ht="14.25" customHeight="1" outlineLevel="1" x14ac:dyDescent="0.3">
      <c r="B40" s="26">
        <v>46082</v>
      </c>
      <c r="C40" s="15">
        <f>'Monthly Collection-2026'!N81</f>
        <v>106000</v>
      </c>
      <c r="D40" s="15">
        <f>'Monthly Collection-2026'!O81</f>
        <v>12000</v>
      </c>
      <c r="E40" s="15">
        <f>'Monthly Collection-2026'!P81</f>
        <v>8000</v>
      </c>
      <c r="F40" s="15">
        <f>'Monthly Collection-2026'!Q81</f>
        <v>400</v>
      </c>
      <c r="G40" s="15">
        <f>'Month Wise CNG Instlmnt Summary'!F6</f>
        <v>55000</v>
      </c>
      <c r="H40" s="15">
        <f>'Month Wise Expenses'!M6</f>
        <v>1000</v>
      </c>
      <c r="I40" s="17">
        <f t="shared" si="6"/>
        <v>180400</v>
      </c>
    </row>
    <row r="41" spans="2:9" ht="14.25" customHeight="1" outlineLevel="1" x14ac:dyDescent="0.3">
      <c r="B41" s="25">
        <v>46113</v>
      </c>
      <c r="C41" s="11">
        <f>'Monthly Collection-2026'!R81</f>
        <v>107000</v>
      </c>
      <c r="D41" s="11">
        <f>'Monthly Collection-2026'!S81</f>
        <v>13000</v>
      </c>
      <c r="E41" s="11">
        <f>'Monthly Collection-2026'!T81</f>
        <v>20000</v>
      </c>
      <c r="F41" s="11">
        <f>'Monthly Collection-2026'!U81</f>
        <v>1000</v>
      </c>
      <c r="G41" s="11">
        <f>'Month Wise CNG Instlmnt Summary'!F7</f>
        <v>118500</v>
      </c>
      <c r="H41" s="11">
        <v>100</v>
      </c>
      <c r="I41" s="13">
        <f t="shared" si="6"/>
        <v>259400</v>
      </c>
    </row>
    <row r="42" spans="2:9" ht="14.25" customHeight="1" outlineLevel="1" x14ac:dyDescent="0.3">
      <c r="B42" s="26">
        <v>46143</v>
      </c>
      <c r="C42" s="15">
        <f>'Monthly Collection-2026'!V81</f>
        <v>101000</v>
      </c>
      <c r="D42" s="15">
        <f>'Monthly Collection-2026'!W81</f>
        <v>1000</v>
      </c>
      <c r="E42" s="15">
        <f>'Monthly Collection-2026'!X81</f>
        <v>5000</v>
      </c>
      <c r="F42" s="15">
        <f>'Monthly Collection-2026'!Y81</f>
        <v>300</v>
      </c>
      <c r="G42" s="15">
        <f>'Month Wise CNG Instlmnt Summary'!F8</f>
        <v>74000</v>
      </c>
      <c r="H42" s="15">
        <f>'Month Wise Expenses'!M8</f>
        <v>200</v>
      </c>
      <c r="I42" s="17">
        <f t="shared" si="6"/>
        <v>181100</v>
      </c>
    </row>
    <row r="43" spans="2:9" ht="14.25" customHeight="1" outlineLevel="1" x14ac:dyDescent="0.3">
      <c r="B43" s="25">
        <v>46174</v>
      </c>
      <c r="C43" s="11">
        <f>'Monthly Collection-2026'!Z81</f>
        <v>107000</v>
      </c>
      <c r="D43" s="11">
        <f>'Monthly Collection-2026'!AA81</f>
        <v>5000</v>
      </c>
      <c r="E43" s="11">
        <f>'Monthly Collection-2026'!AB81</f>
        <v>13000</v>
      </c>
      <c r="F43" s="11">
        <f>'Monthly Collection-2026'!AC81</f>
        <v>650</v>
      </c>
      <c r="G43" s="11">
        <f>'Month Wise CNG Instlmnt Summary'!F9+59000</f>
        <v>127000</v>
      </c>
      <c r="H43" s="11">
        <f>'Month Wise Expenses'!M9</f>
        <v>100</v>
      </c>
      <c r="I43" s="13">
        <f t="shared" si="6"/>
        <v>252550</v>
      </c>
    </row>
    <row r="44" spans="2:9" ht="14.25" customHeight="1" outlineLevel="1" x14ac:dyDescent="0.3">
      <c r="B44" s="26">
        <v>46204</v>
      </c>
      <c r="C44" s="15">
        <f>'Monthly Collection-2026'!AD81</f>
        <v>107000</v>
      </c>
      <c r="D44" s="15">
        <f>'Monthly Collection-2026'!AE81</f>
        <v>2000</v>
      </c>
      <c r="E44" s="15">
        <f>'Monthly Collection-2026'!AF81</f>
        <v>7000</v>
      </c>
      <c r="F44" s="15">
        <f>'Monthly Collection-2026'!AG81</f>
        <v>350</v>
      </c>
      <c r="G44" s="15">
        <f>'Month Wise CNG Instlmnt Summary'!F10</f>
        <v>81000</v>
      </c>
      <c r="H44" s="15">
        <f>'Month Wise Expenses'!M10</f>
        <v>0</v>
      </c>
      <c r="I44" s="17">
        <f t="shared" si="6"/>
        <v>197350</v>
      </c>
    </row>
    <row r="45" spans="2:9" ht="14.25" customHeight="1" outlineLevel="1" x14ac:dyDescent="0.3">
      <c r="B45" s="25">
        <v>46235</v>
      </c>
      <c r="C45" s="11">
        <f>'Monthly Collection-2026'!AH81</f>
        <v>109000</v>
      </c>
      <c r="D45" s="11">
        <f>'Monthly Collection-2026'!AI81</f>
        <v>2000</v>
      </c>
      <c r="E45" s="11">
        <f>'Monthly Collection-2026'!AJ81</f>
        <v>21000</v>
      </c>
      <c r="F45" s="11">
        <f>'Monthly Collection-2026'!AK81</f>
        <v>1050</v>
      </c>
      <c r="G45" s="11">
        <f>'Month Wise CNG Instlmnt Summary'!F11</f>
        <v>74000</v>
      </c>
      <c r="H45" s="11">
        <f>'Month Wise Expenses'!M11</f>
        <v>100</v>
      </c>
      <c r="I45" s="13">
        <f t="shared" si="6"/>
        <v>206950</v>
      </c>
    </row>
    <row r="46" spans="2:9" ht="14.25" customHeight="1" outlineLevel="1" x14ac:dyDescent="0.3">
      <c r="B46" s="26">
        <v>46266</v>
      </c>
      <c r="C46" s="15">
        <f>'Monthly Collection-2026'!AL81</f>
        <v>104000</v>
      </c>
      <c r="D46" s="15">
        <f>'Monthly Collection-2026'!AM81</f>
        <v>10000</v>
      </c>
      <c r="E46" s="15">
        <f>'Monthly Collection-2026'!AN81</f>
        <v>8000</v>
      </c>
      <c r="F46" s="15">
        <f>'Monthly Collection-2026'!AO81</f>
        <v>400</v>
      </c>
      <c r="G46" s="15">
        <f>'Month Wise CNG Instlmnt Summary'!F12</f>
        <v>88000</v>
      </c>
      <c r="H46" s="15">
        <f>'Month Wise Expenses'!M12</f>
        <v>200</v>
      </c>
      <c r="I46" s="17">
        <f t="shared" si="6"/>
        <v>210200</v>
      </c>
    </row>
    <row r="47" spans="2:9" ht="14.25" customHeight="1" outlineLevel="1" x14ac:dyDescent="0.3">
      <c r="B47" s="25">
        <v>46296</v>
      </c>
      <c r="C47" s="11">
        <f>'Monthly Collection-2026'!AP81</f>
        <v>92000</v>
      </c>
      <c r="D47" s="11">
        <f>'Monthly Collection-2026'!AQ81</f>
        <v>4000</v>
      </c>
      <c r="E47" s="11">
        <f>'Monthly Collection-2026'!AR81</f>
        <v>11000</v>
      </c>
      <c r="F47" s="11">
        <f>'Monthly Collection-2026'!AS81</f>
        <v>550</v>
      </c>
      <c r="G47" s="11">
        <f>'Month Wise CNG Instlmnt Summary'!F13</f>
        <v>110000</v>
      </c>
      <c r="H47" s="11">
        <f>'Month Wise Expenses'!M13</f>
        <v>272.83000000000004</v>
      </c>
      <c r="I47" s="13">
        <f t="shared" si="6"/>
        <v>217277.17</v>
      </c>
    </row>
    <row r="48" spans="2:9" ht="14.25" customHeight="1" outlineLevel="1" x14ac:dyDescent="0.3">
      <c r="B48" s="26">
        <v>46327</v>
      </c>
      <c r="C48" s="15">
        <f>'Monthly Collection-2026'!AT81</f>
        <v>0</v>
      </c>
      <c r="D48" s="15">
        <f>'Monthly Collection-2026'!AU81</f>
        <v>0</v>
      </c>
      <c r="E48" s="15">
        <f>'Monthly Collection-2026'!AV81</f>
        <v>0</v>
      </c>
      <c r="F48" s="15">
        <f>'Monthly Collection-2026'!AW81</f>
        <v>0</v>
      </c>
      <c r="G48" s="15">
        <f>'Month Wise CNG Instlmnt Summary'!F14</f>
        <v>0</v>
      </c>
      <c r="H48" s="15">
        <f>'Month Wise Expenses'!M14</f>
        <v>0</v>
      </c>
      <c r="I48" s="17">
        <f t="shared" si="6"/>
        <v>0</v>
      </c>
    </row>
    <row r="49" spans="2:9" ht="15" customHeight="1" outlineLevel="1" x14ac:dyDescent="0.3">
      <c r="B49" s="25">
        <v>46357</v>
      </c>
      <c r="C49" s="11">
        <f>'Monthly Collection-2026'!AX81</f>
        <v>0</v>
      </c>
      <c r="D49" s="11">
        <f>'Monthly Collection-2026'!AY81</f>
        <v>0</v>
      </c>
      <c r="E49" s="11">
        <f>'Monthly Collection-2026'!AZ81</f>
        <v>0</v>
      </c>
      <c r="F49" s="11">
        <f>'Monthly Collection-2026'!BA81</f>
        <v>0</v>
      </c>
      <c r="G49" s="11">
        <f>'Month Wise CNG Instlmnt Summary'!F15</f>
        <v>0</v>
      </c>
      <c r="H49" s="11">
        <f>'Month Wise Expenses'!M15</f>
        <v>0</v>
      </c>
      <c r="I49" s="13">
        <f t="shared" si="6"/>
        <v>0</v>
      </c>
    </row>
    <row r="50" spans="2:9" ht="15" customHeight="1" x14ac:dyDescent="0.3">
      <c r="B50" s="27" t="s">
        <v>51</v>
      </c>
      <c r="C50" s="28">
        <f t="shared" ref="C50:I50" si="7">SUM(C38:C49)</f>
        <v>1052000</v>
      </c>
      <c r="D50" s="28">
        <f t="shared" si="7"/>
        <v>61000</v>
      </c>
      <c r="E50" s="28">
        <f t="shared" si="7"/>
        <v>106000</v>
      </c>
      <c r="F50" s="28">
        <f t="shared" si="7"/>
        <v>5350</v>
      </c>
      <c r="G50" s="28">
        <f t="shared" si="7"/>
        <v>866500</v>
      </c>
      <c r="H50" s="28">
        <f t="shared" si="7"/>
        <v>53669.83</v>
      </c>
      <c r="I50" s="29">
        <f t="shared" si="7"/>
        <v>2037180.17</v>
      </c>
    </row>
    <row r="51" spans="2:9" ht="14.25" customHeight="1" outlineLevel="1" x14ac:dyDescent="0.3">
      <c r="B51" s="26">
        <v>46388</v>
      </c>
      <c r="C51" s="15">
        <f>'Monthly Collection-2027'!F81</f>
        <v>0</v>
      </c>
      <c r="D51" s="15">
        <f>'Monthly Collection-2027'!G81</f>
        <v>0</v>
      </c>
      <c r="E51" s="15">
        <f>'Monthly Collection-2027'!H81</f>
        <v>0</v>
      </c>
      <c r="F51" s="15">
        <f>'Monthly Collection-2027'!I81</f>
        <v>0</v>
      </c>
      <c r="G51" s="15"/>
      <c r="H51" s="15">
        <f>'Month Wise Expenses'!P4</f>
        <v>0</v>
      </c>
      <c r="I51" s="32">
        <f t="shared" ref="I51:I62" si="8">SUM(C51:G51)-H51</f>
        <v>0</v>
      </c>
    </row>
    <row r="52" spans="2:9" ht="14.25" customHeight="1" outlineLevel="1" x14ac:dyDescent="0.3">
      <c r="B52" s="25">
        <v>46419</v>
      </c>
      <c r="C52" s="11">
        <f>'Monthly Collection-2027'!J81</f>
        <v>0</v>
      </c>
      <c r="D52" s="11">
        <f>'Monthly Collection-2027'!K81</f>
        <v>0</v>
      </c>
      <c r="E52" s="11">
        <f>'Monthly Collection-2027'!L81</f>
        <v>0</v>
      </c>
      <c r="F52" s="11">
        <f>'Monthly Collection-2027'!M81</f>
        <v>0</v>
      </c>
      <c r="G52" s="11"/>
      <c r="H52" s="11">
        <f>'Month Wise Expenses'!P5</f>
        <v>0</v>
      </c>
      <c r="I52" s="13">
        <f t="shared" si="8"/>
        <v>0</v>
      </c>
    </row>
    <row r="53" spans="2:9" ht="14.25" customHeight="1" outlineLevel="1" x14ac:dyDescent="0.3">
      <c r="B53" s="26">
        <v>46447</v>
      </c>
      <c r="C53" s="15">
        <f>'Monthly Collection-2027'!N81</f>
        <v>0</v>
      </c>
      <c r="D53" s="15">
        <f>'Monthly Collection-2027'!O81</f>
        <v>0</v>
      </c>
      <c r="E53" s="15">
        <f>'Monthly Collection-2027'!P81</f>
        <v>0</v>
      </c>
      <c r="F53" s="15">
        <f>'Monthly Collection-2027'!Q81</f>
        <v>0</v>
      </c>
      <c r="G53" s="15"/>
      <c r="H53" s="15">
        <f>'Month Wise Expenses'!P6</f>
        <v>0</v>
      </c>
      <c r="I53" s="17">
        <f t="shared" si="8"/>
        <v>0</v>
      </c>
    </row>
    <row r="54" spans="2:9" ht="14.25" customHeight="1" outlineLevel="1" x14ac:dyDescent="0.3">
      <c r="B54" s="25">
        <v>46478</v>
      </c>
      <c r="C54" s="11">
        <f>'Monthly Collection-2027'!R81</f>
        <v>0</v>
      </c>
      <c r="D54" s="11">
        <f>'Monthly Collection-2027'!S81</f>
        <v>0</v>
      </c>
      <c r="E54" s="11">
        <f>'Monthly Collection-2027'!T81</f>
        <v>0</v>
      </c>
      <c r="F54" s="11">
        <f>'Monthly Collection-2027'!U81</f>
        <v>0</v>
      </c>
      <c r="G54" s="11"/>
      <c r="H54" s="11">
        <f>'Month Wise Expenses'!P7</f>
        <v>0</v>
      </c>
      <c r="I54" s="13">
        <f t="shared" si="8"/>
        <v>0</v>
      </c>
    </row>
    <row r="55" spans="2:9" ht="14.25" customHeight="1" outlineLevel="1" x14ac:dyDescent="0.3">
      <c r="B55" s="26">
        <v>46508</v>
      </c>
      <c r="C55" s="15">
        <f>'Monthly Collection-2027'!V81</f>
        <v>0</v>
      </c>
      <c r="D55" s="15">
        <f>'Monthly Collection-2027'!W81</f>
        <v>0</v>
      </c>
      <c r="E55" s="15">
        <f>'Monthly Collection-2027'!X81</f>
        <v>0</v>
      </c>
      <c r="F55" s="15">
        <f>'Monthly Collection-2027'!Y81</f>
        <v>0</v>
      </c>
      <c r="G55" s="15"/>
      <c r="H55" s="15">
        <f>'Month Wise Expenses'!P8</f>
        <v>0</v>
      </c>
      <c r="I55" s="17">
        <f t="shared" si="8"/>
        <v>0</v>
      </c>
    </row>
    <row r="56" spans="2:9" ht="14.25" customHeight="1" outlineLevel="1" x14ac:dyDescent="0.3">
      <c r="B56" s="25">
        <v>46539</v>
      </c>
      <c r="C56" s="11">
        <f>'Monthly Collection-2027'!Z81</f>
        <v>0</v>
      </c>
      <c r="D56" s="11">
        <f>'Monthly Collection-2027'!AA81</f>
        <v>0</v>
      </c>
      <c r="E56" s="11">
        <f>'Monthly Collection-2027'!AB81</f>
        <v>0</v>
      </c>
      <c r="F56" s="11">
        <f>'Monthly Collection-2027'!AC81</f>
        <v>0</v>
      </c>
      <c r="G56" s="11"/>
      <c r="H56" s="11">
        <f>'Month Wise Expenses'!P9</f>
        <v>0</v>
      </c>
      <c r="I56" s="13">
        <f t="shared" si="8"/>
        <v>0</v>
      </c>
    </row>
    <row r="57" spans="2:9" ht="14.25" customHeight="1" outlineLevel="1" x14ac:dyDescent="0.3">
      <c r="B57" s="26">
        <v>46569</v>
      </c>
      <c r="C57" s="15">
        <f>'Monthly Collection-2027'!AD81</f>
        <v>0</v>
      </c>
      <c r="D57" s="15">
        <f>'Monthly Collection-2027'!AE81</f>
        <v>0</v>
      </c>
      <c r="E57" s="15">
        <f>'Monthly Collection-2027'!AF81</f>
        <v>0</v>
      </c>
      <c r="F57" s="15">
        <f>'Monthly Collection-2027'!AG81</f>
        <v>0</v>
      </c>
      <c r="G57" s="15"/>
      <c r="H57" s="15">
        <f>'Month Wise Expenses'!P10</f>
        <v>0</v>
      </c>
      <c r="I57" s="17">
        <f t="shared" si="8"/>
        <v>0</v>
      </c>
    </row>
    <row r="58" spans="2:9" ht="14.25" customHeight="1" outlineLevel="1" x14ac:dyDescent="0.3">
      <c r="B58" s="25">
        <v>46600</v>
      </c>
      <c r="C58" s="11">
        <f>'Monthly Collection-2027'!AH81</f>
        <v>0</v>
      </c>
      <c r="D58" s="11">
        <f>'Monthly Collection-2027'!AI81</f>
        <v>0</v>
      </c>
      <c r="E58" s="11">
        <f>'Monthly Collection-2027'!AJ81</f>
        <v>0</v>
      </c>
      <c r="F58" s="11">
        <f>'Monthly Collection-2027'!AK81</f>
        <v>0</v>
      </c>
      <c r="G58" s="11"/>
      <c r="H58" s="11">
        <f>'Month Wise Expenses'!P11</f>
        <v>0</v>
      </c>
      <c r="I58" s="13">
        <f t="shared" si="8"/>
        <v>0</v>
      </c>
    </row>
    <row r="59" spans="2:9" ht="14.25" customHeight="1" outlineLevel="1" x14ac:dyDescent="0.3">
      <c r="B59" s="26">
        <v>46631</v>
      </c>
      <c r="C59" s="15">
        <f>'Monthly Collection-2027'!AL81</f>
        <v>0</v>
      </c>
      <c r="D59" s="15">
        <f>'Monthly Collection-2027'!AM81</f>
        <v>0</v>
      </c>
      <c r="E59" s="15">
        <f>'Monthly Collection-2027'!AN81</f>
        <v>0</v>
      </c>
      <c r="F59" s="15">
        <f>'Monthly Collection-2027'!AO81</f>
        <v>0</v>
      </c>
      <c r="G59" s="15"/>
      <c r="H59" s="15">
        <f>'Month Wise Expenses'!P12</f>
        <v>0</v>
      </c>
      <c r="I59" s="17">
        <f t="shared" si="8"/>
        <v>0</v>
      </c>
    </row>
    <row r="60" spans="2:9" ht="14.25" customHeight="1" outlineLevel="1" x14ac:dyDescent="0.3">
      <c r="B60" s="25">
        <v>46661</v>
      </c>
      <c r="C60" s="11">
        <f>'Monthly Collection-2027'!AP81</f>
        <v>0</v>
      </c>
      <c r="D60" s="11">
        <f>'Monthly Collection-2027'!AQ81</f>
        <v>0</v>
      </c>
      <c r="E60" s="11">
        <f>'Monthly Collection-2027'!AR81</f>
        <v>0</v>
      </c>
      <c r="F60" s="11">
        <f>'Monthly Collection-2027'!AS81</f>
        <v>0</v>
      </c>
      <c r="G60" s="11"/>
      <c r="H60" s="11">
        <f>'Month Wise Expenses'!P13</f>
        <v>0</v>
      </c>
      <c r="I60" s="13">
        <f t="shared" si="8"/>
        <v>0</v>
      </c>
    </row>
    <row r="61" spans="2:9" ht="14.25" customHeight="1" outlineLevel="1" x14ac:dyDescent="0.3">
      <c r="B61" s="26">
        <v>46692</v>
      </c>
      <c r="C61" s="15">
        <f>'Monthly Collection-2027'!AT81</f>
        <v>0</v>
      </c>
      <c r="D61" s="15">
        <f>'Monthly Collection-2027'!AU81</f>
        <v>0</v>
      </c>
      <c r="E61" s="15">
        <f>'Monthly Collection-2027'!AV81</f>
        <v>0</v>
      </c>
      <c r="F61" s="15">
        <f>'Monthly Collection-2027'!AW81</f>
        <v>0</v>
      </c>
      <c r="G61" s="15"/>
      <c r="H61" s="15">
        <f>'Month Wise Expenses'!P14</f>
        <v>0</v>
      </c>
      <c r="I61" s="17">
        <f t="shared" si="8"/>
        <v>0</v>
      </c>
    </row>
    <row r="62" spans="2:9" ht="15" customHeight="1" outlineLevel="1" x14ac:dyDescent="0.3">
      <c r="B62" s="25">
        <v>46722</v>
      </c>
      <c r="C62" s="11">
        <f>'Monthly Collection-2027'!AX81</f>
        <v>0</v>
      </c>
      <c r="D62" s="11">
        <f>'Monthly Collection-2027'!AY81</f>
        <v>0</v>
      </c>
      <c r="E62" s="11">
        <f>'Monthly Collection-2027'!AZ81</f>
        <v>0</v>
      </c>
      <c r="F62" s="11">
        <f>'Monthly Collection-2027'!BA81</f>
        <v>0</v>
      </c>
      <c r="G62" s="11"/>
      <c r="H62" s="11">
        <f>'Month Wise Expenses'!P15</f>
        <v>0</v>
      </c>
      <c r="I62" s="13">
        <f t="shared" si="8"/>
        <v>0</v>
      </c>
    </row>
    <row r="63" spans="2:9" ht="15" customHeight="1" x14ac:dyDescent="0.3">
      <c r="B63" s="27" t="s">
        <v>52</v>
      </c>
      <c r="C63" s="28">
        <f t="shared" ref="C63:I63" si="9">SUM(C51:C62)</f>
        <v>0</v>
      </c>
      <c r="D63" s="28">
        <f t="shared" si="9"/>
        <v>0</v>
      </c>
      <c r="E63" s="28">
        <f t="shared" si="9"/>
        <v>0</v>
      </c>
      <c r="F63" s="28">
        <f t="shared" si="9"/>
        <v>0</v>
      </c>
      <c r="G63" s="28">
        <f t="shared" si="9"/>
        <v>0</v>
      </c>
      <c r="H63" s="28">
        <f t="shared" si="9"/>
        <v>0</v>
      </c>
      <c r="I63" s="29">
        <f t="shared" si="9"/>
        <v>0</v>
      </c>
    </row>
    <row r="64" spans="2:9" ht="14.25" customHeight="1" outlineLevel="1" x14ac:dyDescent="0.3">
      <c r="B64" s="26">
        <v>46753</v>
      </c>
      <c r="C64" s="15">
        <f>'Monthly Collection-2028'!F81</f>
        <v>0</v>
      </c>
      <c r="D64" s="15">
        <f>'Monthly Collection-2028'!G81</f>
        <v>0</v>
      </c>
      <c r="E64" s="15">
        <f>'Monthly Collection-2028'!H81</f>
        <v>0</v>
      </c>
      <c r="F64" s="15">
        <f>'Monthly Collection-2028'!I81</f>
        <v>0</v>
      </c>
      <c r="G64" s="15"/>
      <c r="H64" s="15">
        <f>'Month Wise Expenses'!S4</f>
        <v>0</v>
      </c>
      <c r="I64" s="32">
        <f t="shared" ref="I64:I75" si="10">SUM(C64:G64)-H64</f>
        <v>0</v>
      </c>
    </row>
    <row r="65" spans="2:9" ht="14.25" customHeight="1" outlineLevel="1" x14ac:dyDescent="0.3">
      <c r="B65" s="25">
        <v>46784</v>
      </c>
      <c r="C65" s="11">
        <f>'Monthly Collection-2028'!J81</f>
        <v>0</v>
      </c>
      <c r="D65" s="11">
        <f>'Monthly Collection-2028'!K81</f>
        <v>0</v>
      </c>
      <c r="E65" s="11">
        <f>'Monthly Collection-2028'!L81</f>
        <v>0</v>
      </c>
      <c r="F65" s="11">
        <f>'Monthly Collection-2028'!M81</f>
        <v>0</v>
      </c>
      <c r="G65" s="11"/>
      <c r="H65" s="11">
        <f>'Month Wise Expenses'!S5</f>
        <v>0</v>
      </c>
      <c r="I65" s="13">
        <f t="shared" si="10"/>
        <v>0</v>
      </c>
    </row>
    <row r="66" spans="2:9" ht="14.25" customHeight="1" outlineLevel="1" x14ac:dyDescent="0.3">
      <c r="B66" s="26">
        <v>46813</v>
      </c>
      <c r="C66" s="15">
        <f>'Monthly Collection-2028'!N81</f>
        <v>0</v>
      </c>
      <c r="D66" s="15">
        <f>'Monthly Collection-2028'!O81</f>
        <v>0</v>
      </c>
      <c r="E66" s="15">
        <f>'Monthly Collection-2028'!P81</f>
        <v>0</v>
      </c>
      <c r="F66" s="15">
        <f>'Monthly Collection-2028'!Q81</f>
        <v>0</v>
      </c>
      <c r="G66" s="15"/>
      <c r="H66" s="15">
        <f>'Month Wise Expenses'!S6</f>
        <v>0</v>
      </c>
      <c r="I66" s="17">
        <f t="shared" si="10"/>
        <v>0</v>
      </c>
    </row>
    <row r="67" spans="2:9" ht="14.25" customHeight="1" outlineLevel="1" x14ac:dyDescent="0.3">
      <c r="B67" s="25">
        <v>46844</v>
      </c>
      <c r="C67" s="11">
        <f>'Monthly Collection-2028'!R81</f>
        <v>0</v>
      </c>
      <c r="D67" s="11">
        <f>'Monthly Collection-2028'!S81</f>
        <v>0</v>
      </c>
      <c r="E67" s="11">
        <f>'Monthly Collection-2028'!T81</f>
        <v>0</v>
      </c>
      <c r="F67" s="11">
        <f>'Monthly Collection-2028'!U81</f>
        <v>0</v>
      </c>
      <c r="G67" s="11"/>
      <c r="H67" s="11">
        <f>'Month Wise Expenses'!S7</f>
        <v>0</v>
      </c>
      <c r="I67" s="13">
        <f t="shared" si="10"/>
        <v>0</v>
      </c>
    </row>
    <row r="68" spans="2:9" ht="14.25" customHeight="1" outlineLevel="1" x14ac:dyDescent="0.3">
      <c r="B68" s="26">
        <v>46874</v>
      </c>
      <c r="C68" s="15">
        <f>'Monthly Collection-2028'!V81</f>
        <v>0</v>
      </c>
      <c r="D68" s="15">
        <f>'Monthly Collection-2028'!W81</f>
        <v>0</v>
      </c>
      <c r="E68" s="15">
        <f>'Monthly Collection-2028'!X81</f>
        <v>0</v>
      </c>
      <c r="F68" s="15">
        <f>'Monthly Collection-2028'!Y81</f>
        <v>0</v>
      </c>
      <c r="G68" s="15"/>
      <c r="H68" s="15">
        <f>'Month Wise Expenses'!S8</f>
        <v>0</v>
      </c>
      <c r="I68" s="17">
        <f t="shared" si="10"/>
        <v>0</v>
      </c>
    </row>
    <row r="69" spans="2:9" ht="14.25" customHeight="1" outlineLevel="1" x14ac:dyDescent="0.3">
      <c r="B69" s="25">
        <v>46905</v>
      </c>
      <c r="C69" s="11">
        <f>'Monthly Collection-2028'!Z81</f>
        <v>0</v>
      </c>
      <c r="D69" s="11">
        <f>'Monthly Collection-2028'!AA81</f>
        <v>0</v>
      </c>
      <c r="E69" s="11">
        <f>'Monthly Collection-2028'!AB81</f>
        <v>0</v>
      </c>
      <c r="F69" s="11">
        <f>'Monthly Collection-2028'!AC81</f>
        <v>0</v>
      </c>
      <c r="G69" s="11"/>
      <c r="H69" s="11">
        <f>'Month Wise Expenses'!S9</f>
        <v>0</v>
      </c>
      <c r="I69" s="13">
        <f t="shared" si="10"/>
        <v>0</v>
      </c>
    </row>
    <row r="70" spans="2:9" ht="14.25" customHeight="1" outlineLevel="1" x14ac:dyDescent="0.3">
      <c r="B70" s="26">
        <v>46935</v>
      </c>
      <c r="C70" s="15">
        <f>'Monthly Collection-2028'!AD81</f>
        <v>0</v>
      </c>
      <c r="D70" s="15">
        <f>'Monthly Collection-2028'!AE81</f>
        <v>0</v>
      </c>
      <c r="E70" s="15">
        <f>'Monthly Collection-2028'!AF81</f>
        <v>0</v>
      </c>
      <c r="F70" s="15">
        <f>'Monthly Collection-2028'!AG81</f>
        <v>0</v>
      </c>
      <c r="G70" s="15"/>
      <c r="H70" s="15">
        <f>'Month Wise Expenses'!S10</f>
        <v>0</v>
      </c>
      <c r="I70" s="17">
        <f t="shared" si="10"/>
        <v>0</v>
      </c>
    </row>
    <row r="71" spans="2:9" ht="14.25" customHeight="1" outlineLevel="1" x14ac:dyDescent="0.3">
      <c r="B71" s="25">
        <v>46966</v>
      </c>
      <c r="C71" s="11">
        <f>'Monthly Collection-2028'!AH81</f>
        <v>0</v>
      </c>
      <c r="D71" s="11">
        <f>'Monthly Collection-2028'!AI81</f>
        <v>0</v>
      </c>
      <c r="E71" s="11">
        <f>'Monthly Collection-2028'!AJ81</f>
        <v>0</v>
      </c>
      <c r="F71" s="11">
        <f>'Monthly Collection-2028'!AK81</f>
        <v>0</v>
      </c>
      <c r="G71" s="11"/>
      <c r="H71" s="11">
        <f>'Month Wise Expenses'!S11</f>
        <v>0</v>
      </c>
      <c r="I71" s="13">
        <f t="shared" si="10"/>
        <v>0</v>
      </c>
    </row>
    <row r="72" spans="2:9" ht="14.25" customHeight="1" outlineLevel="1" x14ac:dyDescent="0.3">
      <c r="B72" s="26">
        <v>46997</v>
      </c>
      <c r="C72" s="15">
        <f>'Monthly Collection-2028'!AL81</f>
        <v>0</v>
      </c>
      <c r="D72" s="15">
        <f>'Monthly Collection-2028'!AM81</f>
        <v>0</v>
      </c>
      <c r="E72" s="15">
        <f>'Monthly Collection-2028'!AN81</f>
        <v>0</v>
      </c>
      <c r="F72" s="15">
        <f>'Monthly Collection-2028'!AO81</f>
        <v>0</v>
      </c>
      <c r="G72" s="15"/>
      <c r="H72" s="15">
        <f>'Month Wise Expenses'!S12</f>
        <v>0</v>
      </c>
      <c r="I72" s="17">
        <f t="shared" si="10"/>
        <v>0</v>
      </c>
    </row>
    <row r="73" spans="2:9" ht="14.25" customHeight="1" outlineLevel="1" x14ac:dyDescent="0.3">
      <c r="B73" s="25">
        <v>47027</v>
      </c>
      <c r="C73" s="11">
        <f>'Monthly Collection-2028'!AP81</f>
        <v>0</v>
      </c>
      <c r="D73" s="11">
        <f>'Monthly Collection-2028'!AQ81</f>
        <v>0</v>
      </c>
      <c r="E73" s="11">
        <f>'Monthly Collection-2028'!AR81</f>
        <v>0</v>
      </c>
      <c r="F73" s="11">
        <f>'Monthly Collection-2028'!AS81</f>
        <v>0</v>
      </c>
      <c r="G73" s="11"/>
      <c r="H73" s="11">
        <f>'Month Wise Expenses'!S13</f>
        <v>0</v>
      </c>
      <c r="I73" s="13">
        <f t="shared" si="10"/>
        <v>0</v>
      </c>
    </row>
    <row r="74" spans="2:9" ht="14.25" customHeight="1" outlineLevel="1" x14ac:dyDescent="0.3">
      <c r="B74" s="26">
        <v>47058</v>
      </c>
      <c r="C74" s="15">
        <f>'Monthly Collection-2028'!AT81</f>
        <v>0</v>
      </c>
      <c r="D74" s="15">
        <f>'Monthly Collection-2028'!AU81</f>
        <v>0</v>
      </c>
      <c r="E74" s="15">
        <f>'Monthly Collection-2028'!AV81</f>
        <v>0</v>
      </c>
      <c r="F74" s="15">
        <f>'Monthly Collection-2028'!AW81</f>
        <v>0</v>
      </c>
      <c r="G74" s="15"/>
      <c r="H74" s="15">
        <f>'Month Wise Expenses'!S14</f>
        <v>0</v>
      </c>
      <c r="I74" s="17">
        <f t="shared" si="10"/>
        <v>0</v>
      </c>
    </row>
    <row r="75" spans="2:9" ht="15" customHeight="1" outlineLevel="1" x14ac:dyDescent="0.3">
      <c r="B75" s="25">
        <v>47088</v>
      </c>
      <c r="C75" s="11">
        <f>'Monthly Collection-2028'!AX81</f>
        <v>0</v>
      </c>
      <c r="D75" s="11">
        <f>'Monthly Collection-2028'!AY81</f>
        <v>0</v>
      </c>
      <c r="E75" s="11">
        <f>'Monthly Collection-2028'!AZ81</f>
        <v>0</v>
      </c>
      <c r="F75" s="11">
        <f>'Monthly Collection-2028'!BA81</f>
        <v>0</v>
      </c>
      <c r="G75" s="11"/>
      <c r="H75" s="11">
        <f>'Month Wise Expenses'!S15</f>
        <v>0</v>
      </c>
      <c r="I75" s="13">
        <f t="shared" si="10"/>
        <v>0</v>
      </c>
    </row>
    <row r="76" spans="2:9" ht="15" customHeight="1" x14ac:dyDescent="0.3">
      <c r="B76" s="27" t="s">
        <v>53</v>
      </c>
      <c r="C76" s="28">
        <f t="shared" ref="C76:I76" si="11">SUM(C64:C75)</f>
        <v>0</v>
      </c>
      <c r="D76" s="28">
        <f t="shared" si="11"/>
        <v>0</v>
      </c>
      <c r="E76" s="28">
        <f t="shared" si="11"/>
        <v>0</v>
      </c>
      <c r="F76" s="28">
        <f t="shared" si="11"/>
        <v>0</v>
      </c>
      <c r="G76" s="28">
        <f t="shared" si="11"/>
        <v>0</v>
      </c>
      <c r="H76" s="28">
        <f t="shared" si="11"/>
        <v>0</v>
      </c>
      <c r="I76" s="29">
        <f t="shared" si="11"/>
        <v>0</v>
      </c>
    </row>
    <row r="77" spans="2:9" ht="15" customHeight="1" x14ac:dyDescent="0.3">
      <c r="B77" s="33" t="s">
        <v>42</v>
      </c>
      <c r="C77" s="20">
        <f>C11+C24+C37+C50+C63+C76</f>
        <v>4493000</v>
      </c>
      <c r="D77" s="20">
        <f t="shared" ref="D77:I77" si="12">D11+D24+D37+D50+D63+D76</f>
        <v>216000</v>
      </c>
      <c r="E77" s="20">
        <f t="shared" si="12"/>
        <v>375000</v>
      </c>
      <c r="F77" s="20">
        <f t="shared" si="12"/>
        <v>23150</v>
      </c>
      <c r="G77" s="20">
        <f t="shared" si="12"/>
        <v>1499200</v>
      </c>
      <c r="H77" s="20">
        <f t="shared" si="12"/>
        <v>83069.83</v>
      </c>
      <c r="I77" s="21">
        <f t="shared" si="12"/>
        <v>6523280.1699999999</v>
      </c>
    </row>
  </sheetData>
  <mergeCells count="1">
    <mergeCell ref="B2:I2"/>
  </mergeCells>
  <pageMargins left="0.75" right="0.75" top="1" bottom="1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T16"/>
  <sheetViews>
    <sheetView showGridLines="0" topLeftCell="E1" zoomScaleNormal="100" workbookViewId="0">
      <selection activeCell="M14" sqref="M14"/>
    </sheetView>
  </sheetViews>
  <sheetFormatPr defaultColWidth="8.6640625" defaultRowHeight="14.4" x14ac:dyDescent="0.3"/>
  <cols>
    <col min="1" max="1" width="15" style="1" customWidth="1"/>
    <col min="2" max="2" width="11" style="1" customWidth="1"/>
    <col min="3" max="3" width="41" style="1" bestFit="1" customWidth="1"/>
    <col min="5" max="5" width="12.77734375" style="1" customWidth="1"/>
    <col min="6" max="6" width="19.44140625" style="1" bestFit="1" customWidth="1"/>
    <col min="8" max="8" width="9.77734375" style="1" customWidth="1"/>
    <col min="9" max="9" width="29" style="1" bestFit="1" customWidth="1"/>
    <col min="10" max="10" width="8.88671875" style="1" customWidth="1"/>
    <col min="11" max="11" width="9.77734375" style="1" customWidth="1"/>
    <col min="12" max="12" width="26.77734375" style="1" bestFit="1" customWidth="1"/>
    <col min="14" max="14" width="9.77734375" style="1" customWidth="1"/>
    <col min="15" max="15" width="11" style="1" customWidth="1"/>
    <col min="17" max="17" width="8.109375" style="1" customWidth="1"/>
    <col min="18" max="18" width="11" style="1" customWidth="1"/>
    <col min="20" max="20" width="1.88671875" style="1" customWidth="1"/>
  </cols>
  <sheetData>
    <row r="1" spans="1:19" ht="19.5" customHeight="1" x14ac:dyDescent="0.3">
      <c r="A1" s="4" t="str">
        <f>HYPERLINK("#DASHBOARD!A1","⬅ Dashboard")</f>
        <v>⬅ Dashboard</v>
      </c>
    </row>
    <row r="2" spans="1:19" ht="14.25" customHeight="1" x14ac:dyDescent="0.3">
      <c r="B2" s="294" t="s">
        <v>22</v>
      </c>
      <c r="C2" s="294"/>
      <c r="D2" s="294"/>
      <c r="E2" s="295" t="s">
        <v>23</v>
      </c>
      <c r="F2" s="295"/>
      <c r="G2" s="295"/>
      <c r="H2" s="294" t="s">
        <v>24</v>
      </c>
      <c r="I2" s="294"/>
      <c r="J2" s="294"/>
      <c r="K2" s="294">
        <v>2026</v>
      </c>
      <c r="L2" s="294"/>
      <c r="M2" s="294"/>
      <c r="N2" s="294">
        <v>2027</v>
      </c>
      <c r="O2" s="294"/>
      <c r="P2" s="294"/>
      <c r="Q2" s="294">
        <v>2028</v>
      </c>
      <c r="R2" s="294"/>
      <c r="S2" s="294"/>
    </row>
    <row r="3" spans="1:19" ht="14.25" customHeight="1" x14ac:dyDescent="0.3">
      <c r="B3" s="35" t="s">
        <v>43</v>
      </c>
      <c r="C3" s="36" t="s">
        <v>54</v>
      </c>
      <c r="D3" s="37" t="s">
        <v>55</v>
      </c>
      <c r="E3" s="38" t="s">
        <v>43</v>
      </c>
      <c r="F3" s="36" t="s">
        <v>54</v>
      </c>
      <c r="G3" s="36" t="s">
        <v>55</v>
      </c>
      <c r="H3" s="35" t="s">
        <v>43</v>
      </c>
      <c r="I3" s="36" t="s">
        <v>54</v>
      </c>
      <c r="J3" s="37" t="s">
        <v>55</v>
      </c>
      <c r="K3" s="35" t="s">
        <v>43</v>
      </c>
      <c r="L3" s="36" t="s">
        <v>54</v>
      </c>
      <c r="M3" s="37" t="s">
        <v>55</v>
      </c>
      <c r="N3" s="35" t="s">
        <v>43</v>
      </c>
      <c r="O3" s="36" t="s">
        <v>54</v>
      </c>
      <c r="P3" s="37" t="s">
        <v>55</v>
      </c>
      <c r="Q3" s="35" t="s">
        <v>43</v>
      </c>
      <c r="R3" s="36" t="s">
        <v>54</v>
      </c>
      <c r="S3" s="37" t="s">
        <v>55</v>
      </c>
    </row>
    <row r="4" spans="1:19" ht="14.25" customHeight="1" x14ac:dyDescent="0.3">
      <c r="B4" s="14"/>
      <c r="C4" s="15"/>
      <c r="D4" s="17"/>
      <c r="E4" s="39" t="s">
        <v>56</v>
      </c>
      <c r="F4" s="15" t="s">
        <v>21</v>
      </c>
      <c r="G4" s="15">
        <v>0</v>
      </c>
      <c r="H4" s="14" t="s">
        <v>56</v>
      </c>
      <c r="I4" s="15" t="s">
        <v>344</v>
      </c>
      <c r="J4" s="17">
        <v>1000</v>
      </c>
      <c r="K4" s="14" t="s">
        <v>56</v>
      </c>
      <c r="L4" s="15" t="s">
        <v>348</v>
      </c>
      <c r="M4" s="17">
        <f>1200+48570+927</f>
        <v>50697</v>
      </c>
      <c r="N4" s="14" t="s">
        <v>56</v>
      </c>
      <c r="O4" s="15"/>
      <c r="P4" s="17"/>
      <c r="Q4" s="14" t="s">
        <v>56</v>
      </c>
      <c r="R4" s="15"/>
      <c r="S4" s="17"/>
    </row>
    <row r="5" spans="1:19" ht="14.25" customHeight="1" x14ac:dyDescent="0.3">
      <c r="B5" s="10"/>
      <c r="C5" s="11"/>
      <c r="D5" s="13"/>
      <c r="E5" s="40" t="s">
        <v>57</v>
      </c>
      <c r="F5" s="11" t="s">
        <v>21</v>
      </c>
      <c r="G5" s="11">
        <v>0</v>
      </c>
      <c r="H5" s="10" t="s">
        <v>57</v>
      </c>
      <c r="I5" s="11" t="s">
        <v>345</v>
      </c>
      <c r="J5" s="13">
        <v>1250</v>
      </c>
      <c r="K5" s="10" t="s">
        <v>57</v>
      </c>
      <c r="L5" s="11" t="s">
        <v>344</v>
      </c>
      <c r="M5" s="13">
        <v>1000</v>
      </c>
      <c r="N5" s="10" t="s">
        <v>57</v>
      </c>
      <c r="O5" s="11"/>
      <c r="P5" s="13"/>
      <c r="Q5" s="10" t="s">
        <v>57</v>
      </c>
      <c r="R5" s="11"/>
      <c r="S5" s="13"/>
    </row>
    <row r="6" spans="1:19" ht="14.25" customHeight="1" x14ac:dyDescent="0.3">
      <c r="B6" s="14"/>
      <c r="C6" s="15"/>
      <c r="D6" s="17"/>
      <c r="E6" s="39" t="s">
        <v>58</v>
      </c>
      <c r="F6" s="15" t="s">
        <v>21</v>
      </c>
      <c r="G6" s="15">
        <v>0</v>
      </c>
      <c r="H6" s="14" t="s">
        <v>58</v>
      </c>
      <c r="I6" s="15" t="s">
        <v>345</v>
      </c>
      <c r="J6" s="17">
        <v>1400</v>
      </c>
      <c r="K6" s="14" t="s">
        <v>58</v>
      </c>
      <c r="L6" s="15" t="s">
        <v>344</v>
      </c>
      <c r="M6" s="17">
        <v>1000</v>
      </c>
      <c r="N6" s="14" t="s">
        <v>58</v>
      </c>
      <c r="O6" s="15"/>
      <c r="P6" s="17"/>
      <c r="Q6" s="14" t="s">
        <v>58</v>
      </c>
      <c r="R6" s="15"/>
      <c r="S6" s="17"/>
    </row>
    <row r="7" spans="1:19" ht="14.25" customHeight="1" x14ac:dyDescent="0.3">
      <c r="B7" s="10"/>
      <c r="C7" s="11"/>
      <c r="D7" s="13"/>
      <c r="E7" s="40" t="s">
        <v>59</v>
      </c>
      <c r="F7" s="11" t="s">
        <v>21</v>
      </c>
      <c r="G7" s="11">
        <v>0</v>
      </c>
      <c r="H7" s="10" t="s">
        <v>59</v>
      </c>
      <c r="I7" s="11" t="s">
        <v>344</v>
      </c>
      <c r="J7" s="13">
        <v>1000</v>
      </c>
      <c r="K7" s="10" t="s">
        <v>59</v>
      </c>
      <c r="L7" s="11" t="s">
        <v>335</v>
      </c>
      <c r="M7" s="13">
        <v>100</v>
      </c>
      <c r="N7" s="10" t="s">
        <v>59</v>
      </c>
      <c r="O7" s="11"/>
      <c r="P7" s="13"/>
      <c r="Q7" s="10" t="s">
        <v>59</v>
      </c>
      <c r="R7" s="11"/>
      <c r="S7" s="13"/>
    </row>
    <row r="8" spans="1:19" ht="14.25" customHeight="1" x14ac:dyDescent="0.3">
      <c r="B8" s="14"/>
      <c r="C8" s="15"/>
      <c r="D8" s="17"/>
      <c r="E8" s="39" t="s">
        <v>60</v>
      </c>
      <c r="F8" s="15" t="s">
        <v>21</v>
      </c>
      <c r="G8" s="15">
        <v>0</v>
      </c>
      <c r="H8" s="14" t="s">
        <v>60</v>
      </c>
      <c r="I8" s="15" t="s">
        <v>344</v>
      </c>
      <c r="J8" s="17">
        <v>1000</v>
      </c>
      <c r="K8" s="14" t="s">
        <v>60</v>
      </c>
      <c r="L8" s="15" t="s">
        <v>334</v>
      </c>
      <c r="M8" s="17">
        <v>200</v>
      </c>
      <c r="N8" s="14" t="s">
        <v>60</v>
      </c>
      <c r="O8" s="15"/>
      <c r="P8" s="17"/>
      <c r="Q8" s="14" t="s">
        <v>60</v>
      </c>
      <c r="R8" s="15"/>
      <c r="S8" s="17"/>
    </row>
    <row r="9" spans="1:19" ht="14.25" customHeight="1" x14ac:dyDescent="0.3">
      <c r="B9" s="10" t="s">
        <v>61</v>
      </c>
      <c r="C9" s="15" t="s">
        <v>342</v>
      </c>
      <c r="D9" s="13">
        <v>6400</v>
      </c>
      <c r="E9" s="40" t="s">
        <v>61</v>
      </c>
      <c r="F9" s="11" t="s">
        <v>21</v>
      </c>
      <c r="G9" s="11">
        <v>0</v>
      </c>
      <c r="H9" s="10" t="s">
        <v>61</v>
      </c>
      <c r="I9" s="11" t="s">
        <v>344</v>
      </c>
      <c r="J9" s="13">
        <v>1000</v>
      </c>
      <c r="K9" s="10" t="s">
        <v>61</v>
      </c>
      <c r="L9" s="11" t="s">
        <v>338</v>
      </c>
      <c r="M9" s="13">
        <v>100</v>
      </c>
      <c r="N9" s="10" t="s">
        <v>61</v>
      </c>
      <c r="O9" s="11"/>
      <c r="P9" s="13"/>
      <c r="Q9" s="10"/>
      <c r="R9" s="11"/>
      <c r="S9" s="13"/>
    </row>
    <row r="10" spans="1:19" ht="14.25" customHeight="1" x14ac:dyDescent="0.3">
      <c r="B10" s="14" t="s">
        <v>62</v>
      </c>
      <c r="C10" s="15" t="s">
        <v>343</v>
      </c>
      <c r="D10" s="17">
        <v>300</v>
      </c>
      <c r="E10" s="39" t="s">
        <v>62</v>
      </c>
      <c r="F10" s="15" t="s">
        <v>21</v>
      </c>
      <c r="G10" s="15">
        <v>0</v>
      </c>
      <c r="H10" s="14" t="s">
        <v>62</v>
      </c>
      <c r="I10" s="15" t="s">
        <v>345</v>
      </c>
      <c r="J10" s="17">
        <v>1250</v>
      </c>
      <c r="K10" s="14" t="s">
        <v>62</v>
      </c>
      <c r="L10" s="15" t="s">
        <v>21</v>
      </c>
      <c r="M10" s="17">
        <v>0</v>
      </c>
      <c r="N10" s="14" t="s">
        <v>62</v>
      </c>
      <c r="O10" s="15"/>
      <c r="P10" s="17"/>
      <c r="Q10" s="14"/>
      <c r="R10" s="15"/>
      <c r="S10" s="17"/>
    </row>
    <row r="11" spans="1:19" ht="14.25" customHeight="1" x14ac:dyDescent="0.3">
      <c r="B11" s="10" t="s">
        <v>63</v>
      </c>
      <c r="C11" s="11" t="s">
        <v>21</v>
      </c>
      <c r="D11" s="13">
        <v>0</v>
      </c>
      <c r="E11" s="40" t="s">
        <v>63</v>
      </c>
      <c r="F11" s="11" t="s">
        <v>21</v>
      </c>
      <c r="G11" s="11">
        <v>0</v>
      </c>
      <c r="H11" s="10" t="s">
        <v>63</v>
      </c>
      <c r="I11" s="11" t="s">
        <v>347</v>
      </c>
      <c r="J11" s="13">
        <v>4000</v>
      </c>
      <c r="K11" s="10" t="s">
        <v>63</v>
      </c>
      <c r="L11" s="11" t="s">
        <v>338</v>
      </c>
      <c r="M11" s="13">
        <v>100</v>
      </c>
      <c r="N11" s="10" t="s">
        <v>63</v>
      </c>
      <c r="O11" s="11"/>
      <c r="P11" s="13"/>
      <c r="Q11" s="10"/>
      <c r="R11" s="11"/>
      <c r="S11" s="13"/>
    </row>
    <row r="12" spans="1:19" ht="14.25" customHeight="1" x14ac:dyDescent="0.3">
      <c r="B12" s="14" t="s">
        <v>64</v>
      </c>
      <c r="C12" s="15" t="s">
        <v>21</v>
      </c>
      <c r="D12" s="17">
        <v>0</v>
      </c>
      <c r="E12" s="39" t="s">
        <v>64</v>
      </c>
      <c r="F12" s="15" t="s">
        <v>344</v>
      </c>
      <c r="G12" s="15">
        <v>1000</v>
      </c>
      <c r="H12" s="14" t="s">
        <v>64</v>
      </c>
      <c r="I12" s="15" t="s">
        <v>346</v>
      </c>
      <c r="J12" s="17">
        <v>3250</v>
      </c>
      <c r="K12" s="14" t="s">
        <v>64</v>
      </c>
      <c r="L12" s="15" t="s">
        <v>334</v>
      </c>
      <c r="M12" s="17">
        <v>200</v>
      </c>
      <c r="N12" s="14" t="s">
        <v>64</v>
      </c>
      <c r="O12" s="15"/>
      <c r="P12" s="17"/>
      <c r="Q12" s="14"/>
      <c r="R12" s="15"/>
      <c r="S12" s="17"/>
    </row>
    <row r="13" spans="1:19" ht="14.25" customHeight="1" x14ac:dyDescent="0.3">
      <c r="B13" s="10" t="s">
        <v>65</v>
      </c>
      <c r="C13" s="11" t="s">
        <v>21</v>
      </c>
      <c r="D13" s="13">
        <v>0</v>
      </c>
      <c r="E13" s="40" t="s">
        <v>65</v>
      </c>
      <c r="F13" s="11" t="s">
        <v>344</v>
      </c>
      <c r="G13" s="11">
        <v>1000</v>
      </c>
      <c r="H13" s="10" t="s">
        <v>65</v>
      </c>
      <c r="I13" s="11" t="s">
        <v>345</v>
      </c>
      <c r="J13" s="13">
        <v>1250</v>
      </c>
      <c r="K13" s="10" t="s">
        <v>65</v>
      </c>
      <c r="L13" s="11" t="s">
        <v>353</v>
      </c>
      <c r="M13" s="13">
        <f>100+172.83</f>
        <v>272.83000000000004</v>
      </c>
      <c r="N13" s="10" t="s">
        <v>65</v>
      </c>
      <c r="O13" s="11"/>
      <c r="P13" s="13"/>
      <c r="Q13" s="10"/>
      <c r="R13" s="11"/>
      <c r="S13" s="13"/>
    </row>
    <row r="14" spans="1:19" ht="14.25" customHeight="1" x14ac:dyDescent="0.3">
      <c r="B14" s="14" t="s">
        <v>66</v>
      </c>
      <c r="C14" s="15" t="s">
        <v>21</v>
      </c>
      <c r="D14" s="17">
        <v>0</v>
      </c>
      <c r="E14" s="39" t="s">
        <v>66</v>
      </c>
      <c r="F14" s="15" t="s">
        <v>345</v>
      </c>
      <c r="G14" s="15">
        <v>1300</v>
      </c>
      <c r="H14" s="14" t="s">
        <v>66</v>
      </c>
      <c r="I14" s="15" t="s">
        <v>344</v>
      </c>
      <c r="J14" s="17">
        <v>1000</v>
      </c>
      <c r="K14" s="14" t="s">
        <v>66</v>
      </c>
      <c r="L14" s="15"/>
      <c r="M14" s="17"/>
      <c r="N14" s="14" t="s">
        <v>66</v>
      </c>
      <c r="O14" s="15"/>
      <c r="P14" s="17"/>
      <c r="Q14" s="14"/>
      <c r="R14" s="15"/>
      <c r="S14" s="17"/>
    </row>
    <row r="15" spans="1:19" ht="14.25" customHeight="1" x14ac:dyDescent="0.3">
      <c r="B15" s="10" t="s">
        <v>67</v>
      </c>
      <c r="C15" s="11" t="s">
        <v>21</v>
      </c>
      <c r="D15" s="13">
        <v>0</v>
      </c>
      <c r="E15" s="40" t="s">
        <v>67</v>
      </c>
      <c r="F15" s="11" t="s">
        <v>344</v>
      </c>
      <c r="G15" s="11">
        <v>1000</v>
      </c>
      <c r="H15" s="10" t="s">
        <v>67</v>
      </c>
      <c r="I15" s="11" t="s">
        <v>344</v>
      </c>
      <c r="J15" s="13">
        <v>1000</v>
      </c>
      <c r="K15" s="10" t="s">
        <v>67</v>
      </c>
      <c r="L15" s="11"/>
      <c r="M15" s="13"/>
      <c r="N15" s="10" t="s">
        <v>67</v>
      </c>
      <c r="O15" s="11"/>
      <c r="P15" s="13"/>
      <c r="Q15" s="10"/>
      <c r="R15" s="11"/>
      <c r="S15" s="13"/>
    </row>
    <row r="16" spans="1:19" ht="15" customHeight="1" x14ac:dyDescent="0.3">
      <c r="B16" s="41" t="s">
        <v>68</v>
      </c>
      <c r="C16" s="42"/>
      <c r="D16" s="43">
        <f>SUM(D4:D15)</f>
        <v>6700</v>
      </c>
      <c r="E16" s="34"/>
      <c r="F16" s="44"/>
      <c r="G16" s="44">
        <f>SUM(G4:G15)</f>
        <v>4300</v>
      </c>
      <c r="H16" s="41"/>
      <c r="I16" s="42"/>
      <c r="J16" s="43">
        <f>SUM(J4:J15)</f>
        <v>18400</v>
      </c>
      <c r="K16" s="41"/>
      <c r="L16" s="42"/>
      <c r="M16" s="43">
        <f>SUM(M4:M15)</f>
        <v>53669.83</v>
      </c>
      <c r="N16" s="41"/>
      <c r="O16" s="42"/>
      <c r="P16" s="43">
        <f>SUM(P4:P15)</f>
        <v>0</v>
      </c>
      <c r="Q16" s="41"/>
      <c r="R16" s="42"/>
      <c r="S16" s="43">
        <f>SUM(S4:S15)</f>
        <v>0</v>
      </c>
    </row>
  </sheetData>
  <mergeCells count="6">
    <mergeCell ref="Q2:S2"/>
    <mergeCell ref="B2:D2"/>
    <mergeCell ref="E2:G2"/>
    <mergeCell ref="H2:J2"/>
    <mergeCell ref="K2:M2"/>
    <mergeCell ref="N2:P2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8ED5"/>
  </sheetPr>
  <dimension ref="A1:AZ81"/>
  <sheetViews>
    <sheetView showGridLines="0" topLeftCell="A61" zoomScaleNormal="100" workbookViewId="0">
      <selection activeCell="D79" sqref="D79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21.886718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7.33203125" style="3" customWidth="1"/>
    <col min="35" max="35" width="8.44140625" style="3" customWidth="1"/>
    <col min="36" max="36" width="8.88671875" style="3"/>
    <col min="37" max="51" width="9.44140625" style="3" hidden="1" customWidth="1" outlineLevel="1"/>
    <col min="52" max="52" width="8.88671875" style="3" collapsed="1"/>
    <col min="53" max="16384" width="8.88671875" style="3"/>
  </cols>
  <sheetData>
    <row r="1" spans="1:51" ht="19.5" customHeight="1" x14ac:dyDescent="0.3">
      <c r="A1" s="4" t="str">
        <f>HYPERLINK("#DASHBOARD!A1","⬅ Dashboard")</f>
        <v>⬅ Dashboard</v>
      </c>
      <c r="AK1" t="s">
        <v>355</v>
      </c>
    </row>
    <row r="2" spans="1:5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45078</v>
      </c>
      <c r="G2" s="296"/>
      <c r="H2" s="296"/>
      <c r="I2" s="296"/>
      <c r="J2" s="300">
        <f>EDATE($F2,1)</f>
        <v>45108</v>
      </c>
      <c r="K2" s="300"/>
      <c r="L2" s="300"/>
      <c r="M2" s="300"/>
      <c r="N2" s="296">
        <f>EDATE($F2,2)</f>
        <v>45139</v>
      </c>
      <c r="O2" s="296"/>
      <c r="P2" s="296"/>
      <c r="Q2" s="296"/>
      <c r="R2" s="300">
        <f>EDATE($F2,3)</f>
        <v>45170</v>
      </c>
      <c r="S2" s="300"/>
      <c r="T2" s="300"/>
      <c r="U2" s="300"/>
      <c r="V2" s="296">
        <f>EDATE($F2,4)</f>
        <v>45200</v>
      </c>
      <c r="W2" s="296"/>
      <c r="X2" s="296"/>
      <c r="Y2" s="296"/>
      <c r="Z2" s="300">
        <f>EDATE($F2,5)</f>
        <v>45231</v>
      </c>
      <c r="AA2" s="300"/>
      <c r="AB2" s="300"/>
      <c r="AC2" s="300"/>
      <c r="AD2" s="296">
        <f>EDATE($F2,6)</f>
        <v>45261</v>
      </c>
      <c r="AE2" s="296"/>
      <c r="AF2" s="296"/>
      <c r="AG2" s="296"/>
      <c r="AH2" s="297" t="s">
        <v>70</v>
      </c>
      <c r="AI2" s="298" t="s">
        <v>41</v>
      </c>
      <c r="AL2" s="236">
        <f>F$2</f>
        <v>45078</v>
      </c>
      <c r="AN2" s="236">
        <f>J$2</f>
        <v>45108</v>
      </c>
      <c r="AP2" s="236">
        <f>N$2</f>
        <v>45139</v>
      </c>
      <c r="AR2" s="236">
        <f>R$2</f>
        <v>45170</v>
      </c>
      <c r="AT2" s="236">
        <f>V$2</f>
        <v>45200</v>
      </c>
      <c r="AV2" s="236">
        <f>Z$2</f>
        <v>45231</v>
      </c>
      <c r="AX2" s="236">
        <f>AD$2</f>
        <v>45261</v>
      </c>
    </row>
    <row r="3" spans="1:51" s="46" customFormat="1" ht="29.25" customHeight="1" thickBot="1" x14ac:dyDescent="0.35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97"/>
      <c r="AI3" s="298"/>
      <c r="AK3" s="22" t="s">
        <v>356</v>
      </c>
      <c r="AL3" s="22" t="s">
        <v>339</v>
      </c>
      <c r="AM3" s="22" t="s">
        <v>357</v>
      </c>
      <c r="AN3" s="22" t="s">
        <v>339</v>
      </c>
      <c r="AO3" s="22" t="s">
        <v>357</v>
      </c>
      <c r="AP3" s="22" t="s">
        <v>339</v>
      </c>
      <c r="AQ3" s="22" t="s">
        <v>357</v>
      </c>
      <c r="AR3" s="22" t="s">
        <v>339</v>
      </c>
      <c r="AS3" s="22" t="s">
        <v>357</v>
      </c>
      <c r="AT3" s="22" t="s">
        <v>339</v>
      </c>
      <c r="AU3" s="22" t="s">
        <v>357</v>
      </c>
      <c r="AV3" s="22" t="s">
        <v>339</v>
      </c>
      <c r="AW3" s="22" t="s">
        <v>357</v>
      </c>
      <c r="AX3" s="22" t="s">
        <v>339</v>
      </c>
      <c r="AY3" s="22" t="s">
        <v>357</v>
      </c>
    </row>
    <row r="4" spans="1:5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>
        <f t="shared" ref="F4:F35" si="1">$E4*1000</f>
        <v>3000</v>
      </c>
      <c r="G4" s="48"/>
      <c r="H4" s="48"/>
      <c r="I4" s="48"/>
      <c r="J4" s="48">
        <f t="shared" ref="J4:J35" si="2">$E4*1000</f>
        <v>3000</v>
      </c>
      <c r="K4" s="48"/>
      <c r="L4" s="48"/>
      <c r="M4" s="48"/>
      <c r="N4" s="48">
        <f t="shared" ref="N4:N35" si="3">$E4*1000</f>
        <v>3000</v>
      </c>
      <c r="O4" s="48"/>
      <c r="P4" s="48"/>
      <c r="Q4" s="48"/>
      <c r="R4" s="48">
        <f t="shared" ref="R4:R18" si="4">$E4*1000</f>
        <v>3000</v>
      </c>
      <c r="S4" s="48"/>
      <c r="T4" s="48"/>
      <c r="U4" s="48"/>
      <c r="V4" s="48">
        <f>$E4*1000</f>
        <v>3000</v>
      </c>
      <c r="W4" s="48"/>
      <c r="X4" s="48"/>
      <c r="Y4" s="48"/>
      <c r="Z4" s="240"/>
      <c r="AA4" s="48"/>
      <c r="AB4" s="48"/>
      <c r="AC4" s="48"/>
      <c r="AD4" s="48">
        <v>3000</v>
      </c>
      <c r="AE4" s="48"/>
      <c r="AF4" s="48">
        <v>3000</v>
      </c>
      <c r="AG4" s="48">
        <v>150</v>
      </c>
      <c r="AH4" s="49">
        <f t="shared" ref="AH4:AH35" si="5">F4+G4+H4+J4+K4+L4+N4+O4+P4+R4+S4+T4+V4+W4+X4+Z4+AA4+AB4+AD4+AE4+AF4</f>
        <v>21000</v>
      </c>
      <c r="AI4" s="50">
        <f t="shared" ref="AI4:AI35" si="6">I4+M4+Q4+U4+Y4+AC4+AG4</f>
        <v>150</v>
      </c>
      <c r="AK4">
        <v>0</v>
      </c>
      <c r="AL4" t="str">
        <f t="shared" ref="AL4:AL35" ca="1" si="7">IF(N(F4)&gt;=$E4*1000,"",IF(AND($E4&gt;0,AK4&gt;=$E4*1000),"G",IF(F$2&lt;=TODAY(),"R","")))</f>
        <v/>
      </c>
      <c r="AM4">
        <f t="shared" ref="AM4:AM35" ca="1" si="8">AK4-IF(AL4="G",$E4*1000,0)+N(G4)</f>
        <v>0</v>
      </c>
      <c r="AN4" t="str">
        <f t="shared" ref="AN4:AN35" ca="1" si="9">IF(N(J4)&gt;=$E4*1000,"",IF(AND($E4&gt;0,AM4&gt;=$E4*1000),"G",IF(J$2&lt;=TODAY(),"R","")))</f>
        <v/>
      </c>
      <c r="AO4">
        <f t="shared" ref="AO4:AO35" ca="1" si="10">AM4-IF(AN4="G",$E4*1000,0)+N(K4)</f>
        <v>0</v>
      </c>
      <c r="AP4" t="str">
        <f t="shared" ref="AP4:AP35" ca="1" si="11">IF(N(N4)&gt;=$E4*1000,"",IF(AND($E4&gt;0,AO4&gt;=$E4*1000),"G",IF(N$2&lt;=TODAY(),"R","")))</f>
        <v/>
      </c>
      <c r="AQ4">
        <f t="shared" ref="AQ4:AQ35" ca="1" si="12">AO4-IF(AP4="G",$E4*1000,0)+N(O4)</f>
        <v>0</v>
      </c>
      <c r="AR4" t="str">
        <f t="shared" ref="AR4:AR35" ca="1" si="13">IF(N(R4)&gt;=$E4*1000,"",IF(AND($E4&gt;0,AQ4&gt;=$E4*1000),"G",IF(R$2&lt;=TODAY(),"R","")))</f>
        <v/>
      </c>
      <c r="AS4">
        <f t="shared" ref="AS4:AS35" ca="1" si="14">AQ4-IF(AR4="G",$E4*1000,0)+N(S4)</f>
        <v>0</v>
      </c>
      <c r="AT4" t="str">
        <f t="shared" ref="AT4:AT35" ca="1" si="15">IF(N(V4)&gt;=$E4*1000,"",IF(AND($E4&gt;0,AS4&gt;=$E4*1000),"G",IF(V$2&lt;=TODAY(),"R","")))</f>
        <v/>
      </c>
      <c r="AU4">
        <f t="shared" ref="AU4:AU35" ca="1" si="16">AS4-IF(AT4="G",$E4*1000,0)+N(W4)</f>
        <v>0</v>
      </c>
      <c r="AV4" t="str">
        <f t="shared" ref="AV4:AV35" ca="1" si="17">IF(N(Z4)&gt;=$E4*1000,"",IF(AND($E4&gt;0,AU4&gt;=$E4*1000),"G",IF(Z$2&lt;=TODAY(),"R","")))</f>
        <v>R</v>
      </c>
      <c r="AW4">
        <f t="shared" ref="AW4:AW35" ca="1" si="18">AU4-IF(AV4="G",$E4*1000,0)+N(AA4)</f>
        <v>0</v>
      </c>
      <c r="AX4" t="str">
        <f t="shared" ref="AX4:AX35" ca="1" si="19">IF(N(AD4)&gt;=$E4*1000,"",IF(AND($E4&gt;0,AW4&gt;=$E4*1000),"G",IF(AD$2&lt;=TODAY(),"R","")))</f>
        <v/>
      </c>
      <c r="AY4">
        <f t="shared" ref="AY4:AY35" ca="1" si="20">AW4-IF(AX4="G",$E4*1000,0)+N(AE4)</f>
        <v>0</v>
      </c>
    </row>
    <row r="5" spans="1:5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>
        <f t="shared" si="1"/>
        <v>2000</v>
      </c>
      <c r="G5" s="52"/>
      <c r="H5" s="52"/>
      <c r="I5" s="52"/>
      <c r="J5" s="52">
        <f t="shared" si="2"/>
        <v>2000</v>
      </c>
      <c r="K5" s="52"/>
      <c r="L5" s="52"/>
      <c r="M5" s="52"/>
      <c r="N5" s="52">
        <f t="shared" si="3"/>
        <v>2000</v>
      </c>
      <c r="O5" s="52"/>
      <c r="P5" s="52"/>
      <c r="Q5" s="52"/>
      <c r="R5" s="52">
        <f t="shared" si="4"/>
        <v>2000</v>
      </c>
      <c r="S5" s="52"/>
      <c r="T5" s="52"/>
      <c r="U5" s="52"/>
      <c r="V5" s="52">
        <f>$E5*1000</f>
        <v>2000</v>
      </c>
      <c r="W5" s="52"/>
      <c r="X5" s="52"/>
      <c r="Y5" s="52"/>
      <c r="Z5" s="52">
        <f>$E5*1000</f>
        <v>2000</v>
      </c>
      <c r="AA5" s="52"/>
      <c r="AB5" s="52"/>
      <c r="AC5" s="52"/>
      <c r="AD5" s="52">
        <f>$E5*1000</f>
        <v>2000</v>
      </c>
      <c r="AE5" s="52"/>
      <c r="AF5" s="52"/>
      <c r="AG5" s="52"/>
      <c r="AH5" s="53">
        <f t="shared" si="5"/>
        <v>14000</v>
      </c>
      <c r="AI5" s="54">
        <f t="shared" si="6"/>
        <v>0</v>
      </c>
      <c r="AK5">
        <v>0</v>
      </c>
      <c r="AL5" t="str">
        <f t="shared" ca="1" si="7"/>
        <v/>
      </c>
      <c r="AM5">
        <f t="shared" ca="1" si="8"/>
        <v>0</v>
      </c>
      <c r="AN5" t="str">
        <f t="shared" ca="1" si="9"/>
        <v/>
      </c>
      <c r="AO5">
        <f t="shared" ca="1" si="10"/>
        <v>0</v>
      </c>
      <c r="AP5" t="str">
        <f t="shared" ca="1" si="11"/>
        <v/>
      </c>
      <c r="AQ5">
        <f t="shared" ca="1" si="12"/>
        <v>0</v>
      </c>
      <c r="AR5" t="str">
        <f t="shared" ca="1" si="13"/>
        <v/>
      </c>
      <c r="AS5">
        <f t="shared" ca="1" si="14"/>
        <v>0</v>
      </c>
      <c r="AT5" t="str">
        <f t="shared" ca="1" si="15"/>
        <v/>
      </c>
      <c r="AU5">
        <f t="shared" ca="1" si="16"/>
        <v>0</v>
      </c>
      <c r="AV5" t="str">
        <f t="shared" ca="1" si="17"/>
        <v/>
      </c>
      <c r="AW5">
        <f t="shared" ca="1" si="18"/>
        <v>0</v>
      </c>
      <c r="AX5" t="str">
        <f t="shared" ca="1" si="19"/>
        <v/>
      </c>
      <c r="AY5">
        <f t="shared" ca="1" si="20"/>
        <v>0</v>
      </c>
    </row>
    <row r="6" spans="1:5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>
        <f t="shared" si="1"/>
        <v>2000</v>
      </c>
      <c r="G6" s="56"/>
      <c r="H6" s="56"/>
      <c r="I6" s="56"/>
      <c r="J6" s="56">
        <f t="shared" si="2"/>
        <v>2000</v>
      </c>
      <c r="K6" s="56"/>
      <c r="L6" s="56"/>
      <c r="M6" s="56"/>
      <c r="N6" s="56">
        <f t="shared" si="3"/>
        <v>2000</v>
      </c>
      <c r="O6" s="56"/>
      <c r="P6" s="56"/>
      <c r="Q6" s="56"/>
      <c r="R6" s="56">
        <f t="shared" si="4"/>
        <v>2000</v>
      </c>
      <c r="S6" s="56"/>
      <c r="T6" s="56"/>
      <c r="U6" s="56"/>
      <c r="V6" s="56">
        <f>$E6*1000</f>
        <v>2000</v>
      </c>
      <c r="W6" s="56"/>
      <c r="X6" s="56"/>
      <c r="Y6" s="56"/>
      <c r="Z6" s="56">
        <f>$E6*1000</f>
        <v>2000</v>
      </c>
      <c r="AA6" s="56"/>
      <c r="AB6" s="56"/>
      <c r="AC6" s="56"/>
      <c r="AD6" s="241"/>
      <c r="AE6" s="56"/>
      <c r="AF6" s="56"/>
      <c r="AG6" s="56"/>
      <c r="AH6" s="57">
        <f t="shared" si="5"/>
        <v>12000</v>
      </c>
      <c r="AI6" s="58">
        <f t="shared" si="6"/>
        <v>0</v>
      </c>
      <c r="AK6">
        <v>0</v>
      </c>
      <c r="AL6" t="str">
        <f t="shared" ca="1" si="7"/>
        <v/>
      </c>
      <c r="AM6">
        <f t="shared" ca="1" si="8"/>
        <v>0</v>
      </c>
      <c r="AN6" t="str">
        <f t="shared" ca="1" si="9"/>
        <v/>
      </c>
      <c r="AO6">
        <f t="shared" ca="1" si="10"/>
        <v>0</v>
      </c>
      <c r="AP6" t="str">
        <f t="shared" ca="1" si="11"/>
        <v/>
      </c>
      <c r="AQ6">
        <f t="shared" ca="1" si="12"/>
        <v>0</v>
      </c>
      <c r="AR6" t="str">
        <f t="shared" ca="1" si="13"/>
        <v/>
      </c>
      <c r="AS6">
        <f t="shared" ca="1" si="14"/>
        <v>0</v>
      </c>
      <c r="AT6" t="str">
        <f t="shared" ca="1" si="15"/>
        <v/>
      </c>
      <c r="AU6">
        <f t="shared" ca="1" si="16"/>
        <v>0</v>
      </c>
      <c r="AV6" t="str">
        <f t="shared" ca="1" si="17"/>
        <v/>
      </c>
      <c r="AW6">
        <f t="shared" ca="1" si="18"/>
        <v>0</v>
      </c>
      <c r="AX6" t="str">
        <f t="shared" ca="1" si="19"/>
        <v>R</v>
      </c>
      <c r="AY6">
        <f t="shared" ca="1" si="20"/>
        <v>0</v>
      </c>
    </row>
    <row r="7" spans="1:5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>
        <f t="shared" si="1"/>
        <v>5000</v>
      </c>
      <c r="G7" s="52"/>
      <c r="H7" s="52"/>
      <c r="I7" s="52"/>
      <c r="J7" s="52">
        <f t="shared" si="2"/>
        <v>5000</v>
      </c>
      <c r="K7" s="52"/>
      <c r="L7" s="52"/>
      <c r="M7" s="52"/>
      <c r="N7" s="52">
        <f t="shared" si="3"/>
        <v>5000</v>
      </c>
      <c r="O7" s="52"/>
      <c r="P7" s="52"/>
      <c r="Q7" s="52"/>
      <c r="R7" s="52">
        <f t="shared" si="4"/>
        <v>5000</v>
      </c>
      <c r="S7" s="52"/>
      <c r="T7" s="52"/>
      <c r="U7" s="52"/>
      <c r="V7" s="52">
        <f>$E7*1000</f>
        <v>5000</v>
      </c>
      <c r="W7" s="52"/>
      <c r="X7" s="52"/>
      <c r="Y7" s="52"/>
      <c r="Z7" s="52">
        <f>$E7*1000</f>
        <v>5000</v>
      </c>
      <c r="AA7" s="52"/>
      <c r="AB7" s="52"/>
      <c r="AC7" s="52"/>
      <c r="AD7" s="52">
        <f>$E7*1000</f>
        <v>5000</v>
      </c>
      <c r="AE7" s="52"/>
      <c r="AF7" s="52"/>
      <c r="AG7" s="52"/>
      <c r="AH7" s="53">
        <f t="shared" si="5"/>
        <v>35000</v>
      </c>
      <c r="AI7" s="54">
        <f t="shared" si="6"/>
        <v>0</v>
      </c>
      <c r="AK7">
        <v>0</v>
      </c>
      <c r="AL7" t="str">
        <f t="shared" ca="1" si="7"/>
        <v/>
      </c>
      <c r="AM7">
        <f t="shared" ca="1" si="8"/>
        <v>0</v>
      </c>
      <c r="AN7" t="str">
        <f t="shared" ca="1" si="9"/>
        <v/>
      </c>
      <c r="AO7">
        <f t="shared" ca="1" si="10"/>
        <v>0</v>
      </c>
      <c r="AP7" t="str">
        <f t="shared" ca="1" si="11"/>
        <v/>
      </c>
      <c r="AQ7">
        <f t="shared" ca="1" si="12"/>
        <v>0</v>
      </c>
      <c r="AR7" t="str">
        <f t="shared" ca="1" si="13"/>
        <v/>
      </c>
      <c r="AS7">
        <f t="shared" ca="1" si="14"/>
        <v>0</v>
      </c>
      <c r="AT7" t="str">
        <f t="shared" ca="1" si="15"/>
        <v/>
      </c>
      <c r="AU7">
        <f t="shared" ca="1" si="16"/>
        <v>0</v>
      </c>
      <c r="AV7" t="str">
        <f t="shared" ca="1" si="17"/>
        <v/>
      </c>
      <c r="AW7">
        <f t="shared" ca="1" si="18"/>
        <v>0</v>
      </c>
      <c r="AX7" t="str">
        <f t="shared" ca="1" si="19"/>
        <v/>
      </c>
      <c r="AY7">
        <f t="shared" ca="1" si="20"/>
        <v>0</v>
      </c>
    </row>
    <row r="8" spans="1:5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>
        <f t="shared" si="1"/>
        <v>2000</v>
      </c>
      <c r="G8" s="56"/>
      <c r="H8" s="56"/>
      <c r="I8" s="56"/>
      <c r="J8" s="56">
        <f t="shared" si="2"/>
        <v>2000</v>
      </c>
      <c r="K8" s="56"/>
      <c r="L8" s="56"/>
      <c r="M8" s="56"/>
      <c r="N8" s="56">
        <f t="shared" si="3"/>
        <v>2000</v>
      </c>
      <c r="O8" s="56"/>
      <c r="P8" s="56"/>
      <c r="Q8" s="56"/>
      <c r="R8" s="56">
        <f t="shared" si="4"/>
        <v>2000</v>
      </c>
      <c r="S8" s="56"/>
      <c r="T8" s="56"/>
      <c r="U8" s="56"/>
      <c r="V8" s="56">
        <f>$E8*1000</f>
        <v>2000</v>
      </c>
      <c r="W8" s="56"/>
      <c r="X8" s="56"/>
      <c r="Y8" s="56"/>
      <c r="Z8" s="56">
        <f>$E8*1000</f>
        <v>2000</v>
      </c>
      <c r="AA8" s="56"/>
      <c r="AB8" s="56"/>
      <c r="AC8" s="56"/>
      <c r="AD8" s="56">
        <f>$E8*1000</f>
        <v>2000</v>
      </c>
      <c r="AE8" s="56"/>
      <c r="AF8" s="56"/>
      <c r="AG8" s="56"/>
      <c r="AH8" s="57">
        <f t="shared" si="5"/>
        <v>14000</v>
      </c>
      <c r="AI8" s="58">
        <f t="shared" si="6"/>
        <v>0</v>
      </c>
      <c r="AK8">
        <v>0</v>
      </c>
      <c r="AL8" t="str">
        <f t="shared" ca="1" si="7"/>
        <v/>
      </c>
      <c r="AM8">
        <f t="shared" ca="1" si="8"/>
        <v>0</v>
      </c>
      <c r="AN8" t="str">
        <f t="shared" ca="1" si="9"/>
        <v/>
      </c>
      <c r="AO8">
        <f t="shared" ca="1" si="10"/>
        <v>0</v>
      </c>
      <c r="AP8" t="str">
        <f t="shared" ca="1" si="11"/>
        <v/>
      </c>
      <c r="AQ8">
        <f t="shared" ca="1" si="12"/>
        <v>0</v>
      </c>
      <c r="AR8" t="str">
        <f t="shared" ca="1" si="13"/>
        <v/>
      </c>
      <c r="AS8">
        <f t="shared" ca="1" si="14"/>
        <v>0</v>
      </c>
      <c r="AT8" t="str">
        <f t="shared" ca="1" si="15"/>
        <v/>
      </c>
      <c r="AU8">
        <f t="shared" ca="1" si="16"/>
        <v>0</v>
      </c>
      <c r="AV8" t="str">
        <f t="shared" ca="1" si="17"/>
        <v/>
      </c>
      <c r="AW8">
        <f t="shared" ca="1" si="18"/>
        <v>0</v>
      </c>
      <c r="AX8" t="str">
        <f t="shared" ca="1" si="19"/>
        <v/>
      </c>
      <c r="AY8">
        <f t="shared" ca="1" si="20"/>
        <v>0</v>
      </c>
    </row>
    <row r="9" spans="1:5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52">
        <f t="shared" si="1"/>
        <v>2000</v>
      </c>
      <c r="G9" s="52"/>
      <c r="H9" s="52"/>
      <c r="I9" s="52"/>
      <c r="J9" s="52">
        <f t="shared" si="2"/>
        <v>2000</v>
      </c>
      <c r="K9" s="52"/>
      <c r="L9" s="52"/>
      <c r="M9" s="52"/>
      <c r="N9" s="52">
        <f t="shared" si="3"/>
        <v>2000</v>
      </c>
      <c r="O9" s="52"/>
      <c r="P9" s="52"/>
      <c r="Q9" s="52"/>
      <c r="R9" s="52">
        <f t="shared" si="4"/>
        <v>2000</v>
      </c>
      <c r="S9" s="52">
        <v>8000</v>
      </c>
      <c r="T9" s="52"/>
      <c r="U9" s="52"/>
      <c r="V9" s="242"/>
      <c r="W9" s="52"/>
      <c r="X9" s="52"/>
      <c r="Y9" s="52"/>
      <c r="Z9" s="242"/>
      <c r="AA9" s="52"/>
      <c r="AB9" s="52"/>
      <c r="AC9" s="52"/>
      <c r="AD9" s="242"/>
      <c r="AE9" s="52"/>
      <c r="AF9" s="52"/>
      <c r="AG9" s="52"/>
      <c r="AH9" s="53">
        <f t="shared" si="5"/>
        <v>16000</v>
      </c>
      <c r="AI9" s="54">
        <f t="shared" si="6"/>
        <v>0</v>
      </c>
      <c r="AK9">
        <v>0</v>
      </c>
      <c r="AL9" t="str">
        <f t="shared" ca="1" si="7"/>
        <v/>
      </c>
      <c r="AM9">
        <f t="shared" ca="1" si="8"/>
        <v>0</v>
      </c>
      <c r="AN9" t="str">
        <f t="shared" ca="1" si="9"/>
        <v/>
      </c>
      <c r="AO9">
        <f t="shared" ca="1" si="10"/>
        <v>0</v>
      </c>
      <c r="AP9" t="str">
        <f t="shared" ca="1" si="11"/>
        <v/>
      </c>
      <c r="AQ9">
        <f t="shared" ca="1" si="12"/>
        <v>0</v>
      </c>
      <c r="AR9" t="str">
        <f t="shared" ca="1" si="13"/>
        <v/>
      </c>
      <c r="AS9">
        <f t="shared" ca="1" si="14"/>
        <v>8000</v>
      </c>
      <c r="AT9" t="str">
        <f t="shared" ca="1" si="15"/>
        <v>G</v>
      </c>
      <c r="AU9">
        <f t="shared" ca="1" si="16"/>
        <v>6000</v>
      </c>
      <c r="AV9" t="str">
        <f t="shared" ca="1" si="17"/>
        <v>G</v>
      </c>
      <c r="AW9">
        <f t="shared" ca="1" si="18"/>
        <v>4000</v>
      </c>
      <c r="AX9" t="str">
        <f t="shared" ca="1" si="19"/>
        <v>G</v>
      </c>
      <c r="AY9">
        <f t="shared" ca="1" si="20"/>
        <v>2000</v>
      </c>
    </row>
    <row r="10" spans="1:5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>
        <f t="shared" si="1"/>
        <v>2000</v>
      </c>
      <c r="G10" s="56"/>
      <c r="H10" s="56"/>
      <c r="I10" s="56"/>
      <c r="J10" s="56">
        <f t="shared" si="2"/>
        <v>2000</v>
      </c>
      <c r="K10" s="56"/>
      <c r="L10" s="56"/>
      <c r="M10" s="56"/>
      <c r="N10" s="56">
        <f t="shared" si="3"/>
        <v>2000</v>
      </c>
      <c r="O10" s="56"/>
      <c r="P10" s="56"/>
      <c r="Q10" s="56"/>
      <c r="R10" s="56">
        <f t="shared" si="4"/>
        <v>2000</v>
      </c>
      <c r="S10" s="56"/>
      <c r="T10" s="56"/>
      <c r="U10" s="56"/>
      <c r="V10" s="56">
        <f t="shared" ref="V10:V25" si="21">$E10*1000</f>
        <v>2000</v>
      </c>
      <c r="W10" s="56"/>
      <c r="X10" s="56"/>
      <c r="Y10" s="56"/>
      <c r="Z10" s="56">
        <f t="shared" ref="Z10:Z25" si="22">$E10*1000</f>
        <v>2000</v>
      </c>
      <c r="AA10" s="56"/>
      <c r="AB10" s="56"/>
      <c r="AC10" s="56"/>
      <c r="AD10" s="56">
        <f t="shared" ref="AD10:AD26" si="23">$E10*1000</f>
        <v>2000</v>
      </c>
      <c r="AE10" s="56"/>
      <c r="AF10" s="56"/>
      <c r="AG10" s="56"/>
      <c r="AH10" s="57">
        <f t="shared" si="5"/>
        <v>14000</v>
      </c>
      <c r="AI10" s="58">
        <f t="shared" si="6"/>
        <v>0</v>
      </c>
      <c r="AK10">
        <v>0</v>
      </c>
      <c r="AL10" t="str">
        <f t="shared" ca="1" si="7"/>
        <v/>
      </c>
      <c r="AM10">
        <f t="shared" ca="1" si="8"/>
        <v>0</v>
      </c>
      <c r="AN10" t="str">
        <f t="shared" ca="1" si="9"/>
        <v/>
      </c>
      <c r="AO10">
        <f t="shared" ca="1" si="10"/>
        <v>0</v>
      </c>
      <c r="AP10" t="str">
        <f t="shared" ca="1" si="11"/>
        <v/>
      </c>
      <c r="AQ10">
        <f t="shared" ca="1" si="12"/>
        <v>0</v>
      </c>
      <c r="AR10" t="str">
        <f t="shared" ca="1" si="13"/>
        <v/>
      </c>
      <c r="AS10">
        <f t="shared" ca="1" si="14"/>
        <v>0</v>
      </c>
      <c r="AT10" t="str">
        <f t="shared" ca="1" si="15"/>
        <v/>
      </c>
      <c r="AU10">
        <f t="shared" ca="1" si="16"/>
        <v>0</v>
      </c>
      <c r="AV10" t="str">
        <f t="shared" ca="1" si="17"/>
        <v/>
      </c>
      <c r="AW10">
        <f t="shared" ca="1" si="18"/>
        <v>0</v>
      </c>
      <c r="AX10" t="str">
        <f t="shared" ca="1" si="19"/>
        <v/>
      </c>
      <c r="AY10">
        <f t="shared" ca="1" si="20"/>
        <v>0</v>
      </c>
    </row>
    <row r="11" spans="1:5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>
        <f t="shared" si="1"/>
        <v>2000</v>
      </c>
      <c r="G11" s="52"/>
      <c r="H11" s="52"/>
      <c r="I11" s="52"/>
      <c r="J11" s="52">
        <f t="shared" si="2"/>
        <v>2000</v>
      </c>
      <c r="K11" s="52"/>
      <c r="L11" s="52"/>
      <c r="M11" s="52"/>
      <c r="N11" s="52">
        <f t="shared" si="3"/>
        <v>2000</v>
      </c>
      <c r="O11" s="52"/>
      <c r="P11" s="52"/>
      <c r="Q11" s="52"/>
      <c r="R11" s="52">
        <f t="shared" si="4"/>
        <v>2000</v>
      </c>
      <c r="S11" s="52"/>
      <c r="T11" s="52"/>
      <c r="U11" s="52"/>
      <c r="V11" s="52">
        <f t="shared" si="21"/>
        <v>2000</v>
      </c>
      <c r="W11" s="52"/>
      <c r="X11" s="52"/>
      <c r="Y11" s="52"/>
      <c r="Z11" s="52">
        <f t="shared" si="22"/>
        <v>2000</v>
      </c>
      <c r="AA11" s="52"/>
      <c r="AB11" s="52"/>
      <c r="AC11" s="52"/>
      <c r="AD11" s="52">
        <f t="shared" si="23"/>
        <v>2000</v>
      </c>
      <c r="AE11" s="52"/>
      <c r="AF11" s="52"/>
      <c r="AG11" s="52"/>
      <c r="AH11" s="53">
        <f t="shared" si="5"/>
        <v>14000</v>
      </c>
      <c r="AI11" s="54">
        <f t="shared" si="6"/>
        <v>0</v>
      </c>
      <c r="AK11">
        <v>0</v>
      </c>
      <c r="AL11" t="str">
        <f t="shared" ca="1" si="7"/>
        <v/>
      </c>
      <c r="AM11">
        <f t="shared" ca="1" si="8"/>
        <v>0</v>
      </c>
      <c r="AN11" t="str">
        <f t="shared" ca="1" si="9"/>
        <v/>
      </c>
      <c r="AO11">
        <f t="shared" ca="1" si="10"/>
        <v>0</v>
      </c>
      <c r="AP11" t="str">
        <f t="shared" ca="1" si="11"/>
        <v/>
      </c>
      <c r="AQ11">
        <f t="shared" ca="1" si="12"/>
        <v>0</v>
      </c>
      <c r="AR11" t="str">
        <f t="shared" ca="1" si="13"/>
        <v/>
      </c>
      <c r="AS11">
        <f t="shared" ca="1" si="14"/>
        <v>0</v>
      </c>
      <c r="AT11" t="str">
        <f t="shared" ca="1" si="15"/>
        <v/>
      </c>
      <c r="AU11">
        <f t="shared" ca="1" si="16"/>
        <v>0</v>
      </c>
      <c r="AV11" t="str">
        <f t="shared" ca="1" si="17"/>
        <v/>
      </c>
      <c r="AW11">
        <f t="shared" ca="1" si="18"/>
        <v>0</v>
      </c>
      <c r="AX11" t="str">
        <f t="shared" ca="1" si="19"/>
        <v/>
      </c>
      <c r="AY11">
        <f t="shared" ca="1" si="20"/>
        <v>0</v>
      </c>
    </row>
    <row r="12" spans="1:5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>
        <f t="shared" si="1"/>
        <v>2000</v>
      </c>
      <c r="G12" s="56"/>
      <c r="H12" s="56"/>
      <c r="I12" s="56"/>
      <c r="J12" s="56">
        <f t="shared" si="2"/>
        <v>2000</v>
      </c>
      <c r="K12" s="56"/>
      <c r="L12" s="56"/>
      <c r="M12" s="56"/>
      <c r="N12" s="56">
        <f t="shared" si="3"/>
        <v>2000</v>
      </c>
      <c r="O12" s="56"/>
      <c r="P12" s="56"/>
      <c r="Q12" s="56"/>
      <c r="R12" s="56">
        <f t="shared" si="4"/>
        <v>2000</v>
      </c>
      <c r="S12" s="56"/>
      <c r="T12" s="56"/>
      <c r="U12" s="56"/>
      <c r="V12" s="56">
        <f t="shared" si="21"/>
        <v>2000</v>
      </c>
      <c r="W12" s="56"/>
      <c r="X12" s="56"/>
      <c r="Y12" s="56"/>
      <c r="Z12" s="56">
        <f t="shared" si="22"/>
        <v>2000</v>
      </c>
      <c r="AA12" s="56"/>
      <c r="AB12" s="56"/>
      <c r="AC12" s="56"/>
      <c r="AD12" s="56">
        <f t="shared" si="23"/>
        <v>2000</v>
      </c>
      <c r="AE12" s="56"/>
      <c r="AF12" s="56"/>
      <c r="AG12" s="56"/>
      <c r="AH12" s="57">
        <f t="shared" si="5"/>
        <v>14000</v>
      </c>
      <c r="AI12" s="58">
        <f t="shared" si="6"/>
        <v>0</v>
      </c>
      <c r="AK12">
        <v>0</v>
      </c>
      <c r="AL12" t="str">
        <f t="shared" ca="1" si="7"/>
        <v/>
      </c>
      <c r="AM12">
        <f t="shared" ca="1" si="8"/>
        <v>0</v>
      </c>
      <c r="AN12" t="str">
        <f t="shared" ca="1" si="9"/>
        <v/>
      </c>
      <c r="AO12">
        <f t="shared" ca="1" si="10"/>
        <v>0</v>
      </c>
      <c r="AP12" t="str">
        <f t="shared" ca="1" si="11"/>
        <v/>
      </c>
      <c r="AQ12">
        <f t="shared" ca="1" si="12"/>
        <v>0</v>
      </c>
      <c r="AR12" t="str">
        <f t="shared" ca="1" si="13"/>
        <v/>
      </c>
      <c r="AS12">
        <f t="shared" ca="1" si="14"/>
        <v>0</v>
      </c>
      <c r="AT12" t="str">
        <f t="shared" ca="1" si="15"/>
        <v/>
      </c>
      <c r="AU12">
        <f t="shared" ca="1" si="16"/>
        <v>0</v>
      </c>
      <c r="AV12" t="str">
        <f t="shared" ca="1" si="17"/>
        <v/>
      </c>
      <c r="AW12">
        <f t="shared" ca="1" si="18"/>
        <v>0</v>
      </c>
      <c r="AX12" t="str">
        <f t="shared" ca="1" si="19"/>
        <v/>
      </c>
      <c r="AY12">
        <f t="shared" ca="1" si="20"/>
        <v>0</v>
      </c>
    </row>
    <row r="13" spans="1:5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>
        <f t="shared" si="1"/>
        <v>1000</v>
      </c>
      <c r="G13" s="52"/>
      <c r="H13" s="52"/>
      <c r="I13" s="52"/>
      <c r="J13" s="52">
        <f t="shared" si="2"/>
        <v>1000</v>
      </c>
      <c r="K13" s="52"/>
      <c r="L13" s="52"/>
      <c r="M13" s="52"/>
      <c r="N13" s="52">
        <f t="shared" si="3"/>
        <v>1000</v>
      </c>
      <c r="O13" s="52"/>
      <c r="P13" s="52"/>
      <c r="Q13" s="52"/>
      <c r="R13" s="52">
        <f t="shared" si="4"/>
        <v>1000</v>
      </c>
      <c r="S13" s="52"/>
      <c r="T13" s="52"/>
      <c r="U13" s="52"/>
      <c r="V13" s="52">
        <f t="shared" si="21"/>
        <v>1000</v>
      </c>
      <c r="W13" s="52"/>
      <c r="X13" s="52"/>
      <c r="Y13" s="52"/>
      <c r="Z13" s="52">
        <f t="shared" si="22"/>
        <v>1000</v>
      </c>
      <c r="AA13" s="52"/>
      <c r="AB13" s="52"/>
      <c r="AC13" s="52"/>
      <c r="AD13" s="52">
        <f t="shared" si="23"/>
        <v>1000</v>
      </c>
      <c r="AE13" s="52"/>
      <c r="AF13" s="52"/>
      <c r="AG13" s="52"/>
      <c r="AH13" s="53">
        <f t="shared" si="5"/>
        <v>7000</v>
      </c>
      <c r="AI13" s="54">
        <f t="shared" si="6"/>
        <v>0</v>
      </c>
      <c r="AK13">
        <v>0</v>
      </c>
      <c r="AL13" t="str">
        <f t="shared" ca="1" si="7"/>
        <v/>
      </c>
      <c r="AM13">
        <f t="shared" ca="1" si="8"/>
        <v>0</v>
      </c>
      <c r="AN13" t="str">
        <f t="shared" ca="1" si="9"/>
        <v/>
      </c>
      <c r="AO13">
        <f t="shared" ca="1" si="10"/>
        <v>0</v>
      </c>
      <c r="AP13" t="str">
        <f t="shared" ca="1" si="11"/>
        <v/>
      </c>
      <c r="AQ13">
        <f t="shared" ca="1" si="12"/>
        <v>0</v>
      </c>
      <c r="AR13" t="str">
        <f t="shared" ca="1" si="13"/>
        <v/>
      </c>
      <c r="AS13">
        <f t="shared" ca="1" si="14"/>
        <v>0</v>
      </c>
      <c r="AT13" t="str">
        <f t="shared" ca="1" si="15"/>
        <v/>
      </c>
      <c r="AU13">
        <f t="shared" ca="1" si="16"/>
        <v>0</v>
      </c>
      <c r="AV13" t="str">
        <f t="shared" ca="1" si="17"/>
        <v/>
      </c>
      <c r="AW13">
        <f t="shared" ca="1" si="18"/>
        <v>0</v>
      </c>
      <c r="AX13" t="str">
        <f t="shared" ca="1" si="19"/>
        <v/>
      </c>
      <c r="AY13">
        <f t="shared" ca="1" si="20"/>
        <v>0</v>
      </c>
    </row>
    <row r="14" spans="1:5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>
        <f t="shared" si="1"/>
        <v>3000</v>
      </c>
      <c r="G14" s="56"/>
      <c r="H14" s="56"/>
      <c r="I14" s="56"/>
      <c r="J14" s="56">
        <f t="shared" si="2"/>
        <v>3000</v>
      </c>
      <c r="K14" s="56"/>
      <c r="L14" s="56"/>
      <c r="M14" s="56"/>
      <c r="N14" s="56">
        <f t="shared" si="3"/>
        <v>3000</v>
      </c>
      <c r="O14" s="56"/>
      <c r="P14" s="56"/>
      <c r="Q14" s="56"/>
      <c r="R14" s="56">
        <f t="shared" si="4"/>
        <v>3000</v>
      </c>
      <c r="S14" s="56"/>
      <c r="T14" s="56"/>
      <c r="U14" s="56"/>
      <c r="V14" s="56">
        <f t="shared" si="21"/>
        <v>3000</v>
      </c>
      <c r="W14" s="56"/>
      <c r="X14" s="56"/>
      <c r="Y14" s="56"/>
      <c r="Z14" s="56">
        <f t="shared" si="22"/>
        <v>3000</v>
      </c>
      <c r="AA14" s="56"/>
      <c r="AB14" s="56"/>
      <c r="AC14" s="56"/>
      <c r="AD14" s="56">
        <f t="shared" si="23"/>
        <v>3000</v>
      </c>
      <c r="AE14" s="56"/>
      <c r="AF14" s="56"/>
      <c r="AG14" s="56"/>
      <c r="AH14" s="57">
        <f t="shared" si="5"/>
        <v>21000</v>
      </c>
      <c r="AI14" s="58">
        <f t="shared" si="6"/>
        <v>0</v>
      </c>
      <c r="AK14">
        <v>0</v>
      </c>
      <c r="AL14" t="str">
        <f t="shared" ca="1" si="7"/>
        <v/>
      </c>
      <c r="AM14">
        <f t="shared" ca="1" si="8"/>
        <v>0</v>
      </c>
      <c r="AN14" t="str">
        <f t="shared" ca="1" si="9"/>
        <v/>
      </c>
      <c r="AO14">
        <f t="shared" ca="1" si="10"/>
        <v>0</v>
      </c>
      <c r="AP14" t="str">
        <f t="shared" ca="1" si="11"/>
        <v/>
      </c>
      <c r="AQ14">
        <f t="shared" ca="1" si="12"/>
        <v>0</v>
      </c>
      <c r="AR14" t="str">
        <f t="shared" ca="1" si="13"/>
        <v/>
      </c>
      <c r="AS14">
        <f t="shared" ca="1" si="14"/>
        <v>0</v>
      </c>
      <c r="AT14" t="str">
        <f t="shared" ca="1" si="15"/>
        <v/>
      </c>
      <c r="AU14">
        <f t="shared" ca="1" si="16"/>
        <v>0</v>
      </c>
      <c r="AV14" t="str">
        <f t="shared" ca="1" si="17"/>
        <v/>
      </c>
      <c r="AW14">
        <f t="shared" ca="1" si="18"/>
        <v>0</v>
      </c>
      <c r="AX14" t="str">
        <f t="shared" ca="1" si="19"/>
        <v/>
      </c>
      <c r="AY14">
        <f t="shared" ca="1" si="20"/>
        <v>0</v>
      </c>
    </row>
    <row r="15" spans="1:5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>
        <f t="shared" si="1"/>
        <v>1000</v>
      </c>
      <c r="G15" s="52"/>
      <c r="H15" s="52"/>
      <c r="I15" s="52"/>
      <c r="J15" s="52">
        <f t="shared" si="2"/>
        <v>1000</v>
      </c>
      <c r="K15" s="52"/>
      <c r="L15" s="52"/>
      <c r="M15" s="52"/>
      <c r="N15" s="52">
        <f t="shared" si="3"/>
        <v>1000</v>
      </c>
      <c r="O15" s="52"/>
      <c r="P15" s="52"/>
      <c r="Q15" s="52"/>
      <c r="R15" s="52">
        <f t="shared" si="4"/>
        <v>1000</v>
      </c>
      <c r="S15" s="52"/>
      <c r="T15" s="52"/>
      <c r="U15" s="52"/>
      <c r="V15" s="52">
        <f t="shared" si="21"/>
        <v>1000</v>
      </c>
      <c r="W15" s="52"/>
      <c r="X15" s="52"/>
      <c r="Y15" s="52"/>
      <c r="Z15" s="52">
        <f t="shared" si="22"/>
        <v>1000</v>
      </c>
      <c r="AA15" s="52"/>
      <c r="AB15" s="52"/>
      <c r="AC15" s="52"/>
      <c r="AD15" s="52">
        <f t="shared" si="23"/>
        <v>1000</v>
      </c>
      <c r="AE15" s="52"/>
      <c r="AF15" s="52"/>
      <c r="AG15" s="52"/>
      <c r="AH15" s="53">
        <f t="shared" si="5"/>
        <v>7000</v>
      </c>
      <c r="AI15" s="54">
        <f t="shared" si="6"/>
        <v>0</v>
      </c>
      <c r="AK15">
        <v>0</v>
      </c>
      <c r="AL15" t="str">
        <f t="shared" ca="1" si="7"/>
        <v/>
      </c>
      <c r="AM15">
        <f t="shared" ca="1" si="8"/>
        <v>0</v>
      </c>
      <c r="AN15" t="str">
        <f t="shared" ca="1" si="9"/>
        <v/>
      </c>
      <c r="AO15">
        <f t="shared" ca="1" si="10"/>
        <v>0</v>
      </c>
      <c r="AP15" t="str">
        <f t="shared" ca="1" si="11"/>
        <v/>
      </c>
      <c r="AQ15">
        <f t="shared" ca="1" si="12"/>
        <v>0</v>
      </c>
      <c r="AR15" t="str">
        <f t="shared" ca="1" si="13"/>
        <v/>
      </c>
      <c r="AS15">
        <f t="shared" ca="1" si="14"/>
        <v>0</v>
      </c>
      <c r="AT15" t="str">
        <f t="shared" ca="1" si="15"/>
        <v/>
      </c>
      <c r="AU15">
        <f t="shared" ca="1" si="16"/>
        <v>0</v>
      </c>
      <c r="AV15" t="str">
        <f t="shared" ca="1" si="17"/>
        <v/>
      </c>
      <c r="AW15">
        <f t="shared" ca="1" si="18"/>
        <v>0</v>
      </c>
      <c r="AX15" t="str">
        <f t="shared" ca="1" si="19"/>
        <v/>
      </c>
      <c r="AY15">
        <f t="shared" ca="1" si="20"/>
        <v>0</v>
      </c>
    </row>
    <row r="16" spans="1:5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>
        <f t="shared" si="1"/>
        <v>2000</v>
      </c>
      <c r="G16" s="56"/>
      <c r="H16" s="56"/>
      <c r="I16" s="56"/>
      <c r="J16" s="56">
        <f t="shared" si="2"/>
        <v>2000</v>
      </c>
      <c r="K16" s="56"/>
      <c r="L16" s="56"/>
      <c r="M16" s="56"/>
      <c r="N16" s="56">
        <f t="shared" si="3"/>
        <v>2000</v>
      </c>
      <c r="O16" s="56"/>
      <c r="P16" s="56"/>
      <c r="Q16" s="56"/>
      <c r="R16" s="56">
        <f t="shared" si="4"/>
        <v>2000</v>
      </c>
      <c r="S16" s="56"/>
      <c r="T16" s="56"/>
      <c r="U16" s="56"/>
      <c r="V16" s="56">
        <f t="shared" si="21"/>
        <v>2000</v>
      </c>
      <c r="W16" s="56"/>
      <c r="X16" s="56"/>
      <c r="Y16" s="56"/>
      <c r="Z16" s="56">
        <f t="shared" si="22"/>
        <v>2000</v>
      </c>
      <c r="AA16" s="56"/>
      <c r="AB16" s="56"/>
      <c r="AC16" s="56"/>
      <c r="AD16" s="56">
        <f t="shared" si="23"/>
        <v>2000</v>
      </c>
      <c r="AE16" s="56"/>
      <c r="AF16" s="56"/>
      <c r="AG16" s="56"/>
      <c r="AH16" s="57">
        <f t="shared" si="5"/>
        <v>14000</v>
      </c>
      <c r="AI16" s="58">
        <f t="shared" si="6"/>
        <v>0</v>
      </c>
      <c r="AK16">
        <v>0</v>
      </c>
      <c r="AL16" t="str">
        <f t="shared" ca="1" si="7"/>
        <v/>
      </c>
      <c r="AM16">
        <f t="shared" ca="1" si="8"/>
        <v>0</v>
      </c>
      <c r="AN16" t="str">
        <f t="shared" ca="1" si="9"/>
        <v/>
      </c>
      <c r="AO16">
        <f t="shared" ca="1" si="10"/>
        <v>0</v>
      </c>
      <c r="AP16" t="str">
        <f t="shared" ca="1" si="11"/>
        <v/>
      </c>
      <c r="AQ16">
        <f t="shared" ca="1" si="12"/>
        <v>0</v>
      </c>
      <c r="AR16" t="str">
        <f t="shared" ca="1" si="13"/>
        <v/>
      </c>
      <c r="AS16">
        <f t="shared" ca="1" si="14"/>
        <v>0</v>
      </c>
      <c r="AT16" t="str">
        <f t="shared" ca="1" si="15"/>
        <v/>
      </c>
      <c r="AU16">
        <f t="shared" ca="1" si="16"/>
        <v>0</v>
      </c>
      <c r="AV16" t="str">
        <f t="shared" ca="1" si="17"/>
        <v/>
      </c>
      <c r="AW16">
        <f t="shared" ca="1" si="18"/>
        <v>0</v>
      </c>
      <c r="AX16" t="str">
        <f t="shared" ca="1" si="19"/>
        <v/>
      </c>
      <c r="AY16">
        <f t="shared" ca="1" si="20"/>
        <v>0</v>
      </c>
    </row>
    <row r="17" spans="2:5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>
        <f t="shared" si="1"/>
        <v>3000</v>
      </c>
      <c r="G17" s="52"/>
      <c r="H17" s="52"/>
      <c r="I17" s="52"/>
      <c r="J17" s="52">
        <f t="shared" si="2"/>
        <v>3000</v>
      </c>
      <c r="K17" s="52"/>
      <c r="L17" s="52"/>
      <c r="M17" s="52"/>
      <c r="N17" s="52">
        <f t="shared" si="3"/>
        <v>3000</v>
      </c>
      <c r="O17" s="52"/>
      <c r="P17" s="52"/>
      <c r="Q17" s="52"/>
      <c r="R17" s="52">
        <f t="shared" si="4"/>
        <v>3000</v>
      </c>
      <c r="S17" s="52"/>
      <c r="T17" s="52"/>
      <c r="U17" s="52"/>
      <c r="V17" s="52">
        <f t="shared" si="21"/>
        <v>3000</v>
      </c>
      <c r="W17" s="52"/>
      <c r="X17" s="52"/>
      <c r="Y17" s="52"/>
      <c r="Z17" s="52">
        <f t="shared" si="22"/>
        <v>3000</v>
      </c>
      <c r="AA17" s="52"/>
      <c r="AB17" s="52"/>
      <c r="AC17" s="52"/>
      <c r="AD17" s="52">
        <f t="shared" si="23"/>
        <v>3000</v>
      </c>
      <c r="AE17" s="52"/>
      <c r="AF17" s="52"/>
      <c r="AG17" s="52"/>
      <c r="AH17" s="53">
        <f t="shared" si="5"/>
        <v>21000</v>
      </c>
      <c r="AI17" s="54">
        <f t="shared" si="6"/>
        <v>0</v>
      </c>
      <c r="AK17">
        <v>0</v>
      </c>
      <c r="AL17" t="str">
        <f t="shared" ca="1" si="7"/>
        <v/>
      </c>
      <c r="AM17">
        <f t="shared" ca="1" si="8"/>
        <v>0</v>
      </c>
      <c r="AN17" t="str">
        <f t="shared" ca="1" si="9"/>
        <v/>
      </c>
      <c r="AO17">
        <f t="shared" ca="1" si="10"/>
        <v>0</v>
      </c>
      <c r="AP17" t="str">
        <f t="shared" ca="1" si="11"/>
        <v/>
      </c>
      <c r="AQ17">
        <f t="shared" ca="1" si="12"/>
        <v>0</v>
      </c>
      <c r="AR17" t="str">
        <f t="shared" ca="1" si="13"/>
        <v/>
      </c>
      <c r="AS17">
        <f t="shared" ca="1" si="14"/>
        <v>0</v>
      </c>
      <c r="AT17" t="str">
        <f t="shared" ca="1" si="15"/>
        <v/>
      </c>
      <c r="AU17">
        <f t="shared" ca="1" si="16"/>
        <v>0</v>
      </c>
      <c r="AV17" t="str">
        <f t="shared" ca="1" si="17"/>
        <v/>
      </c>
      <c r="AW17">
        <f t="shared" ca="1" si="18"/>
        <v>0</v>
      </c>
      <c r="AX17" t="str">
        <f t="shared" ca="1" si="19"/>
        <v/>
      </c>
      <c r="AY17">
        <f t="shared" ca="1" si="20"/>
        <v>0</v>
      </c>
    </row>
    <row r="18" spans="2:5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>
        <f t="shared" si="1"/>
        <v>3000</v>
      </c>
      <c r="G18" s="56"/>
      <c r="H18" s="56"/>
      <c r="I18" s="56"/>
      <c r="J18" s="56">
        <f t="shared" si="2"/>
        <v>3000</v>
      </c>
      <c r="K18" s="56"/>
      <c r="L18" s="56"/>
      <c r="M18" s="56"/>
      <c r="N18" s="56">
        <f t="shared" si="3"/>
        <v>3000</v>
      </c>
      <c r="O18" s="56"/>
      <c r="P18" s="56"/>
      <c r="Q18" s="56"/>
      <c r="R18" s="56">
        <f t="shared" si="4"/>
        <v>3000</v>
      </c>
      <c r="S18" s="56"/>
      <c r="T18" s="56"/>
      <c r="U18" s="56"/>
      <c r="V18" s="56">
        <f t="shared" si="21"/>
        <v>3000</v>
      </c>
      <c r="W18" s="56"/>
      <c r="X18" s="56"/>
      <c r="Y18" s="56"/>
      <c r="Z18" s="56">
        <f t="shared" si="22"/>
        <v>3000</v>
      </c>
      <c r="AA18" s="56"/>
      <c r="AB18" s="56"/>
      <c r="AC18" s="56"/>
      <c r="AD18" s="56">
        <f t="shared" si="23"/>
        <v>3000</v>
      </c>
      <c r="AE18" s="56"/>
      <c r="AF18" s="56"/>
      <c r="AG18" s="56"/>
      <c r="AH18" s="57">
        <f t="shared" si="5"/>
        <v>21000</v>
      </c>
      <c r="AI18" s="58">
        <f t="shared" si="6"/>
        <v>0</v>
      </c>
      <c r="AK18">
        <v>0</v>
      </c>
      <c r="AL18" t="str">
        <f t="shared" ca="1" si="7"/>
        <v/>
      </c>
      <c r="AM18">
        <f t="shared" ca="1" si="8"/>
        <v>0</v>
      </c>
      <c r="AN18" t="str">
        <f t="shared" ca="1" si="9"/>
        <v/>
      </c>
      <c r="AO18">
        <f t="shared" ca="1" si="10"/>
        <v>0</v>
      </c>
      <c r="AP18" t="str">
        <f t="shared" ca="1" si="11"/>
        <v/>
      </c>
      <c r="AQ18">
        <f t="shared" ca="1" si="12"/>
        <v>0</v>
      </c>
      <c r="AR18" t="str">
        <f t="shared" ca="1" si="13"/>
        <v/>
      </c>
      <c r="AS18">
        <f t="shared" ca="1" si="14"/>
        <v>0</v>
      </c>
      <c r="AT18" t="str">
        <f t="shared" ca="1" si="15"/>
        <v/>
      </c>
      <c r="AU18">
        <f t="shared" ca="1" si="16"/>
        <v>0</v>
      </c>
      <c r="AV18" t="str">
        <f t="shared" ca="1" si="17"/>
        <v/>
      </c>
      <c r="AW18">
        <f t="shared" ca="1" si="18"/>
        <v>0</v>
      </c>
      <c r="AX18" t="str">
        <f t="shared" ca="1" si="19"/>
        <v/>
      </c>
      <c r="AY18">
        <f t="shared" ca="1" si="20"/>
        <v>0</v>
      </c>
    </row>
    <row r="19" spans="2:5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52">
        <f t="shared" si="1"/>
        <v>2000</v>
      </c>
      <c r="G19" s="52"/>
      <c r="H19" s="52"/>
      <c r="I19" s="52"/>
      <c r="J19" s="52">
        <f t="shared" si="2"/>
        <v>2000</v>
      </c>
      <c r="K19" s="52"/>
      <c r="L19" s="52"/>
      <c r="M19" s="52"/>
      <c r="N19" s="52">
        <f t="shared" si="3"/>
        <v>2000</v>
      </c>
      <c r="O19" s="52"/>
      <c r="P19" s="52"/>
      <c r="Q19" s="52"/>
      <c r="R19" s="243"/>
      <c r="S19" s="52"/>
      <c r="T19" s="52"/>
      <c r="U19" s="52"/>
      <c r="V19" s="52">
        <f t="shared" si="21"/>
        <v>2000</v>
      </c>
      <c r="W19" s="52"/>
      <c r="X19" s="52">
        <v>2000</v>
      </c>
      <c r="Y19" s="52">
        <v>100</v>
      </c>
      <c r="Z19" s="52">
        <f t="shared" si="22"/>
        <v>2000</v>
      </c>
      <c r="AA19" s="52"/>
      <c r="AB19" s="52"/>
      <c r="AC19" s="52"/>
      <c r="AD19" s="52">
        <f t="shared" si="23"/>
        <v>2000</v>
      </c>
      <c r="AE19" s="52">
        <v>2000</v>
      </c>
      <c r="AF19" s="52"/>
      <c r="AG19" s="52"/>
      <c r="AH19" s="53">
        <f t="shared" si="5"/>
        <v>16000</v>
      </c>
      <c r="AI19" s="54">
        <f t="shared" si="6"/>
        <v>100</v>
      </c>
      <c r="AK19">
        <v>0</v>
      </c>
      <c r="AL19" t="str">
        <f t="shared" ca="1" si="7"/>
        <v/>
      </c>
      <c r="AM19">
        <f t="shared" ca="1" si="8"/>
        <v>0</v>
      </c>
      <c r="AN19" t="str">
        <f t="shared" ca="1" si="9"/>
        <v/>
      </c>
      <c r="AO19">
        <f t="shared" ca="1" si="10"/>
        <v>0</v>
      </c>
      <c r="AP19" t="str">
        <f t="shared" ca="1" si="11"/>
        <v/>
      </c>
      <c r="AQ19">
        <f t="shared" ca="1" si="12"/>
        <v>0</v>
      </c>
      <c r="AR19" t="str">
        <f t="shared" ca="1" si="13"/>
        <v>R</v>
      </c>
      <c r="AS19">
        <f t="shared" ca="1" si="14"/>
        <v>0</v>
      </c>
      <c r="AT19" t="str">
        <f t="shared" ca="1" si="15"/>
        <v/>
      </c>
      <c r="AU19">
        <f t="shared" ca="1" si="16"/>
        <v>0</v>
      </c>
      <c r="AV19" t="str">
        <f t="shared" ca="1" si="17"/>
        <v/>
      </c>
      <c r="AW19">
        <f t="shared" ca="1" si="18"/>
        <v>0</v>
      </c>
      <c r="AX19" t="str">
        <f t="shared" ca="1" si="19"/>
        <v/>
      </c>
      <c r="AY19">
        <f t="shared" ca="1" si="20"/>
        <v>2000</v>
      </c>
    </row>
    <row r="20" spans="2:5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>
        <f t="shared" si="1"/>
        <v>2000</v>
      </c>
      <c r="G20" s="56"/>
      <c r="H20" s="56"/>
      <c r="I20" s="56"/>
      <c r="J20" s="56">
        <f t="shared" si="2"/>
        <v>2000</v>
      </c>
      <c r="K20" s="56"/>
      <c r="L20" s="56"/>
      <c r="M20" s="56"/>
      <c r="N20" s="56">
        <f t="shared" si="3"/>
        <v>2000</v>
      </c>
      <c r="O20" s="56"/>
      <c r="P20" s="56"/>
      <c r="Q20" s="56"/>
      <c r="R20" s="56">
        <f t="shared" ref="R20:R35" si="24">$E20*1000</f>
        <v>2000</v>
      </c>
      <c r="S20" s="56"/>
      <c r="T20" s="56"/>
      <c r="U20" s="56"/>
      <c r="V20" s="56">
        <f t="shared" si="21"/>
        <v>2000</v>
      </c>
      <c r="W20" s="56"/>
      <c r="X20" s="56"/>
      <c r="Y20" s="56"/>
      <c r="Z20" s="56">
        <f t="shared" si="22"/>
        <v>2000</v>
      </c>
      <c r="AA20" s="56"/>
      <c r="AB20" s="56"/>
      <c r="AC20" s="56"/>
      <c r="AD20" s="56">
        <f t="shared" si="23"/>
        <v>2000</v>
      </c>
      <c r="AE20" s="56"/>
      <c r="AF20" s="56"/>
      <c r="AG20" s="56"/>
      <c r="AH20" s="57">
        <f t="shared" si="5"/>
        <v>14000</v>
      </c>
      <c r="AI20" s="58">
        <f t="shared" si="6"/>
        <v>0</v>
      </c>
      <c r="AK20">
        <v>0</v>
      </c>
      <c r="AL20" t="str">
        <f t="shared" ca="1" si="7"/>
        <v/>
      </c>
      <c r="AM20">
        <f t="shared" ca="1" si="8"/>
        <v>0</v>
      </c>
      <c r="AN20" t="str">
        <f t="shared" ca="1" si="9"/>
        <v/>
      </c>
      <c r="AO20">
        <f t="shared" ca="1" si="10"/>
        <v>0</v>
      </c>
      <c r="AP20" t="str">
        <f t="shared" ca="1" si="11"/>
        <v/>
      </c>
      <c r="AQ20">
        <f t="shared" ca="1" si="12"/>
        <v>0</v>
      </c>
      <c r="AR20" t="str">
        <f t="shared" ca="1" si="13"/>
        <v/>
      </c>
      <c r="AS20">
        <f t="shared" ca="1" si="14"/>
        <v>0</v>
      </c>
      <c r="AT20" t="str">
        <f t="shared" ca="1" si="15"/>
        <v/>
      </c>
      <c r="AU20">
        <f t="shared" ca="1" si="16"/>
        <v>0</v>
      </c>
      <c r="AV20" t="str">
        <f t="shared" ca="1" si="17"/>
        <v/>
      </c>
      <c r="AW20">
        <f t="shared" ca="1" si="18"/>
        <v>0</v>
      </c>
      <c r="AX20" t="str">
        <f t="shared" ca="1" si="19"/>
        <v/>
      </c>
      <c r="AY20">
        <f t="shared" ca="1" si="20"/>
        <v>0</v>
      </c>
    </row>
    <row r="21" spans="2:5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>
        <f t="shared" si="1"/>
        <v>2000</v>
      </c>
      <c r="G21" s="52"/>
      <c r="H21" s="52"/>
      <c r="I21" s="52"/>
      <c r="J21" s="52">
        <f t="shared" si="2"/>
        <v>2000</v>
      </c>
      <c r="K21" s="52"/>
      <c r="L21" s="52"/>
      <c r="M21" s="52"/>
      <c r="N21" s="52">
        <f t="shared" si="3"/>
        <v>2000</v>
      </c>
      <c r="O21" s="52"/>
      <c r="P21" s="52"/>
      <c r="Q21" s="52"/>
      <c r="R21" s="52">
        <f t="shared" si="24"/>
        <v>2000</v>
      </c>
      <c r="S21" s="52"/>
      <c r="T21" s="52"/>
      <c r="U21" s="52"/>
      <c r="V21" s="52">
        <f t="shared" si="21"/>
        <v>2000</v>
      </c>
      <c r="W21" s="52"/>
      <c r="X21" s="52"/>
      <c r="Y21" s="52"/>
      <c r="Z21" s="52">
        <f t="shared" si="22"/>
        <v>2000</v>
      </c>
      <c r="AA21" s="52"/>
      <c r="AB21" s="52"/>
      <c r="AC21" s="52"/>
      <c r="AD21" s="52">
        <f t="shared" si="23"/>
        <v>2000</v>
      </c>
      <c r="AE21" s="52"/>
      <c r="AF21" s="52"/>
      <c r="AG21" s="52"/>
      <c r="AH21" s="53">
        <f t="shared" si="5"/>
        <v>14000</v>
      </c>
      <c r="AI21" s="54">
        <f t="shared" si="6"/>
        <v>0</v>
      </c>
      <c r="AK21">
        <v>0</v>
      </c>
      <c r="AL21" t="str">
        <f t="shared" ca="1" si="7"/>
        <v/>
      </c>
      <c r="AM21">
        <f t="shared" ca="1" si="8"/>
        <v>0</v>
      </c>
      <c r="AN21" t="str">
        <f t="shared" ca="1" si="9"/>
        <v/>
      </c>
      <c r="AO21">
        <f t="shared" ca="1" si="10"/>
        <v>0</v>
      </c>
      <c r="AP21" t="str">
        <f t="shared" ca="1" si="11"/>
        <v/>
      </c>
      <c r="AQ21">
        <f t="shared" ca="1" si="12"/>
        <v>0</v>
      </c>
      <c r="AR21" t="str">
        <f t="shared" ca="1" si="13"/>
        <v/>
      </c>
      <c r="AS21">
        <f t="shared" ca="1" si="14"/>
        <v>0</v>
      </c>
      <c r="AT21" t="str">
        <f t="shared" ca="1" si="15"/>
        <v/>
      </c>
      <c r="AU21">
        <f t="shared" ca="1" si="16"/>
        <v>0</v>
      </c>
      <c r="AV21" t="str">
        <f t="shared" ca="1" si="17"/>
        <v/>
      </c>
      <c r="AW21">
        <f t="shared" ca="1" si="18"/>
        <v>0</v>
      </c>
      <c r="AX21" t="str">
        <f t="shared" ca="1" si="19"/>
        <v/>
      </c>
      <c r="AY21">
        <f t="shared" ca="1" si="20"/>
        <v>0</v>
      </c>
    </row>
    <row r="22" spans="2:5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>
        <f t="shared" si="1"/>
        <v>1000</v>
      </c>
      <c r="G22" s="56"/>
      <c r="H22" s="56"/>
      <c r="I22" s="56"/>
      <c r="J22" s="56">
        <f t="shared" si="2"/>
        <v>1000</v>
      </c>
      <c r="K22" s="56"/>
      <c r="L22" s="56"/>
      <c r="M22" s="56"/>
      <c r="N22" s="56">
        <f t="shared" si="3"/>
        <v>1000</v>
      </c>
      <c r="O22" s="56"/>
      <c r="P22" s="56"/>
      <c r="Q22" s="56"/>
      <c r="R22" s="56">
        <f t="shared" si="24"/>
        <v>1000</v>
      </c>
      <c r="S22" s="56"/>
      <c r="T22" s="56"/>
      <c r="U22" s="56"/>
      <c r="V22" s="56">
        <f t="shared" si="21"/>
        <v>1000</v>
      </c>
      <c r="W22" s="56"/>
      <c r="X22" s="56"/>
      <c r="Y22" s="56"/>
      <c r="Z22" s="56">
        <f t="shared" si="22"/>
        <v>1000</v>
      </c>
      <c r="AA22" s="56"/>
      <c r="AB22" s="56"/>
      <c r="AC22" s="56"/>
      <c r="AD22" s="56">
        <f t="shared" si="23"/>
        <v>1000</v>
      </c>
      <c r="AE22" s="56"/>
      <c r="AF22" s="56"/>
      <c r="AG22" s="56"/>
      <c r="AH22" s="57">
        <f t="shared" si="5"/>
        <v>7000</v>
      </c>
      <c r="AI22" s="58">
        <f t="shared" si="6"/>
        <v>0</v>
      </c>
      <c r="AK22">
        <v>0</v>
      </c>
      <c r="AL22" t="str">
        <f t="shared" ca="1" si="7"/>
        <v/>
      </c>
      <c r="AM22">
        <f t="shared" ca="1" si="8"/>
        <v>0</v>
      </c>
      <c r="AN22" t="str">
        <f t="shared" ca="1" si="9"/>
        <v/>
      </c>
      <c r="AO22">
        <f t="shared" ca="1" si="10"/>
        <v>0</v>
      </c>
      <c r="AP22" t="str">
        <f t="shared" ca="1" si="11"/>
        <v/>
      </c>
      <c r="AQ22">
        <f t="shared" ca="1" si="12"/>
        <v>0</v>
      </c>
      <c r="AR22" t="str">
        <f t="shared" ca="1" si="13"/>
        <v/>
      </c>
      <c r="AS22">
        <f t="shared" ca="1" si="14"/>
        <v>0</v>
      </c>
      <c r="AT22" t="str">
        <f t="shared" ca="1" si="15"/>
        <v/>
      </c>
      <c r="AU22">
        <f t="shared" ca="1" si="16"/>
        <v>0</v>
      </c>
      <c r="AV22" t="str">
        <f t="shared" ca="1" si="17"/>
        <v/>
      </c>
      <c r="AW22">
        <f t="shared" ca="1" si="18"/>
        <v>0</v>
      </c>
      <c r="AX22" t="str">
        <f t="shared" ca="1" si="19"/>
        <v/>
      </c>
      <c r="AY22">
        <f t="shared" ca="1" si="20"/>
        <v>0</v>
      </c>
    </row>
    <row r="23" spans="2:5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>
        <f t="shared" si="1"/>
        <v>2000</v>
      </c>
      <c r="G23" s="52"/>
      <c r="H23" s="52"/>
      <c r="I23" s="52"/>
      <c r="J23" s="52">
        <f t="shared" si="2"/>
        <v>2000</v>
      </c>
      <c r="K23" s="52"/>
      <c r="L23" s="52"/>
      <c r="M23" s="52"/>
      <c r="N23" s="52">
        <f t="shared" si="3"/>
        <v>2000</v>
      </c>
      <c r="O23" s="52"/>
      <c r="P23" s="52"/>
      <c r="Q23" s="52"/>
      <c r="R23" s="52">
        <f t="shared" si="24"/>
        <v>2000</v>
      </c>
      <c r="S23" s="52"/>
      <c r="T23" s="52"/>
      <c r="U23" s="52"/>
      <c r="V23" s="52">
        <f t="shared" si="21"/>
        <v>2000</v>
      </c>
      <c r="W23" s="52"/>
      <c r="X23" s="52"/>
      <c r="Y23" s="52"/>
      <c r="Z23" s="52">
        <f t="shared" si="22"/>
        <v>2000</v>
      </c>
      <c r="AA23" s="52"/>
      <c r="AB23" s="52"/>
      <c r="AC23" s="52"/>
      <c r="AD23" s="52">
        <f t="shared" si="23"/>
        <v>2000</v>
      </c>
      <c r="AE23" s="52"/>
      <c r="AF23" s="52"/>
      <c r="AG23" s="52"/>
      <c r="AH23" s="53">
        <f t="shared" si="5"/>
        <v>14000</v>
      </c>
      <c r="AI23" s="54">
        <f t="shared" si="6"/>
        <v>0</v>
      </c>
      <c r="AK23">
        <v>0</v>
      </c>
      <c r="AL23" t="str">
        <f t="shared" ca="1" si="7"/>
        <v/>
      </c>
      <c r="AM23">
        <f t="shared" ca="1" si="8"/>
        <v>0</v>
      </c>
      <c r="AN23" t="str">
        <f t="shared" ca="1" si="9"/>
        <v/>
      </c>
      <c r="AO23">
        <f t="shared" ca="1" si="10"/>
        <v>0</v>
      </c>
      <c r="AP23" t="str">
        <f t="shared" ca="1" si="11"/>
        <v/>
      </c>
      <c r="AQ23">
        <f t="shared" ca="1" si="12"/>
        <v>0</v>
      </c>
      <c r="AR23" t="str">
        <f t="shared" ca="1" si="13"/>
        <v/>
      </c>
      <c r="AS23">
        <f t="shared" ca="1" si="14"/>
        <v>0</v>
      </c>
      <c r="AT23" t="str">
        <f t="shared" ca="1" si="15"/>
        <v/>
      </c>
      <c r="AU23">
        <f t="shared" ca="1" si="16"/>
        <v>0</v>
      </c>
      <c r="AV23" t="str">
        <f t="shared" ca="1" si="17"/>
        <v/>
      </c>
      <c r="AW23">
        <f t="shared" ca="1" si="18"/>
        <v>0</v>
      </c>
      <c r="AX23" t="str">
        <f t="shared" ca="1" si="19"/>
        <v/>
      </c>
      <c r="AY23">
        <f t="shared" ca="1" si="20"/>
        <v>0</v>
      </c>
    </row>
    <row r="24" spans="2:5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56">
        <f t="shared" si="1"/>
        <v>1000</v>
      </c>
      <c r="G24" s="56"/>
      <c r="H24" s="56"/>
      <c r="I24" s="56"/>
      <c r="J24" s="56">
        <f t="shared" si="2"/>
        <v>1000</v>
      </c>
      <c r="K24" s="56"/>
      <c r="L24" s="56"/>
      <c r="M24" s="56"/>
      <c r="N24" s="56">
        <f t="shared" si="3"/>
        <v>1000</v>
      </c>
      <c r="O24" s="56"/>
      <c r="P24" s="56"/>
      <c r="Q24" s="56"/>
      <c r="R24" s="56">
        <f t="shared" si="24"/>
        <v>1000</v>
      </c>
      <c r="S24" s="56"/>
      <c r="T24" s="56"/>
      <c r="U24" s="56"/>
      <c r="V24" s="56">
        <f t="shared" si="21"/>
        <v>1000</v>
      </c>
      <c r="W24" s="56"/>
      <c r="X24" s="56"/>
      <c r="Y24" s="56"/>
      <c r="Z24" s="56">
        <f t="shared" si="22"/>
        <v>1000</v>
      </c>
      <c r="AA24" s="56"/>
      <c r="AB24" s="56"/>
      <c r="AC24" s="56"/>
      <c r="AD24" s="56">
        <f t="shared" si="23"/>
        <v>1000</v>
      </c>
      <c r="AE24" s="56"/>
      <c r="AF24" s="56"/>
      <c r="AG24" s="56"/>
      <c r="AH24" s="57">
        <f t="shared" si="5"/>
        <v>7000</v>
      </c>
      <c r="AI24" s="58">
        <f t="shared" si="6"/>
        <v>0</v>
      </c>
      <c r="AK24">
        <v>0</v>
      </c>
      <c r="AL24" t="str">
        <f t="shared" ca="1" si="7"/>
        <v/>
      </c>
      <c r="AM24">
        <f t="shared" ca="1" si="8"/>
        <v>0</v>
      </c>
      <c r="AN24" t="str">
        <f t="shared" ca="1" si="9"/>
        <v/>
      </c>
      <c r="AO24">
        <f t="shared" ca="1" si="10"/>
        <v>0</v>
      </c>
      <c r="AP24" t="str">
        <f t="shared" ca="1" si="11"/>
        <v/>
      </c>
      <c r="AQ24">
        <f t="shared" ca="1" si="12"/>
        <v>0</v>
      </c>
      <c r="AR24" t="str">
        <f t="shared" ca="1" si="13"/>
        <v/>
      </c>
      <c r="AS24">
        <f t="shared" ca="1" si="14"/>
        <v>0</v>
      </c>
      <c r="AT24" t="str">
        <f t="shared" ca="1" si="15"/>
        <v/>
      </c>
      <c r="AU24">
        <f t="shared" ca="1" si="16"/>
        <v>0</v>
      </c>
      <c r="AV24" t="str">
        <f t="shared" ca="1" si="17"/>
        <v/>
      </c>
      <c r="AW24">
        <f t="shared" ca="1" si="18"/>
        <v>0</v>
      </c>
      <c r="AX24" t="str">
        <f t="shared" ca="1" si="19"/>
        <v/>
      </c>
      <c r="AY24">
        <f t="shared" ca="1" si="20"/>
        <v>0</v>
      </c>
    </row>
    <row r="25" spans="2:5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>
        <f t="shared" si="1"/>
        <v>1000</v>
      </c>
      <c r="G25" s="52"/>
      <c r="H25" s="52"/>
      <c r="I25" s="52"/>
      <c r="J25" s="52">
        <f t="shared" si="2"/>
        <v>1000</v>
      </c>
      <c r="K25" s="52"/>
      <c r="L25" s="52"/>
      <c r="M25" s="52"/>
      <c r="N25" s="52">
        <f t="shared" si="3"/>
        <v>1000</v>
      </c>
      <c r="O25" s="52"/>
      <c r="P25" s="52"/>
      <c r="Q25" s="52"/>
      <c r="R25" s="52">
        <f t="shared" si="24"/>
        <v>1000</v>
      </c>
      <c r="S25" s="52"/>
      <c r="T25" s="52"/>
      <c r="U25" s="52"/>
      <c r="V25" s="52">
        <f t="shared" si="21"/>
        <v>1000</v>
      </c>
      <c r="W25" s="52"/>
      <c r="X25" s="52"/>
      <c r="Y25" s="52"/>
      <c r="Z25" s="52">
        <f t="shared" si="22"/>
        <v>1000</v>
      </c>
      <c r="AA25" s="52"/>
      <c r="AB25" s="52"/>
      <c r="AC25" s="52"/>
      <c r="AD25" s="52">
        <f t="shared" si="23"/>
        <v>1000</v>
      </c>
      <c r="AE25" s="52"/>
      <c r="AF25" s="52"/>
      <c r="AG25" s="52"/>
      <c r="AH25" s="53">
        <f t="shared" si="5"/>
        <v>7000</v>
      </c>
      <c r="AI25" s="54">
        <f t="shared" si="6"/>
        <v>0</v>
      </c>
      <c r="AK25">
        <v>0</v>
      </c>
      <c r="AL25" t="str">
        <f t="shared" ca="1" si="7"/>
        <v/>
      </c>
      <c r="AM25">
        <f t="shared" ca="1" si="8"/>
        <v>0</v>
      </c>
      <c r="AN25" t="str">
        <f t="shared" ca="1" si="9"/>
        <v/>
      </c>
      <c r="AO25">
        <f t="shared" ca="1" si="10"/>
        <v>0</v>
      </c>
      <c r="AP25" t="str">
        <f t="shared" ca="1" si="11"/>
        <v/>
      </c>
      <c r="AQ25">
        <f t="shared" ca="1" si="12"/>
        <v>0</v>
      </c>
      <c r="AR25" t="str">
        <f t="shared" ca="1" si="13"/>
        <v/>
      </c>
      <c r="AS25">
        <f t="shared" ca="1" si="14"/>
        <v>0</v>
      </c>
      <c r="AT25" t="str">
        <f t="shared" ca="1" si="15"/>
        <v/>
      </c>
      <c r="AU25">
        <f t="shared" ca="1" si="16"/>
        <v>0</v>
      </c>
      <c r="AV25" t="str">
        <f t="shared" ca="1" si="17"/>
        <v/>
      </c>
      <c r="AW25">
        <f t="shared" ca="1" si="18"/>
        <v>0</v>
      </c>
      <c r="AX25" t="str">
        <f t="shared" ca="1" si="19"/>
        <v/>
      </c>
      <c r="AY25">
        <f t="shared" ca="1" si="20"/>
        <v>0</v>
      </c>
    </row>
    <row r="26" spans="2:5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>
        <f t="shared" si="1"/>
        <v>1000</v>
      </c>
      <c r="G26" s="56"/>
      <c r="H26" s="56"/>
      <c r="I26" s="56"/>
      <c r="J26" s="56">
        <f t="shared" si="2"/>
        <v>1000</v>
      </c>
      <c r="K26" s="56"/>
      <c r="L26" s="56"/>
      <c r="M26" s="56"/>
      <c r="N26" s="56">
        <f t="shared" si="3"/>
        <v>1000</v>
      </c>
      <c r="O26" s="56"/>
      <c r="P26" s="56"/>
      <c r="Q26" s="56"/>
      <c r="R26" s="56">
        <f t="shared" si="24"/>
        <v>1000</v>
      </c>
      <c r="S26" s="56"/>
      <c r="T26" s="56"/>
      <c r="U26" s="56"/>
      <c r="V26" s="241"/>
      <c r="W26" s="56"/>
      <c r="X26" s="56"/>
      <c r="Y26" s="56"/>
      <c r="Z26" s="241"/>
      <c r="AA26" s="56"/>
      <c r="AB26" s="56">
        <v>1000</v>
      </c>
      <c r="AC26" s="56">
        <v>50</v>
      </c>
      <c r="AD26" s="56">
        <f t="shared" si="23"/>
        <v>1000</v>
      </c>
      <c r="AE26" s="56"/>
      <c r="AF26" s="56">
        <v>1000</v>
      </c>
      <c r="AG26" s="56">
        <v>50</v>
      </c>
      <c r="AH26" s="57">
        <f t="shared" si="5"/>
        <v>7000</v>
      </c>
      <c r="AI26" s="58">
        <f t="shared" si="6"/>
        <v>100</v>
      </c>
      <c r="AK26">
        <v>0</v>
      </c>
      <c r="AL26" t="str">
        <f t="shared" ca="1" si="7"/>
        <v/>
      </c>
      <c r="AM26">
        <f t="shared" ca="1" si="8"/>
        <v>0</v>
      </c>
      <c r="AN26" t="str">
        <f t="shared" ca="1" si="9"/>
        <v/>
      </c>
      <c r="AO26">
        <f t="shared" ca="1" si="10"/>
        <v>0</v>
      </c>
      <c r="AP26" t="str">
        <f t="shared" ca="1" si="11"/>
        <v/>
      </c>
      <c r="AQ26">
        <f t="shared" ca="1" si="12"/>
        <v>0</v>
      </c>
      <c r="AR26" t="str">
        <f t="shared" ca="1" si="13"/>
        <v/>
      </c>
      <c r="AS26">
        <f t="shared" ca="1" si="14"/>
        <v>0</v>
      </c>
      <c r="AT26" t="str">
        <f t="shared" ca="1" si="15"/>
        <v>R</v>
      </c>
      <c r="AU26">
        <f t="shared" ca="1" si="16"/>
        <v>0</v>
      </c>
      <c r="AV26" t="str">
        <f t="shared" ca="1" si="17"/>
        <v>R</v>
      </c>
      <c r="AW26">
        <f t="shared" ca="1" si="18"/>
        <v>0</v>
      </c>
      <c r="AX26" t="str">
        <f t="shared" ca="1" si="19"/>
        <v/>
      </c>
      <c r="AY26">
        <f t="shared" ca="1" si="20"/>
        <v>0</v>
      </c>
    </row>
    <row r="27" spans="2:5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>
        <f t="shared" si="1"/>
        <v>1000</v>
      </c>
      <c r="G27" s="52"/>
      <c r="H27" s="52"/>
      <c r="I27" s="52"/>
      <c r="J27" s="52">
        <f t="shared" si="2"/>
        <v>1000</v>
      </c>
      <c r="K27" s="52"/>
      <c r="L27" s="52"/>
      <c r="M27" s="52"/>
      <c r="N27" s="52">
        <f t="shared" si="3"/>
        <v>1000</v>
      </c>
      <c r="O27" s="52"/>
      <c r="P27" s="52"/>
      <c r="Q27" s="52"/>
      <c r="R27" s="52">
        <f t="shared" si="24"/>
        <v>1000</v>
      </c>
      <c r="S27" s="52"/>
      <c r="T27" s="52"/>
      <c r="U27" s="52"/>
      <c r="V27" s="52">
        <f t="shared" ref="V27:V45" si="25">$E27*1000</f>
        <v>1000</v>
      </c>
      <c r="W27" s="52"/>
      <c r="X27" s="52"/>
      <c r="Y27" s="52"/>
      <c r="Z27" s="52">
        <f t="shared" ref="Z27:Z32" si="26">$E27*1000</f>
        <v>1000</v>
      </c>
      <c r="AA27" s="52"/>
      <c r="AB27" s="52"/>
      <c r="AC27" s="52"/>
      <c r="AD27" s="243"/>
      <c r="AE27" s="52"/>
      <c r="AF27" s="52"/>
      <c r="AG27" s="52"/>
      <c r="AH27" s="53">
        <f t="shared" si="5"/>
        <v>6000</v>
      </c>
      <c r="AI27" s="54">
        <f t="shared" si="6"/>
        <v>0</v>
      </c>
      <c r="AK27">
        <v>0</v>
      </c>
      <c r="AL27" t="str">
        <f t="shared" ca="1" si="7"/>
        <v/>
      </c>
      <c r="AM27">
        <f t="shared" ca="1" si="8"/>
        <v>0</v>
      </c>
      <c r="AN27" t="str">
        <f t="shared" ca="1" si="9"/>
        <v/>
      </c>
      <c r="AO27">
        <f t="shared" ca="1" si="10"/>
        <v>0</v>
      </c>
      <c r="AP27" t="str">
        <f t="shared" ca="1" si="11"/>
        <v/>
      </c>
      <c r="AQ27">
        <f t="shared" ca="1" si="12"/>
        <v>0</v>
      </c>
      <c r="AR27" t="str">
        <f t="shared" ca="1" si="13"/>
        <v/>
      </c>
      <c r="AS27">
        <f t="shared" ca="1" si="14"/>
        <v>0</v>
      </c>
      <c r="AT27" t="str">
        <f t="shared" ca="1" si="15"/>
        <v/>
      </c>
      <c r="AU27">
        <f t="shared" ca="1" si="16"/>
        <v>0</v>
      </c>
      <c r="AV27" t="str">
        <f t="shared" ca="1" si="17"/>
        <v/>
      </c>
      <c r="AW27">
        <f t="shared" ca="1" si="18"/>
        <v>0</v>
      </c>
      <c r="AX27" t="str">
        <f t="shared" ca="1" si="19"/>
        <v>R</v>
      </c>
      <c r="AY27">
        <f t="shared" ca="1" si="20"/>
        <v>0</v>
      </c>
    </row>
    <row r="28" spans="2:5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>
        <f t="shared" si="1"/>
        <v>1000</v>
      </c>
      <c r="G28" s="56"/>
      <c r="H28" s="56"/>
      <c r="I28" s="56"/>
      <c r="J28" s="56">
        <f t="shared" si="2"/>
        <v>1000</v>
      </c>
      <c r="K28" s="56"/>
      <c r="L28" s="56"/>
      <c r="M28" s="56"/>
      <c r="N28" s="56">
        <f t="shared" si="3"/>
        <v>1000</v>
      </c>
      <c r="O28" s="56"/>
      <c r="P28" s="56"/>
      <c r="Q28" s="56"/>
      <c r="R28" s="56">
        <f t="shared" si="24"/>
        <v>1000</v>
      </c>
      <c r="S28" s="56"/>
      <c r="T28" s="56"/>
      <c r="U28" s="56"/>
      <c r="V28" s="56">
        <f t="shared" si="25"/>
        <v>1000</v>
      </c>
      <c r="W28" s="56"/>
      <c r="X28" s="56"/>
      <c r="Y28" s="56"/>
      <c r="Z28" s="56">
        <f t="shared" si="26"/>
        <v>1000</v>
      </c>
      <c r="AA28" s="56"/>
      <c r="AB28" s="56"/>
      <c r="AC28" s="56"/>
      <c r="AD28" s="56">
        <f t="shared" ref="AD28:AD34" si="27">$E28*1000</f>
        <v>1000</v>
      </c>
      <c r="AE28" s="56"/>
      <c r="AF28" s="56"/>
      <c r="AG28" s="56"/>
      <c r="AH28" s="57">
        <f t="shared" si="5"/>
        <v>7000</v>
      </c>
      <c r="AI28" s="58">
        <f t="shared" si="6"/>
        <v>0</v>
      </c>
      <c r="AK28">
        <v>0</v>
      </c>
      <c r="AL28" t="str">
        <f t="shared" ca="1" si="7"/>
        <v/>
      </c>
      <c r="AM28">
        <f t="shared" ca="1" si="8"/>
        <v>0</v>
      </c>
      <c r="AN28" t="str">
        <f t="shared" ca="1" si="9"/>
        <v/>
      </c>
      <c r="AO28">
        <f t="shared" ca="1" si="10"/>
        <v>0</v>
      </c>
      <c r="AP28" t="str">
        <f t="shared" ca="1" si="11"/>
        <v/>
      </c>
      <c r="AQ28">
        <f t="shared" ca="1" si="12"/>
        <v>0</v>
      </c>
      <c r="AR28" t="str">
        <f t="shared" ca="1" si="13"/>
        <v/>
      </c>
      <c r="AS28">
        <f t="shared" ca="1" si="14"/>
        <v>0</v>
      </c>
      <c r="AT28" t="str">
        <f t="shared" ca="1" si="15"/>
        <v/>
      </c>
      <c r="AU28">
        <f t="shared" ca="1" si="16"/>
        <v>0</v>
      </c>
      <c r="AV28" t="str">
        <f t="shared" ca="1" si="17"/>
        <v/>
      </c>
      <c r="AW28">
        <f t="shared" ca="1" si="18"/>
        <v>0</v>
      </c>
      <c r="AX28" t="str">
        <f t="shared" ca="1" si="19"/>
        <v/>
      </c>
      <c r="AY28">
        <f t="shared" ca="1" si="20"/>
        <v>0</v>
      </c>
    </row>
    <row r="29" spans="2:5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>
        <f t="shared" si="1"/>
        <v>3000</v>
      </c>
      <c r="G29" s="52"/>
      <c r="H29" s="52"/>
      <c r="I29" s="52"/>
      <c r="J29" s="52">
        <f t="shared" si="2"/>
        <v>3000</v>
      </c>
      <c r="K29" s="52"/>
      <c r="L29" s="52"/>
      <c r="M29" s="52"/>
      <c r="N29" s="52">
        <f t="shared" si="3"/>
        <v>3000</v>
      </c>
      <c r="O29" s="52"/>
      <c r="P29" s="52"/>
      <c r="Q29" s="52"/>
      <c r="R29" s="52">
        <f t="shared" si="24"/>
        <v>3000</v>
      </c>
      <c r="S29" s="52"/>
      <c r="T29" s="52"/>
      <c r="U29" s="52"/>
      <c r="V29" s="52">
        <f t="shared" si="25"/>
        <v>3000</v>
      </c>
      <c r="W29" s="52"/>
      <c r="X29" s="52"/>
      <c r="Y29" s="52"/>
      <c r="Z29" s="52">
        <f t="shared" si="26"/>
        <v>3000</v>
      </c>
      <c r="AA29" s="52"/>
      <c r="AB29" s="52"/>
      <c r="AC29" s="52"/>
      <c r="AD29" s="52">
        <f t="shared" si="27"/>
        <v>3000</v>
      </c>
      <c r="AE29" s="52"/>
      <c r="AF29" s="52"/>
      <c r="AG29" s="52"/>
      <c r="AH29" s="53">
        <f t="shared" si="5"/>
        <v>21000</v>
      </c>
      <c r="AI29" s="54">
        <f t="shared" si="6"/>
        <v>0</v>
      </c>
      <c r="AK29">
        <v>0</v>
      </c>
      <c r="AL29" t="str">
        <f t="shared" ca="1" si="7"/>
        <v/>
      </c>
      <c r="AM29">
        <f t="shared" ca="1" si="8"/>
        <v>0</v>
      </c>
      <c r="AN29" t="str">
        <f t="shared" ca="1" si="9"/>
        <v/>
      </c>
      <c r="AO29">
        <f t="shared" ca="1" si="10"/>
        <v>0</v>
      </c>
      <c r="AP29" t="str">
        <f t="shared" ca="1" si="11"/>
        <v/>
      </c>
      <c r="AQ29">
        <f t="shared" ca="1" si="12"/>
        <v>0</v>
      </c>
      <c r="AR29" t="str">
        <f t="shared" ca="1" si="13"/>
        <v/>
      </c>
      <c r="AS29">
        <f t="shared" ca="1" si="14"/>
        <v>0</v>
      </c>
      <c r="AT29" t="str">
        <f t="shared" ca="1" si="15"/>
        <v/>
      </c>
      <c r="AU29">
        <f t="shared" ca="1" si="16"/>
        <v>0</v>
      </c>
      <c r="AV29" t="str">
        <f t="shared" ca="1" si="17"/>
        <v/>
      </c>
      <c r="AW29">
        <f t="shared" ca="1" si="18"/>
        <v>0</v>
      </c>
      <c r="AX29" t="str">
        <f t="shared" ca="1" si="19"/>
        <v/>
      </c>
      <c r="AY29">
        <f t="shared" ca="1" si="20"/>
        <v>0</v>
      </c>
    </row>
    <row r="30" spans="2:5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>
        <f t="shared" si="1"/>
        <v>1000</v>
      </c>
      <c r="G30" s="56"/>
      <c r="H30" s="56"/>
      <c r="I30" s="56"/>
      <c r="J30" s="56">
        <f t="shared" si="2"/>
        <v>1000</v>
      </c>
      <c r="K30" s="56"/>
      <c r="L30" s="56"/>
      <c r="M30" s="56"/>
      <c r="N30" s="56">
        <f t="shared" si="3"/>
        <v>1000</v>
      </c>
      <c r="O30" s="56"/>
      <c r="P30" s="56"/>
      <c r="Q30" s="56"/>
      <c r="R30" s="56">
        <f t="shared" si="24"/>
        <v>1000</v>
      </c>
      <c r="S30" s="56"/>
      <c r="T30" s="56"/>
      <c r="U30" s="56">
        <v>50</v>
      </c>
      <c r="V30" s="56">
        <f t="shared" si="25"/>
        <v>1000</v>
      </c>
      <c r="W30" s="56"/>
      <c r="X30" s="56"/>
      <c r="Y30" s="56"/>
      <c r="Z30" s="56">
        <f t="shared" si="26"/>
        <v>1000</v>
      </c>
      <c r="AA30" s="56"/>
      <c r="AB30" s="56"/>
      <c r="AC30" s="56"/>
      <c r="AD30" s="56">
        <f t="shared" si="27"/>
        <v>1000</v>
      </c>
      <c r="AE30" s="56"/>
      <c r="AF30" s="56"/>
      <c r="AG30" s="56"/>
      <c r="AH30" s="57">
        <f t="shared" si="5"/>
        <v>7000</v>
      </c>
      <c r="AI30" s="58">
        <f t="shared" si="6"/>
        <v>50</v>
      </c>
      <c r="AK30">
        <v>0</v>
      </c>
      <c r="AL30" t="str">
        <f t="shared" ca="1" si="7"/>
        <v/>
      </c>
      <c r="AM30">
        <f t="shared" ca="1" si="8"/>
        <v>0</v>
      </c>
      <c r="AN30" t="str">
        <f t="shared" ca="1" si="9"/>
        <v/>
      </c>
      <c r="AO30">
        <f t="shared" ca="1" si="10"/>
        <v>0</v>
      </c>
      <c r="AP30" t="str">
        <f t="shared" ca="1" si="11"/>
        <v/>
      </c>
      <c r="AQ30">
        <f t="shared" ca="1" si="12"/>
        <v>0</v>
      </c>
      <c r="AR30" t="str">
        <f t="shared" ca="1" si="13"/>
        <v/>
      </c>
      <c r="AS30">
        <f t="shared" ca="1" si="14"/>
        <v>0</v>
      </c>
      <c r="AT30" t="str">
        <f t="shared" ca="1" si="15"/>
        <v/>
      </c>
      <c r="AU30">
        <f t="shared" ca="1" si="16"/>
        <v>0</v>
      </c>
      <c r="AV30" t="str">
        <f t="shared" ca="1" si="17"/>
        <v/>
      </c>
      <c r="AW30">
        <f t="shared" ca="1" si="18"/>
        <v>0</v>
      </c>
      <c r="AX30" t="str">
        <f t="shared" ca="1" si="19"/>
        <v/>
      </c>
      <c r="AY30">
        <f t="shared" ca="1" si="20"/>
        <v>0</v>
      </c>
    </row>
    <row r="31" spans="2:5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>
        <f t="shared" si="1"/>
        <v>1000</v>
      </c>
      <c r="G31" s="52"/>
      <c r="H31" s="52"/>
      <c r="I31" s="52"/>
      <c r="J31" s="52">
        <f t="shared" si="2"/>
        <v>1000</v>
      </c>
      <c r="K31" s="52"/>
      <c r="L31" s="52"/>
      <c r="M31" s="52"/>
      <c r="N31" s="52">
        <f t="shared" si="3"/>
        <v>1000</v>
      </c>
      <c r="O31" s="52"/>
      <c r="P31" s="52"/>
      <c r="Q31" s="52"/>
      <c r="R31" s="52">
        <f t="shared" si="24"/>
        <v>1000</v>
      </c>
      <c r="S31" s="52"/>
      <c r="T31" s="52"/>
      <c r="U31" s="52"/>
      <c r="V31" s="52">
        <f t="shared" si="25"/>
        <v>1000</v>
      </c>
      <c r="W31" s="52"/>
      <c r="X31" s="52"/>
      <c r="Y31" s="52"/>
      <c r="Z31" s="52">
        <f t="shared" si="26"/>
        <v>1000</v>
      </c>
      <c r="AA31" s="52"/>
      <c r="AB31" s="52"/>
      <c r="AC31" s="52"/>
      <c r="AD31" s="52">
        <f t="shared" si="27"/>
        <v>1000</v>
      </c>
      <c r="AE31" s="52"/>
      <c r="AF31" s="52"/>
      <c r="AG31" s="52"/>
      <c r="AH31" s="53">
        <f t="shared" si="5"/>
        <v>7000</v>
      </c>
      <c r="AI31" s="54">
        <f t="shared" si="6"/>
        <v>0</v>
      </c>
      <c r="AK31">
        <v>0</v>
      </c>
      <c r="AL31" t="str">
        <f t="shared" ca="1" si="7"/>
        <v/>
      </c>
      <c r="AM31">
        <f t="shared" ca="1" si="8"/>
        <v>0</v>
      </c>
      <c r="AN31" t="str">
        <f t="shared" ca="1" si="9"/>
        <v/>
      </c>
      <c r="AO31">
        <f t="shared" ca="1" si="10"/>
        <v>0</v>
      </c>
      <c r="AP31" t="str">
        <f t="shared" ca="1" si="11"/>
        <v/>
      </c>
      <c r="AQ31">
        <f t="shared" ca="1" si="12"/>
        <v>0</v>
      </c>
      <c r="AR31" t="str">
        <f t="shared" ca="1" si="13"/>
        <v/>
      </c>
      <c r="AS31">
        <f t="shared" ca="1" si="14"/>
        <v>0</v>
      </c>
      <c r="AT31" t="str">
        <f t="shared" ca="1" si="15"/>
        <v/>
      </c>
      <c r="AU31">
        <f t="shared" ca="1" si="16"/>
        <v>0</v>
      </c>
      <c r="AV31" t="str">
        <f t="shared" ca="1" si="17"/>
        <v/>
      </c>
      <c r="AW31">
        <f t="shared" ca="1" si="18"/>
        <v>0</v>
      </c>
      <c r="AX31" t="str">
        <f t="shared" ca="1" si="19"/>
        <v/>
      </c>
      <c r="AY31">
        <f t="shared" ca="1" si="20"/>
        <v>0</v>
      </c>
    </row>
    <row r="32" spans="2:5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>
        <f t="shared" si="1"/>
        <v>1000</v>
      </c>
      <c r="G32" s="56"/>
      <c r="H32" s="56"/>
      <c r="I32" s="56"/>
      <c r="J32" s="56">
        <f t="shared" si="2"/>
        <v>1000</v>
      </c>
      <c r="K32" s="56"/>
      <c r="L32" s="56"/>
      <c r="M32" s="56"/>
      <c r="N32" s="56">
        <f t="shared" si="3"/>
        <v>1000</v>
      </c>
      <c r="O32" s="56"/>
      <c r="P32" s="56"/>
      <c r="Q32" s="56"/>
      <c r="R32" s="56">
        <f t="shared" si="24"/>
        <v>1000</v>
      </c>
      <c r="S32" s="56"/>
      <c r="T32" s="56"/>
      <c r="U32" s="56"/>
      <c r="V32" s="56">
        <f t="shared" si="25"/>
        <v>1000</v>
      </c>
      <c r="W32" s="56"/>
      <c r="X32" s="56"/>
      <c r="Y32" s="56"/>
      <c r="Z32" s="56">
        <f t="shared" si="26"/>
        <v>1000</v>
      </c>
      <c r="AA32" s="56"/>
      <c r="AB32" s="56"/>
      <c r="AC32" s="56"/>
      <c r="AD32" s="56">
        <f t="shared" si="27"/>
        <v>1000</v>
      </c>
      <c r="AE32" s="56"/>
      <c r="AF32" s="56"/>
      <c r="AG32" s="56"/>
      <c r="AH32" s="57">
        <f t="shared" si="5"/>
        <v>7000</v>
      </c>
      <c r="AI32" s="58">
        <f t="shared" si="6"/>
        <v>0</v>
      </c>
      <c r="AK32">
        <v>0</v>
      </c>
      <c r="AL32" t="str">
        <f t="shared" ca="1" si="7"/>
        <v/>
      </c>
      <c r="AM32">
        <f t="shared" ca="1" si="8"/>
        <v>0</v>
      </c>
      <c r="AN32" t="str">
        <f t="shared" ca="1" si="9"/>
        <v/>
      </c>
      <c r="AO32">
        <f t="shared" ca="1" si="10"/>
        <v>0</v>
      </c>
      <c r="AP32" t="str">
        <f t="shared" ca="1" si="11"/>
        <v/>
      </c>
      <c r="AQ32">
        <f t="shared" ca="1" si="12"/>
        <v>0</v>
      </c>
      <c r="AR32" t="str">
        <f t="shared" ca="1" si="13"/>
        <v/>
      </c>
      <c r="AS32">
        <f t="shared" ca="1" si="14"/>
        <v>0</v>
      </c>
      <c r="AT32" t="str">
        <f t="shared" ca="1" si="15"/>
        <v/>
      </c>
      <c r="AU32">
        <f t="shared" ca="1" si="16"/>
        <v>0</v>
      </c>
      <c r="AV32" t="str">
        <f t="shared" ca="1" si="17"/>
        <v/>
      </c>
      <c r="AW32">
        <f t="shared" ca="1" si="18"/>
        <v>0</v>
      </c>
      <c r="AX32" t="str">
        <f t="shared" ca="1" si="19"/>
        <v/>
      </c>
      <c r="AY32">
        <f t="shared" ca="1" si="20"/>
        <v>0</v>
      </c>
    </row>
    <row r="33" spans="2:5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>
        <f t="shared" si="1"/>
        <v>2000</v>
      </c>
      <c r="G33" s="52"/>
      <c r="H33" s="52"/>
      <c r="I33" s="52"/>
      <c r="J33" s="52">
        <f t="shared" si="2"/>
        <v>2000</v>
      </c>
      <c r="K33" s="52"/>
      <c r="L33" s="52"/>
      <c r="M33" s="52"/>
      <c r="N33" s="52">
        <f t="shared" si="3"/>
        <v>2000</v>
      </c>
      <c r="O33" s="52"/>
      <c r="P33" s="52"/>
      <c r="Q33" s="52"/>
      <c r="R33" s="52">
        <f t="shared" si="24"/>
        <v>2000</v>
      </c>
      <c r="S33" s="52"/>
      <c r="T33" s="52"/>
      <c r="U33" s="52"/>
      <c r="V33" s="52">
        <f t="shared" si="25"/>
        <v>2000</v>
      </c>
      <c r="W33" s="52"/>
      <c r="X33" s="52"/>
      <c r="Y33" s="52"/>
      <c r="Z33" s="243"/>
      <c r="AA33" s="52"/>
      <c r="AB33" s="52"/>
      <c r="AC33" s="52"/>
      <c r="AD33" s="52">
        <f t="shared" si="27"/>
        <v>2000</v>
      </c>
      <c r="AE33" s="52"/>
      <c r="AF33" s="52">
        <v>2000</v>
      </c>
      <c r="AG33" s="52">
        <v>100</v>
      </c>
      <c r="AH33" s="53">
        <f t="shared" si="5"/>
        <v>14000</v>
      </c>
      <c r="AI33" s="54">
        <f t="shared" si="6"/>
        <v>100</v>
      </c>
      <c r="AK33">
        <v>0</v>
      </c>
      <c r="AL33" t="str">
        <f t="shared" ca="1" si="7"/>
        <v/>
      </c>
      <c r="AM33">
        <f t="shared" ca="1" si="8"/>
        <v>0</v>
      </c>
      <c r="AN33" t="str">
        <f t="shared" ca="1" si="9"/>
        <v/>
      </c>
      <c r="AO33">
        <f t="shared" ca="1" si="10"/>
        <v>0</v>
      </c>
      <c r="AP33" t="str">
        <f t="shared" ca="1" si="11"/>
        <v/>
      </c>
      <c r="AQ33">
        <f t="shared" ca="1" si="12"/>
        <v>0</v>
      </c>
      <c r="AR33" t="str">
        <f t="shared" ca="1" si="13"/>
        <v/>
      </c>
      <c r="AS33">
        <f t="shared" ca="1" si="14"/>
        <v>0</v>
      </c>
      <c r="AT33" t="str">
        <f t="shared" ca="1" si="15"/>
        <v/>
      </c>
      <c r="AU33">
        <f t="shared" ca="1" si="16"/>
        <v>0</v>
      </c>
      <c r="AV33" t="str">
        <f t="shared" ca="1" si="17"/>
        <v>R</v>
      </c>
      <c r="AW33">
        <f t="shared" ca="1" si="18"/>
        <v>0</v>
      </c>
      <c r="AX33" t="str">
        <f t="shared" ca="1" si="19"/>
        <v/>
      </c>
      <c r="AY33">
        <f t="shared" ca="1" si="20"/>
        <v>0</v>
      </c>
    </row>
    <row r="34" spans="2:5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>
        <f t="shared" si="1"/>
        <v>2000</v>
      </c>
      <c r="G34" s="56"/>
      <c r="H34" s="56"/>
      <c r="I34" s="56"/>
      <c r="J34" s="56">
        <f t="shared" si="2"/>
        <v>2000</v>
      </c>
      <c r="K34" s="56"/>
      <c r="L34" s="56"/>
      <c r="M34" s="56"/>
      <c r="N34" s="56">
        <f t="shared" si="3"/>
        <v>2000</v>
      </c>
      <c r="O34" s="56"/>
      <c r="P34" s="56"/>
      <c r="Q34" s="56"/>
      <c r="R34" s="56">
        <f t="shared" si="24"/>
        <v>2000</v>
      </c>
      <c r="S34" s="56"/>
      <c r="T34" s="56"/>
      <c r="U34" s="56"/>
      <c r="V34" s="56">
        <f t="shared" si="25"/>
        <v>2000</v>
      </c>
      <c r="W34" s="56"/>
      <c r="X34" s="56"/>
      <c r="Y34" s="56"/>
      <c r="Z34" s="56">
        <f t="shared" ref="Z34:Z41" si="28">$E34*1000</f>
        <v>2000</v>
      </c>
      <c r="AA34" s="56"/>
      <c r="AB34" s="56"/>
      <c r="AC34" s="56"/>
      <c r="AD34" s="56">
        <f t="shared" si="27"/>
        <v>2000</v>
      </c>
      <c r="AE34" s="56"/>
      <c r="AF34" s="56"/>
      <c r="AG34" s="56"/>
      <c r="AH34" s="57">
        <f t="shared" si="5"/>
        <v>14000</v>
      </c>
      <c r="AI34" s="58">
        <f t="shared" si="6"/>
        <v>0</v>
      </c>
      <c r="AK34">
        <v>0</v>
      </c>
      <c r="AL34" t="str">
        <f t="shared" ca="1" si="7"/>
        <v/>
      </c>
      <c r="AM34">
        <f t="shared" ca="1" si="8"/>
        <v>0</v>
      </c>
      <c r="AN34" t="str">
        <f t="shared" ca="1" si="9"/>
        <v/>
      </c>
      <c r="AO34">
        <f t="shared" ca="1" si="10"/>
        <v>0</v>
      </c>
      <c r="AP34" t="str">
        <f t="shared" ca="1" si="11"/>
        <v/>
      </c>
      <c r="AQ34">
        <f t="shared" ca="1" si="12"/>
        <v>0</v>
      </c>
      <c r="AR34" t="str">
        <f t="shared" ca="1" si="13"/>
        <v/>
      </c>
      <c r="AS34">
        <f t="shared" ca="1" si="14"/>
        <v>0</v>
      </c>
      <c r="AT34" t="str">
        <f t="shared" ca="1" si="15"/>
        <v/>
      </c>
      <c r="AU34">
        <f t="shared" ca="1" si="16"/>
        <v>0</v>
      </c>
      <c r="AV34" t="str">
        <f t="shared" ca="1" si="17"/>
        <v/>
      </c>
      <c r="AW34">
        <f t="shared" ca="1" si="18"/>
        <v>0</v>
      </c>
      <c r="AX34" t="str">
        <f t="shared" ca="1" si="19"/>
        <v/>
      </c>
      <c r="AY34">
        <f t="shared" ca="1" si="20"/>
        <v>0</v>
      </c>
    </row>
    <row r="35" spans="2:5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52">
        <f t="shared" si="1"/>
        <v>2000</v>
      </c>
      <c r="G35" s="52"/>
      <c r="H35" s="52"/>
      <c r="I35" s="52"/>
      <c r="J35" s="52">
        <f t="shared" si="2"/>
        <v>2000</v>
      </c>
      <c r="K35" s="52"/>
      <c r="L35" s="52"/>
      <c r="M35" s="52"/>
      <c r="N35" s="52">
        <f t="shared" si="3"/>
        <v>2000</v>
      </c>
      <c r="O35" s="52"/>
      <c r="P35" s="52"/>
      <c r="Q35" s="52"/>
      <c r="R35" s="52">
        <f t="shared" si="24"/>
        <v>2000</v>
      </c>
      <c r="S35" s="52"/>
      <c r="T35" s="52"/>
      <c r="U35" s="52"/>
      <c r="V35" s="52">
        <f t="shared" si="25"/>
        <v>2000</v>
      </c>
      <c r="W35" s="52"/>
      <c r="X35" s="52"/>
      <c r="Y35" s="52"/>
      <c r="Z35" s="52">
        <f t="shared" si="28"/>
        <v>2000</v>
      </c>
      <c r="AA35" s="52"/>
      <c r="AB35" s="52"/>
      <c r="AC35" s="52"/>
      <c r="AD35" s="243"/>
      <c r="AE35" s="52"/>
      <c r="AF35" s="52"/>
      <c r="AG35" s="52"/>
      <c r="AH35" s="53">
        <f t="shared" si="5"/>
        <v>12000</v>
      </c>
      <c r="AI35" s="54">
        <f t="shared" si="6"/>
        <v>0</v>
      </c>
      <c r="AK35">
        <v>0</v>
      </c>
      <c r="AL35" t="str">
        <f t="shared" ca="1" si="7"/>
        <v/>
      </c>
      <c r="AM35">
        <f t="shared" ca="1" si="8"/>
        <v>0</v>
      </c>
      <c r="AN35" t="str">
        <f t="shared" ca="1" si="9"/>
        <v/>
      </c>
      <c r="AO35">
        <f t="shared" ca="1" si="10"/>
        <v>0</v>
      </c>
      <c r="AP35" t="str">
        <f t="shared" ca="1" si="11"/>
        <v/>
      </c>
      <c r="AQ35">
        <f t="shared" ca="1" si="12"/>
        <v>0</v>
      </c>
      <c r="AR35" t="str">
        <f t="shared" ca="1" si="13"/>
        <v/>
      </c>
      <c r="AS35">
        <f t="shared" ca="1" si="14"/>
        <v>0</v>
      </c>
      <c r="AT35" t="str">
        <f t="shared" ca="1" si="15"/>
        <v/>
      </c>
      <c r="AU35">
        <f t="shared" ca="1" si="16"/>
        <v>0</v>
      </c>
      <c r="AV35" t="str">
        <f t="shared" ca="1" si="17"/>
        <v/>
      </c>
      <c r="AW35">
        <f t="shared" ca="1" si="18"/>
        <v>0</v>
      </c>
      <c r="AX35" t="str">
        <f t="shared" ca="1" si="19"/>
        <v>R</v>
      </c>
      <c r="AY35">
        <f t="shared" ca="1" si="20"/>
        <v>0</v>
      </c>
    </row>
    <row r="36" spans="2:51" ht="14.25" customHeight="1" x14ac:dyDescent="0.3">
      <c r="B36" s="55">
        <f t="shared" ref="B36:B67" si="29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>
        <f t="shared" ref="F36:F67" si="30">$E36*1000</f>
        <v>1000</v>
      </c>
      <c r="G36" s="56"/>
      <c r="H36" s="56"/>
      <c r="I36" s="56"/>
      <c r="J36" s="56">
        <f t="shared" ref="J36:J67" si="31">$E36*1000</f>
        <v>1000</v>
      </c>
      <c r="K36" s="56"/>
      <c r="L36" s="56"/>
      <c r="M36" s="56"/>
      <c r="N36" s="56">
        <f t="shared" ref="N36:N64" si="32">$E36*1000</f>
        <v>1000</v>
      </c>
      <c r="O36" s="56"/>
      <c r="P36" s="56"/>
      <c r="Q36" s="56"/>
      <c r="R36" s="241"/>
      <c r="S36" s="56"/>
      <c r="T36" s="56"/>
      <c r="U36" s="56"/>
      <c r="V36" s="56">
        <f t="shared" si="25"/>
        <v>1000</v>
      </c>
      <c r="W36" s="56"/>
      <c r="X36" s="56">
        <v>1000</v>
      </c>
      <c r="Y36" s="56">
        <v>50</v>
      </c>
      <c r="Z36" s="56">
        <f t="shared" si="28"/>
        <v>1000</v>
      </c>
      <c r="AA36" s="56"/>
      <c r="AB36" s="56"/>
      <c r="AC36" s="56"/>
      <c r="AD36" s="241"/>
      <c r="AE36" s="56"/>
      <c r="AF36" s="56"/>
      <c r="AG36" s="56"/>
      <c r="AH36" s="57">
        <f t="shared" ref="AH36:AH67" si="33">F36+G36+H36+J36+K36+L36+N36+O36+P36+R36+S36+T36+V36+W36+X36+Z36+AA36+AB36+AD36+AE36+AF36</f>
        <v>6000</v>
      </c>
      <c r="AI36" s="58">
        <f t="shared" ref="AI36:AI67" si="34">I36+M36+Q36+U36+Y36+AC36+AG36</f>
        <v>50</v>
      </c>
      <c r="AK36">
        <v>0</v>
      </c>
      <c r="AL36" t="str">
        <f t="shared" ref="AL36:AL67" ca="1" si="35">IF(N(F36)&gt;=$E36*1000,"",IF(AND($E36&gt;0,AK36&gt;=$E36*1000),"G",IF(F$2&lt;=TODAY(),"R","")))</f>
        <v/>
      </c>
      <c r="AM36">
        <f t="shared" ref="AM36:AM67" ca="1" si="36">AK36-IF(AL36="G",$E36*1000,0)+N(G36)</f>
        <v>0</v>
      </c>
      <c r="AN36" t="str">
        <f t="shared" ref="AN36:AN67" ca="1" si="37">IF(N(J36)&gt;=$E36*1000,"",IF(AND($E36&gt;0,AM36&gt;=$E36*1000),"G",IF(J$2&lt;=TODAY(),"R","")))</f>
        <v/>
      </c>
      <c r="AO36">
        <f t="shared" ref="AO36:AO67" ca="1" si="38">AM36-IF(AN36="G",$E36*1000,0)+N(K36)</f>
        <v>0</v>
      </c>
      <c r="AP36" t="str">
        <f t="shared" ref="AP36:AP67" ca="1" si="39">IF(N(N36)&gt;=$E36*1000,"",IF(AND($E36&gt;0,AO36&gt;=$E36*1000),"G",IF(N$2&lt;=TODAY(),"R","")))</f>
        <v/>
      </c>
      <c r="AQ36">
        <f t="shared" ref="AQ36:AQ67" ca="1" si="40">AO36-IF(AP36="G",$E36*1000,0)+N(O36)</f>
        <v>0</v>
      </c>
      <c r="AR36" t="str">
        <f t="shared" ref="AR36:AR67" ca="1" si="41">IF(N(R36)&gt;=$E36*1000,"",IF(AND($E36&gt;0,AQ36&gt;=$E36*1000),"G",IF(R$2&lt;=TODAY(),"R","")))</f>
        <v>R</v>
      </c>
      <c r="AS36">
        <f t="shared" ref="AS36:AS67" ca="1" si="42">AQ36-IF(AR36="G",$E36*1000,0)+N(S36)</f>
        <v>0</v>
      </c>
      <c r="AT36" t="str">
        <f t="shared" ref="AT36:AT67" ca="1" si="43">IF(N(V36)&gt;=$E36*1000,"",IF(AND($E36&gt;0,AS36&gt;=$E36*1000),"G",IF(V$2&lt;=TODAY(),"R","")))</f>
        <v/>
      </c>
      <c r="AU36">
        <f t="shared" ref="AU36:AU67" ca="1" si="44">AS36-IF(AT36="G",$E36*1000,0)+N(W36)</f>
        <v>0</v>
      </c>
      <c r="AV36" t="str">
        <f t="shared" ref="AV36:AV67" ca="1" si="45">IF(N(Z36)&gt;=$E36*1000,"",IF(AND($E36&gt;0,AU36&gt;=$E36*1000),"G",IF(Z$2&lt;=TODAY(),"R","")))</f>
        <v/>
      </c>
      <c r="AW36">
        <f t="shared" ref="AW36:AW67" ca="1" si="46">AU36-IF(AV36="G",$E36*1000,0)+N(AA36)</f>
        <v>0</v>
      </c>
      <c r="AX36" t="str">
        <f t="shared" ref="AX36:AX67" ca="1" si="47">IF(N(AD36)&gt;=$E36*1000,"",IF(AND($E36&gt;0,AW36&gt;=$E36*1000),"G",IF(AD$2&lt;=TODAY(),"R","")))</f>
        <v>R</v>
      </c>
      <c r="AY36">
        <f t="shared" ref="AY36:AY67" ca="1" si="48">AW36-IF(AX36="G",$E36*1000,0)+N(AE36)</f>
        <v>0</v>
      </c>
    </row>
    <row r="37" spans="2:51" ht="14.25" customHeight="1" x14ac:dyDescent="0.3">
      <c r="B37" s="51">
        <f t="shared" si="29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>
        <f t="shared" si="30"/>
        <v>1000</v>
      </c>
      <c r="G37" s="52"/>
      <c r="H37" s="52"/>
      <c r="I37" s="52"/>
      <c r="J37" s="52">
        <f t="shared" si="31"/>
        <v>1000</v>
      </c>
      <c r="K37" s="52"/>
      <c r="L37" s="52"/>
      <c r="M37" s="52"/>
      <c r="N37" s="52">
        <f t="shared" si="32"/>
        <v>1000</v>
      </c>
      <c r="O37" s="52"/>
      <c r="P37" s="52"/>
      <c r="Q37" s="52"/>
      <c r="R37" s="52">
        <f t="shared" ref="R37:R65" si="49">$E37*1000</f>
        <v>1000</v>
      </c>
      <c r="S37" s="52"/>
      <c r="T37" s="52"/>
      <c r="U37" s="52"/>
      <c r="V37" s="52">
        <f t="shared" si="25"/>
        <v>1000</v>
      </c>
      <c r="W37" s="52"/>
      <c r="X37" s="52"/>
      <c r="Y37" s="52"/>
      <c r="Z37" s="52">
        <f t="shared" si="28"/>
        <v>1000</v>
      </c>
      <c r="AA37" s="52"/>
      <c r="AB37" s="52"/>
      <c r="AC37" s="52"/>
      <c r="AD37" s="52">
        <f t="shared" ref="AD37:AD45" si="50">$E37*1000</f>
        <v>1000</v>
      </c>
      <c r="AE37" s="52"/>
      <c r="AF37" s="52"/>
      <c r="AG37" s="52"/>
      <c r="AH37" s="53">
        <f t="shared" si="33"/>
        <v>7000</v>
      </c>
      <c r="AI37" s="54">
        <f t="shared" si="34"/>
        <v>0</v>
      </c>
      <c r="AK37">
        <v>0</v>
      </c>
      <c r="AL37" t="str">
        <f t="shared" ca="1" si="35"/>
        <v/>
      </c>
      <c r="AM37">
        <f t="shared" ca="1" si="36"/>
        <v>0</v>
      </c>
      <c r="AN37" t="str">
        <f t="shared" ca="1" si="37"/>
        <v/>
      </c>
      <c r="AO37">
        <f t="shared" ca="1" si="38"/>
        <v>0</v>
      </c>
      <c r="AP37" t="str">
        <f t="shared" ca="1" si="39"/>
        <v/>
      </c>
      <c r="AQ37">
        <f t="shared" ca="1" si="40"/>
        <v>0</v>
      </c>
      <c r="AR37" t="str">
        <f t="shared" ca="1" si="41"/>
        <v/>
      </c>
      <c r="AS37">
        <f t="shared" ca="1" si="42"/>
        <v>0</v>
      </c>
      <c r="AT37" t="str">
        <f t="shared" ca="1" si="43"/>
        <v/>
      </c>
      <c r="AU37">
        <f t="shared" ca="1" si="44"/>
        <v>0</v>
      </c>
      <c r="AV37" t="str">
        <f t="shared" ca="1" si="45"/>
        <v/>
      </c>
      <c r="AW37">
        <f t="shared" ca="1" si="46"/>
        <v>0</v>
      </c>
      <c r="AX37" t="str">
        <f t="shared" ca="1" si="47"/>
        <v/>
      </c>
      <c r="AY37">
        <f t="shared" ca="1" si="48"/>
        <v>0</v>
      </c>
    </row>
    <row r="38" spans="2:51" ht="14.25" customHeight="1" x14ac:dyDescent="0.3">
      <c r="B38" s="55">
        <f t="shared" si="29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>
        <f t="shared" si="30"/>
        <v>2000</v>
      </c>
      <c r="G38" s="56"/>
      <c r="H38" s="56"/>
      <c r="I38" s="56"/>
      <c r="J38" s="56">
        <f t="shared" si="31"/>
        <v>2000</v>
      </c>
      <c r="K38" s="56"/>
      <c r="L38" s="56"/>
      <c r="M38" s="56"/>
      <c r="N38" s="56">
        <f t="shared" si="32"/>
        <v>2000</v>
      </c>
      <c r="O38" s="56"/>
      <c r="P38" s="56"/>
      <c r="Q38" s="56"/>
      <c r="R38" s="56">
        <f t="shared" si="49"/>
        <v>2000</v>
      </c>
      <c r="S38" s="56"/>
      <c r="T38" s="56"/>
      <c r="U38" s="56"/>
      <c r="V38" s="56">
        <f t="shared" si="25"/>
        <v>2000</v>
      </c>
      <c r="W38" s="56"/>
      <c r="X38" s="56"/>
      <c r="Y38" s="56"/>
      <c r="Z38" s="56">
        <f t="shared" si="28"/>
        <v>2000</v>
      </c>
      <c r="AA38" s="56"/>
      <c r="AB38" s="56"/>
      <c r="AC38" s="56"/>
      <c r="AD38" s="56">
        <f t="shared" si="50"/>
        <v>2000</v>
      </c>
      <c r="AE38" s="56"/>
      <c r="AF38" s="56"/>
      <c r="AG38" s="56"/>
      <c r="AH38" s="57">
        <f t="shared" si="33"/>
        <v>14000</v>
      </c>
      <c r="AI38" s="58">
        <f t="shared" si="34"/>
        <v>0</v>
      </c>
      <c r="AK38">
        <v>0</v>
      </c>
      <c r="AL38" t="str">
        <f t="shared" ca="1" si="35"/>
        <v/>
      </c>
      <c r="AM38">
        <f t="shared" ca="1" si="36"/>
        <v>0</v>
      </c>
      <c r="AN38" t="str">
        <f t="shared" ca="1" si="37"/>
        <v/>
      </c>
      <c r="AO38">
        <f t="shared" ca="1" si="38"/>
        <v>0</v>
      </c>
      <c r="AP38" t="str">
        <f t="shared" ca="1" si="39"/>
        <v/>
      </c>
      <c r="AQ38">
        <f t="shared" ca="1" si="40"/>
        <v>0</v>
      </c>
      <c r="AR38" t="str">
        <f t="shared" ca="1" si="41"/>
        <v/>
      </c>
      <c r="AS38">
        <f t="shared" ca="1" si="42"/>
        <v>0</v>
      </c>
      <c r="AT38" t="str">
        <f t="shared" ca="1" si="43"/>
        <v/>
      </c>
      <c r="AU38">
        <f t="shared" ca="1" si="44"/>
        <v>0</v>
      </c>
      <c r="AV38" t="str">
        <f t="shared" ca="1" si="45"/>
        <v/>
      </c>
      <c r="AW38">
        <f t="shared" ca="1" si="46"/>
        <v>0</v>
      </c>
      <c r="AX38" t="str">
        <f t="shared" ca="1" si="47"/>
        <v/>
      </c>
      <c r="AY38">
        <f t="shared" ca="1" si="48"/>
        <v>0</v>
      </c>
    </row>
    <row r="39" spans="2:51" ht="14.25" customHeight="1" x14ac:dyDescent="0.3">
      <c r="B39" s="51">
        <f t="shared" si="29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>
        <f t="shared" si="30"/>
        <v>1000</v>
      </c>
      <c r="G39" s="52"/>
      <c r="H39" s="52"/>
      <c r="I39" s="52"/>
      <c r="J39" s="52">
        <f t="shared" si="31"/>
        <v>1000</v>
      </c>
      <c r="K39" s="52"/>
      <c r="L39" s="52"/>
      <c r="M39" s="52"/>
      <c r="N39" s="52">
        <f t="shared" si="32"/>
        <v>1000</v>
      </c>
      <c r="O39" s="52"/>
      <c r="P39" s="52"/>
      <c r="Q39" s="52"/>
      <c r="R39" s="52">
        <f t="shared" si="49"/>
        <v>1000</v>
      </c>
      <c r="S39" s="52"/>
      <c r="T39" s="52"/>
      <c r="U39" s="52"/>
      <c r="V39" s="52">
        <f t="shared" si="25"/>
        <v>1000</v>
      </c>
      <c r="W39" s="52"/>
      <c r="X39" s="52"/>
      <c r="Y39" s="52"/>
      <c r="Z39" s="52">
        <f t="shared" si="28"/>
        <v>1000</v>
      </c>
      <c r="AA39" s="52"/>
      <c r="AB39" s="52"/>
      <c r="AC39" s="52"/>
      <c r="AD39" s="52">
        <f t="shared" si="50"/>
        <v>1000</v>
      </c>
      <c r="AE39" s="52"/>
      <c r="AF39" s="52"/>
      <c r="AG39" s="52"/>
      <c r="AH39" s="53">
        <f t="shared" si="33"/>
        <v>7000</v>
      </c>
      <c r="AI39" s="54">
        <f t="shared" si="34"/>
        <v>0</v>
      </c>
      <c r="AK39">
        <v>0</v>
      </c>
      <c r="AL39" t="str">
        <f t="shared" ca="1" si="35"/>
        <v/>
      </c>
      <c r="AM39">
        <f t="shared" ca="1" si="36"/>
        <v>0</v>
      </c>
      <c r="AN39" t="str">
        <f t="shared" ca="1" si="37"/>
        <v/>
      </c>
      <c r="AO39">
        <f t="shared" ca="1" si="38"/>
        <v>0</v>
      </c>
      <c r="AP39" t="str">
        <f t="shared" ca="1" si="39"/>
        <v/>
      </c>
      <c r="AQ39">
        <f t="shared" ca="1" si="40"/>
        <v>0</v>
      </c>
      <c r="AR39" t="str">
        <f t="shared" ca="1" si="41"/>
        <v/>
      </c>
      <c r="AS39">
        <f t="shared" ca="1" si="42"/>
        <v>0</v>
      </c>
      <c r="AT39" t="str">
        <f t="shared" ca="1" si="43"/>
        <v/>
      </c>
      <c r="AU39">
        <f t="shared" ca="1" si="44"/>
        <v>0</v>
      </c>
      <c r="AV39" t="str">
        <f t="shared" ca="1" si="45"/>
        <v/>
      </c>
      <c r="AW39">
        <f t="shared" ca="1" si="46"/>
        <v>0</v>
      </c>
      <c r="AX39" t="str">
        <f t="shared" ca="1" si="47"/>
        <v/>
      </c>
      <c r="AY39">
        <f t="shared" ca="1" si="48"/>
        <v>0</v>
      </c>
    </row>
    <row r="40" spans="2:51" ht="14.25" customHeight="1" x14ac:dyDescent="0.3">
      <c r="B40" s="55">
        <f t="shared" si="29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>
        <f t="shared" si="30"/>
        <v>2000</v>
      </c>
      <c r="G40" s="56"/>
      <c r="H40" s="56"/>
      <c r="I40" s="56"/>
      <c r="J40" s="56">
        <f t="shared" si="31"/>
        <v>2000</v>
      </c>
      <c r="K40" s="56"/>
      <c r="L40" s="56"/>
      <c r="M40" s="56"/>
      <c r="N40" s="56">
        <f t="shared" si="32"/>
        <v>2000</v>
      </c>
      <c r="O40" s="56"/>
      <c r="P40" s="56"/>
      <c r="Q40" s="56"/>
      <c r="R40" s="56">
        <f t="shared" si="49"/>
        <v>2000</v>
      </c>
      <c r="S40" s="56"/>
      <c r="T40" s="56"/>
      <c r="U40" s="56"/>
      <c r="V40" s="56">
        <f t="shared" si="25"/>
        <v>2000</v>
      </c>
      <c r="W40" s="56"/>
      <c r="X40" s="56"/>
      <c r="Y40" s="56"/>
      <c r="Z40" s="56">
        <f t="shared" si="28"/>
        <v>2000</v>
      </c>
      <c r="AA40" s="56"/>
      <c r="AB40" s="56"/>
      <c r="AC40" s="56"/>
      <c r="AD40" s="56">
        <f t="shared" si="50"/>
        <v>2000</v>
      </c>
      <c r="AE40" s="56"/>
      <c r="AF40" s="56"/>
      <c r="AG40" s="56"/>
      <c r="AH40" s="57">
        <f t="shared" si="33"/>
        <v>14000</v>
      </c>
      <c r="AI40" s="58">
        <f t="shared" si="34"/>
        <v>0</v>
      </c>
      <c r="AK40">
        <v>0</v>
      </c>
      <c r="AL40" t="str">
        <f t="shared" ca="1" si="35"/>
        <v/>
      </c>
      <c r="AM40">
        <f t="shared" ca="1" si="36"/>
        <v>0</v>
      </c>
      <c r="AN40" t="str">
        <f t="shared" ca="1" si="37"/>
        <v/>
      </c>
      <c r="AO40">
        <f t="shared" ca="1" si="38"/>
        <v>0</v>
      </c>
      <c r="AP40" t="str">
        <f t="shared" ca="1" si="39"/>
        <v/>
      </c>
      <c r="AQ40">
        <f t="shared" ca="1" si="40"/>
        <v>0</v>
      </c>
      <c r="AR40" t="str">
        <f t="shared" ca="1" si="41"/>
        <v/>
      </c>
      <c r="AS40">
        <f t="shared" ca="1" si="42"/>
        <v>0</v>
      </c>
      <c r="AT40" t="str">
        <f t="shared" ca="1" si="43"/>
        <v/>
      </c>
      <c r="AU40">
        <f t="shared" ca="1" si="44"/>
        <v>0</v>
      </c>
      <c r="AV40" t="str">
        <f t="shared" ca="1" si="45"/>
        <v/>
      </c>
      <c r="AW40">
        <f t="shared" ca="1" si="46"/>
        <v>0</v>
      </c>
      <c r="AX40" t="str">
        <f t="shared" ca="1" si="47"/>
        <v/>
      </c>
      <c r="AY40">
        <f t="shared" ca="1" si="48"/>
        <v>0</v>
      </c>
    </row>
    <row r="41" spans="2:51" ht="14.25" customHeight="1" x14ac:dyDescent="0.3">
      <c r="B41" s="51">
        <f t="shared" si="29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>
        <f t="shared" si="30"/>
        <v>2000</v>
      </c>
      <c r="G41" s="52"/>
      <c r="H41" s="52"/>
      <c r="I41" s="52"/>
      <c r="J41" s="52">
        <f t="shared" si="31"/>
        <v>2000</v>
      </c>
      <c r="K41" s="52"/>
      <c r="L41" s="52"/>
      <c r="M41" s="52"/>
      <c r="N41" s="52">
        <f t="shared" si="32"/>
        <v>2000</v>
      </c>
      <c r="O41" s="52"/>
      <c r="P41" s="52"/>
      <c r="Q41" s="52"/>
      <c r="R41" s="52">
        <f t="shared" si="49"/>
        <v>2000</v>
      </c>
      <c r="S41" s="52"/>
      <c r="T41" s="52"/>
      <c r="U41" s="52"/>
      <c r="V41" s="52">
        <f t="shared" si="25"/>
        <v>2000</v>
      </c>
      <c r="W41" s="52"/>
      <c r="X41" s="52"/>
      <c r="Y41" s="52"/>
      <c r="Z41" s="52">
        <f t="shared" si="28"/>
        <v>2000</v>
      </c>
      <c r="AA41" s="52"/>
      <c r="AB41" s="52"/>
      <c r="AC41" s="52"/>
      <c r="AD41" s="52">
        <f t="shared" si="50"/>
        <v>2000</v>
      </c>
      <c r="AE41" s="52"/>
      <c r="AF41" s="52"/>
      <c r="AG41" s="52"/>
      <c r="AH41" s="53">
        <f t="shared" si="33"/>
        <v>14000</v>
      </c>
      <c r="AI41" s="54">
        <f t="shared" si="34"/>
        <v>0</v>
      </c>
      <c r="AK41">
        <v>0</v>
      </c>
      <c r="AL41" t="str">
        <f t="shared" ca="1" si="35"/>
        <v/>
      </c>
      <c r="AM41">
        <f t="shared" ca="1" si="36"/>
        <v>0</v>
      </c>
      <c r="AN41" t="str">
        <f t="shared" ca="1" si="37"/>
        <v/>
      </c>
      <c r="AO41">
        <f t="shared" ca="1" si="38"/>
        <v>0</v>
      </c>
      <c r="AP41" t="str">
        <f t="shared" ca="1" si="39"/>
        <v/>
      </c>
      <c r="AQ41">
        <f t="shared" ca="1" si="40"/>
        <v>0</v>
      </c>
      <c r="AR41" t="str">
        <f t="shared" ca="1" si="41"/>
        <v/>
      </c>
      <c r="AS41">
        <f t="shared" ca="1" si="42"/>
        <v>0</v>
      </c>
      <c r="AT41" t="str">
        <f t="shared" ca="1" si="43"/>
        <v/>
      </c>
      <c r="AU41">
        <f t="shared" ca="1" si="44"/>
        <v>0</v>
      </c>
      <c r="AV41" t="str">
        <f t="shared" ca="1" si="45"/>
        <v/>
      </c>
      <c r="AW41">
        <f t="shared" ca="1" si="46"/>
        <v>0</v>
      </c>
      <c r="AX41" t="str">
        <f t="shared" ca="1" si="47"/>
        <v/>
      </c>
      <c r="AY41">
        <f t="shared" ca="1" si="48"/>
        <v>0</v>
      </c>
    </row>
    <row r="42" spans="2:51" ht="14.25" customHeight="1" x14ac:dyDescent="0.3">
      <c r="B42" s="55">
        <f t="shared" si="29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>
        <f t="shared" si="30"/>
        <v>2000</v>
      </c>
      <c r="G42" s="56"/>
      <c r="H42" s="56"/>
      <c r="I42" s="56"/>
      <c r="J42" s="56">
        <f t="shared" si="31"/>
        <v>2000</v>
      </c>
      <c r="K42" s="56"/>
      <c r="L42" s="56"/>
      <c r="M42" s="56"/>
      <c r="N42" s="56">
        <f t="shared" si="32"/>
        <v>2000</v>
      </c>
      <c r="O42" s="56"/>
      <c r="P42" s="56"/>
      <c r="Q42" s="56"/>
      <c r="R42" s="56">
        <f t="shared" si="49"/>
        <v>2000</v>
      </c>
      <c r="S42" s="56"/>
      <c r="T42" s="56"/>
      <c r="U42" s="56"/>
      <c r="V42" s="56">
        <f t="shared" si="25"/>
        <v>2000</v>
      </c>
      <c r="W42" s="56"/>
      <c r="X42" s="56"/>
      <c r="Y42" s="56"/>
      <c r="Z42" s="241"/>
      <c r="AA42" s="56"/>
      <c r="AB42" s="56"/>
      <c r="AC42" s="56"/>
      <c r="AD42" s="56">
        <f t="shared" si="50"/>
        <v>2000</v>
      </c>
      <c r="AE42" s="56"/>
      <c r="AF42" s="56">
        <v>2000</v>
      </c>
      <c r="AG42" s="56">
        <v>100</v>
      </c>
      <c r="AH42" s="57">
        <f t="shared" si="33"/>
        <v>14000</v>
      </c>
      <c r="AI42" s="58">
        <f t="shared" si="34"/>
        <v>100</v>
      </c>
      <c r="AK42">
        <v>0</v>
      </c>
      <c r="AL42" t="str">
        <f t="shared" ca="1" si="35"/>
        <v/>
      </c>
      <c r="AM42">
        <f t="shared" ca="1" si="36"/>
        <v>0</v>
      </c>
      <c r="AN42" t="str">
        <f t="shared" ca="1" si="37"/>
        <v/>
      </c>
      <c r="AO42">
        <f t="shared" ca="1" si="38"/>
        <v>0</v>
      </c>
      <c r="AP42" t="str">
        <f t="shared" ca="1" si="39"/>
        <v/>
      </c>
      <c r="AQ42">
        <f t="shared" ca="1" si="40"/>
        <v>0</v>
      </c>
      <c r="AR42" t="str">
        <f t="shared" ca="1" si="41"/>
        <v/>
      </c>
      <c r="AS42">
        <f t="shared" ca="1" si="42"/>
        <v>0</v>
      </c>
      <c r="AT42" t="str">
        <f t="shared" ca="1" si="43"/>
        <v/>
      </c>
      <c r="AU42">
        <f t="shared" ca="1" si="44"/>
        <v>0</v>
      </c>
      <c r="AV42" t="str">
        <f t="shared" ca="1" si="45"/>
        <v>R</v>
      </c>
      <c r="AW42">
        <f t="shared" ca="1" si="46"/>
        <v>0</v>
      </c>
      <c r="AX42" t="str">
        <f t="shared" ca="1" si="47"/>
        <v/>
      </c>
      <c r="AY42">
        <f t="shared" ca="1" si="48"/>
        <v>0</v>
      </c>
    </row>
    <row r="43" spans="2:51" ht="14.25" customHeight="1" x14ac:dyDescent="0.3">
      <c r="B43" s="51">
        <f t="shared" si="29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>
        <f t="shared" si="30"/>
        <v>2000</v>
      </c>
      <c r="G43" s="52"/>
      <c r="H43" s="52"/>
      <c r="I43" s="52"/>
      <c r="J43" s="52">
        <f t="shared" si="31"/>
        <v>2000</v>
      </c>
      <c r="K43" s="52"/>
      <c r="L43" s="52"/>
      <c r="M43" s="52"/>
      <c r="N43" s="52">
        <f t="shared" si="32"/>
        <v>2000</v>
      </c>
      <c r="O43" s="52"/>
      <c r="P43" s="52"/>
      <c r="Q43" s="52"/>
      <c r="R43" s="52">
        <f t="shared" si="49"/>
        <v>2000</v>
      </c>
      <c r="S43" s="52"/>
      <c r="T43" s="52"/>
      <c r="U43" s="52"/>
      <c r="V43" s="52">
        <f t="shared" si="25"/>
        <v>2000</v>
      </c>
      <c r="W43" s="52"/>
      <c r="X43" s="52"/>
      <c r="Y43" s="52"/>
      <c r="Z43" s="52">
        <f t="shared" ref="Z43:Z48" si="51">$E43*1000</f>
        <v>2000</v>
      </c>
      <c r="AA43" s="52"/>
      <c r="AB43" s="52"/>
      <c r="AC43" s="52"/>
      <c r="AD43" s="52">
        <f t="shared" si="50"/>
        <v>2000</v>
      </c>
      <c r="AE43" s="52"/>
      <c r="AF43" s="52"/>
      <c r="AG43" s="52"/>
      <c r="AH43" s="53">
        <f t="shared" si="33"/>
        <v>14000</v>
      </c>
      <c r="AI43" s="54">
        <f t="shared" si="34"/>
        <v>0</v>
      </c>
      <c r="AK43">
        <v>0</v>
      </c>
      <c r="AL43" t="str">
        <f t="shared" ca="1" si="35"/>
        <v/>
      </c>
      <c r="AM43">
        <f t="shared" ca="1" si="36"/>
        <v>0</v>
      </c>
      <c r="AN43" t="str">
        <f t="shared" ca="1" si="37"/>
        <v/>
      </c>
      <c r="AO43">
        <f t="shared" ca="1" si="38"/>
        <v>0</v>
      </c>
      <c r="AP43" t="str">
        <f t="shared" ca="1" si="39"/>
        <v/>
      </c>
      <c r="AQ43">
        <f t="shared" ca="1" si="40"/>
        <v>0</v>
      </c>
      <c r="AR43" t="str">
        <f t="shared" ca="1" si="41"/>
        <v/>
      </c>
      <c r="AS43">
        <f t="shared" ca="1" si="42"/>
        <v>0</v>
      </c>
      <c r="AT43" t="str">
        <f t="shared" ca="1" si="43"/>
        <v/>
      </c>
      <c r="AU43">
        <f t="shared" ca="1" si="44"/>
        <v>0</v>
      </c>
      <c r="AV43" t="str">
        <f t="shared" ca="1" si="45"/>
        <v/>
      </c>
      <c r="AW43">
        <f t="shared" ca="1" si="46"/>
        <v>0</v>
      </c>
      <c r="AX43" t="str">
        <f t="shared" ca="1" si="47"/>
        <v/>
      </c>
      <c r="AY43">
        <f t="shared" ca="1" si="48"/>
        <v>0</v>
      </c>
    </row>
    <row r="44" spans="2:51" ht="14.25" customHeight="1" x14ac:dyDescent="0.3">
      <c r="B44" s="55">
        <f t="shared" si="29"/>
        <v>41</v>
      </c>
      <c r="C44" s="56" t="s">
        <v>111</v>
      </c>
      <c r="D44" s="12">
        <f>'Member Wise Deposit Summary'!D44</f>
        <v>1830621990</v>
      </c>
      <c r="E44" s="56">
        <v>2</v>
      </c>
      <c r="F44" s="56">
        <f t="shared" si="30"/>
        <v>2000</v>
      </c>
      <c r="G44" s="56"/>
      <c r="H44" s="56"/>
      <c r="I44" s="56"/>
      <c r="J44" s="56">
        <f t="shared" si="31"/>
        <v>2000</v>
      </c>
      <c r="K44" s="56"/>
      <c r="L44" s="56"/>
      <c r="M44" s="56"/>
      <c r="N44" s="56">
        <f t="shared" si="32"/>
        <v>2000</v>
      </c>
      <c r="O44" s="56"/>
      <c r="P44" s="56"/>
      <c r="Q44" s="56"/>
      <c r="R44" s="56">
        <f t="shared" si="49"/>
        <v>2000</v>
      </c>
      <c r="S44" s="56"/>
      <c r="T44" s="56"/>
      <c r="U44" s="56"/>
      <c r="V44" s="56">
        <f t="shared" si="25"/>
        <v>2000</v>
      </c>
      <c r="W44" s="56"/>
      <c r="X44" s="56"/>
      <c r="Y44" s="56"/>
      <c r="Z44" s="56">
        <f t="shared" si="51"/>
        <v>2000</v>
      </c>
      <c r="AA44" s="56"/>
      <c r="AB44" s="56"/>
      <c r="AC44" s="56"/>
      <c r="AD44" s="56">
        <f t="shared" si="50"/>
        <v>2000</v>
      </c>
      <c r="AE44" s="56"/>
      <c r="AF44" s="56"/>
      <c r="AG44" s="56"/>
      <c r="AH44" s="57">
        <f t="shared" si="33"/>
        <v>14000</v>
      </c>
      <c r="AI44" s="58">
        <f t="shared" si="34"/>
        <v>0</v>
      </c>
      <c r="AK44">
        <v>0</v>
      </c>
      <c r="AL44" t="str">
        <f t="shared" ca="1" si="35"/>
        <v/>
      </c>
      <c r="AM44">
        <f t="shared" ca="1" si="36"/>
        <v>0</v>
      </c>
      <c r="AN44" t="str">
        <f t="shared" ca="1" si="37"/>
        <v/>
      </c>
      <c r="AO44">
        <f t="shared" ca="1" si="38"/>
        <v>0</v>
      </c>
      <c r="AP44" t="str">
        <f t="shared" ca="1" si="39"/>
        <v/>
      </c>
      <c r="AQ44">
        <f t="shared" ca="1" si="40"/>
        <v>0</v>
      </c>
      <c r="AR44" t="str">
        <f t="shared" ca="1" si="41"/>
        <v/>
      </c>
      <c r="AS44">
        <f t="shared" ca="1" si="42"/>
        <v>0</v>
      </c>
      <c r="AT44" t="str">
        <f t="shared" ca="1" si="43"/>
        <v/>
      </c>
      <c r="AU44">
        <f t="shared" ca="1" si="44"/>
        <v>0</v>
      </c>
      <c r="AV44" t="str">
        <f t="shared" ca="1" si="45"/>
        <v/>
      </c>
      <c r="AW44">
        <f t="shared" ca="1" si="46"/>
        <v>0</v>
      </c>
      <c r="AX44" t="str">
        <f t="shared" ca="1" si="47"/>
        <v/>
      </c>
      <c r="AY44">
        <f t="shared" ca="1" si="48"/>
        <v>0</v>
      </c>
    </row>
    <row r="45" spans="2:51" ht="14.25" customHeight="1" x14ac:dyDescent="0.3">
      <c r="B45" s="51">
        <f t="shared" si="29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>
        <f t="shared" si="30"/>
        <v>6000</v>
      </c>
      <c r="G45" s="52"/>
      <c r="H45" s="52"/>
      <c r="I45" s="52"/>
      <c r="J45" s="52">
        <f t="shared" si="31"/>
        <v>6000</v>
      </c>
      <c r="K45" s="52"/>
      <c r="L45" s="52"/>
      <c r="M45" s="52"/>
      <c r="N45" s="52">
        <f t="shared" si="32"/>
        <v>6000</v>
      </c>
      <c r="O45" s="52"/>
      <c r="P45" s="52"/>
      <c r="Q45" s="52"/>
      <c r="R45" s="52">
        <f t="shared" si="49"/>
        <v>6000</v>
      </c>
      <c r="S45" s="52"/>
      <c r="T45" s="52"/>
      <c r="U45" s="52"/>
      <c r="V45" s="52">
        <f t="shared" si="25"/>
        <v>6000</v>
      </c>
      <c r="W45" s="52"/>
      <c r="X45" s="52"/>
      <c r="Y45" s="52"/>
      <c r="Z45" s="52">
        <f t="shared" si="51"/>
        <v>6000</v>
      </c>
      <c r="AA45" s="52"/>
      <c r="AB45" s="52"/>
      <c r="AC45" s="52"/>
      <c r="AD45" s="52">
        <f t="shared" si="50"/>
        <v>6000</v>
      </c>
      <c r="AE45" s="52"/>
      <c r="AF45" s="52"/>
      <c r="AG45" s="52"/>
      <c r="AH45" s="53">
        <f t="shared" si="33"/>
        <v>42000</v>
      </c>
      <c r="AI45" s="54">
        <f t="shared" si="34"/>
        <v>0</v>
      </c>
      <c r="AK45">
        <v>0</v>
      </c>
      <c r="AL45" t="str">
        <f t="shared" ca="1" si="35"/>
        <v/>
      </c>
      <c r="AM45">
        <f t="shared" ca="1" si="36"/>
        <v>0</v>
      </c>
      <c r="AN45" t="str">
        <f t="shared" ca="1" si="37"/>
        <v/>
      </c>
      <c r="AO45">
        <f t="shared" ca="1" si="38"/>
        <v>0</v>
      </c>
      <c r="AP45" t="str">
        <f t="shared" ca="1" si="39"/>
        <v/>
      </c>
      <c r="AQ45">
        <f t="shared" ca="1" si="40"/>
        <v>0</v>
      </c>
      <c r="AR45" t="str">
        <f t="shared" ca="1" si="41"/>
        <v/>
      </c>
      <c r="AS45">
        <f t="shared" ca="1" si="42"/>
        <v>0</v>
      </c>
      <c r="AT45" t="str">
        <f t="shared" ca="1" si="43"/>
        <v/>
      </c>
      <c r="AU45">
        <f t="shared" ca="1" si="44"/>
        <v>0</v>
      </c>
      <c r="AV45" t="str">
        <f t="shared" ca="1" si="45"/>
        <v/>
      </c>
      <c r="AW45">
        <f t="shared" ca="1" si="46"/>
        <v>0</v>
      </c>
      <c r="AX45" t="str">
        <f t="shared" ca="1" si="47"/>
        <v/>
      </c>
      <c r="AY45">
        <f t="shared" ca="1" si="48"/>
        <v>0</v>
      </c>
    </row>
    <row r="46" spans="2:51" ht="14.25" customHeight="1" x14ac:dyDescent="0.3">
      <c r="B46" s="55">
        <f t="shared" si="29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>
        <f t="shared" si="30"/>
        <v>2000</v>
      </c>
      <c r="G46" s="56"/>
      <c r="H46" s="56"/>
      <c r="I46" s="56"/>
      <c r="J46" s="56">
        <f t="shared" si="31"/>
        <v>2000</v>
      </c>
      <c r="K46" s="56"/>
      <c r="L46" s="56"/>
      <c r="M46" s="56"/>
      <c r="N46" s="56">
        <f t="shared" si="32"/>
        <v>2000</v>
      </c>
      <c r="O46" s="56"/>
      <c r="P46" s="56"/>
      <c r="Q46" s="56"/>
      <c r="R46" s="56">
        <f t="shared" si="49"/>
        <v>2000</v>
      </c>
      <c r="S46" s="56"/>
      <c r="T46" s="56"/>
      <c r="U46" s="56"/>
      <c r="V46" s="241"/>
      <c r="W46" s="56"/>
      <c r="X46" s="56"/>
      <c r="Y46" s="56"/>
      <c r="Z46" s="56">
        <f t="shared" si="51"/>
        <v>2000</v>
      </c>
      <c r="AA46" s="56"/>
      <c r="AB46" s="56">
        <v>2000</v>
      </c>
      <c r="AC46" s="56">
        <v>100</v>
      </c>
      <c r="AD46" s="241"/>
      <c r="AE46" s="56"/>
      <c r="AF46" s="56"/>
      <c r="AG46" s="56"/>
      <c r="AH46" s="57">
        <f t="shared" si="33"/>
        <v>12000</v>
      </c>
      <c r="AI46" s="58">
        <f t="shared" si="34"/>
        <v>100</v>
      </c>
      <c r="AK46">
        <v>0</v>
      </c>
      <c r="AL46" t="str">
        <f t="shared" ca="1" si="35"/>
        <v/>
      </c>
      <c r="AM46">
        <f t="shared" ca="1" si="36"/>
        <v>0</v>
      </c>
      <c r="AN46" t="str">
        <f t="shared" ca="1" si="37"/>
        <v/>
      </c>
      <c r="AO46">
        <f t="shared" ca="1" si="38"/>
        <v>0</v>
      </c>
      <c r="AP46" t="str">
        <f t="shared" ca="1" si="39"/>
        <v/>
      </c>
      <c r="AQ46">
        <f t="shared" ca="1" si="40"/>
        <v>0</v>
      </c>
      <c r="AR46" t="str">
        <f t="shared" ca="1" si="41"/>
        <v/>
      </c>
      <c r="AS46">
        <f t="shared" ca="1" si="42"/>
        <v>0</v>
      </c>
      <c r="AT46" t="str">
        <f t="shared" ca="1" si="43"/>
        <v>R</v>
      </c>
      <c r="AU46">
        <f t="shared" ca="1" si="44"/>
        <v>0</v>
      </c>
      <c r="AV46" t="str">
        <f t="shared" ca="1" si="45"/>
        <v/>
      </c>
      <c r="AW46">
        <f t="shared" ca="1" si="46"/>
        <v>0</v>
      </c>
      <c r="AX46" t="str">
        <f t="shared" ca="1" si="47"/>
        <v>R</v>
      </c>
      <c r="AY46">
        <f t="shared" ca="1" si="48"/>
        <v>0</v>
      </c>
    </row>
    <row r="47" spans="2:51" ht="14.25" customHeight="1" x14ac:dyDescent="0.3">
      <c r="B47" s="51">
        <f t="shared" si="29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>
        <f t="shared" si="30"/>
        <v>2000</v>
      </c>
      <c r="G47" s="52"/>
      <c r="H47" s="52"/>
      <c r="I47" s="52"/>
      <c r="J47" s="52">
        <f t="shared" si="31"/>
        <v>2000</v>
      </c>
      <c r="K47" s="52"/>
      <c r="L47" s="52"/>
      <c r="M47" s="52"/>
      <c r="N47" s="52">
        <f t="shared" si="32"/>
        <v>2000</v>
      </c>
      <c r="O47" s="52"/>
      <c r="P47" s="52"/>
      <c r="Q47" s="52"/>
      <c r="R47" s="52">
        <f t="shared" si="49"/>
        <v>2000</v>
      </c>
      <c r="S47" s="52"/>
      <c r="T47" s="52"/>
      <c r="U47" s="52"/>
      <c r="V47" s="243"/>
      <c r="W47" s="52"/>
      <c r="X47" s="52"/>
      <c r="Y47" s="52"/>
      <c r="Z47" s="52">
        <f t="shared" si="51"/>
        <v>2000</v>
      </c>
      <c r="AA47" s="52"/>
      <c r="AB47" s="52">
        <v>2000</v>
      </c>
      <c r="AC47" s="52">
        <v>100</v>
      </c>
      <c r="AD47" s="243"/>
      <c r="AE47" s="52"/>
      <c r="AF47" s="52"/>
      <c r="AG47" s="52"/>
      <c r="AH47" s="53">
        <f t="shared" si="33"/>
        <v>12000</v>
      </c>
      <c r="AI47" s="54">
        <f t="shared" si="34"/>
        <v>100</v>
      </c>
      <c r="AK47">
        <v>0</v>
      </c>
      <c r="AL47" t="str">
        <f t="shared" ca="1" si="35"/>
        <v/>
      </c>
      <c r="AM47">
        <f t="shared" ca="1" si="36"/>
        <v>0</v>
      </c>
      <c r="AN47" t="str">
        <f t="shared" ca="1" si="37"/>
        <v/>
      </c>
      <c r="AO47">
        <f t="shared" ca="1" si="38"/>
        <v>0</v>
      </c>
      <c r="AP47" t="str">
        <f t="shared" ca="1" si="39"/>
        <v/>
      </c>
      <c r="AQ47">
        <f t="shared" ca="1" si="40"/>
        <v>0</v>
      </c>
      <c r="AR47" t="str">
        <f t="shared" ca="1" si="41"/>
        <v/>
      </c>
      <c r="AS47">
        <f t="shared" ca="1" si="42"/>
        <v>0</v>
      </c>
      <c r="AT47" t="str">
        <f t="shared" ca="1" si="43"/>
        <v>R</v>
      </c>
      <c r="AU47">
        <f t="shared" ca="1" si="44"/>
        <v>0</v>
      </c>
      <c r="AV47" t="str">
        <f t="shared" ca="1" si="45"/>
        <v/>
      </c>
      <c r="AW47">
        <f t="shared" ca="1" si="46"/>
        <v>0</v>
      </c>
      <c r="AX47" t="str">
        <f t="shared" ca="1" si="47"/>
        <v>R</v>
      </c>
      <c r="AY47">
        <f t="shared" ca="1" si="48"/>
        <v>0</v>
      </c>
    </row>
    <row r="48" spans="2:51" ht="14.25" customHeight="1" x14ac:dyDescent="0.3">
      <c r="B48" s="55">
        <f t="shared" si="29"/>
        <v>45</v>
      </c>
      <c r="C48" s="56" t="s">
        <v>101</v>
      </c>
      <c r="D48" s="12">
        <f>'Member Wise Deposit Summary'!D48</f>
        <v>1840409753</v>
      </c>
      <c r="E48" s="56">
        <v>1</v>
      </c>
      <c r="F48" s="56">
        <f t="shared" si="30"/>
        <v>1000</v>
      </c>
      <c r="G48" s="56"/>
      <c r="H48" s="56"/>
      <c r="I48" s="56"/>
      <c r="J48" s="56">
        <f t="shared" si="31"/>
        <v>1000</v>
      </c>
      <c r="K48" s="56"/>
      <c r="L48" s="56"/>
      <c r="M48" s="56"/>
      <c r="N48" s="56">
        <f t="shared" si="32"/>
        <v>1000</v>
      </c>
      <c r="O48" s="56"/>
      <c r="P48" s="56"/>
      <c r="Q48" s="56"/>
      <c r="R48" s="56">
        <f t="shared" si="49"/>
        <v>1000</v>
      </c>
      <c r="S48" s="56"/>
      <c r="T48" s="56"/>
      <c r="U48" s="56"/>
      <c r="V48" s="241"/>
      <c r="W48" s="56"/>
      <c r="X48" s="56"/>
      <c r="Y48" s="56"/>
      <c r="Z48" s="56">
        <f t="shared" si="51"/>
        <v>1000</v>
      </c>
      <c r="AA48" s="56"/>
      <c r="AB48" s="56">
        <v>1000</v>
      </c>
      <c r="AC48" s="56">
        <v>50</v>
      </c>
      <c r="AD48" s="241"/>
      <c r="AE48" s="56"/>
      <c r="AF48" s="56"/>
      <c r="AG48" s="56"/>
      <c r="AH48" s="57">
        <f t="shared" si="33"/>
        <v>6000</v>
      </c>
      <c r="AI48" s="58">
        <f t="shared" si="34"/>
        <v>50</v>
      </c>
      <c r="AK48">
        <v>0</v>
      </c>
      <c r="AL48" t="str">
        <f t="shared" ca="1" si="35"/>
        <v/>
      </c>
      <c r="AM48">
        <f t="shared" ca="1" si="36"/>
        <v>0</v>
      </c>
      <c r="AN48" t="str">
        <f t="shared" ca="1" si="37"/>
        <v/>
      </c>
      <c r="AO48">
        <f t="shared" ca="1" si="38"/>
        <v>0</v>
      </c>
      <c r="AP48" t="str">
        <f t="shared" ca="1" si="39"/>
        <v/>
      </c>
      <c r="AQ48">
        <f t="shared" ca="1" si="40"/>
        <v>0</v>
      </c>
      <c r="AR48" t="str">
        <f t="shared" ca="1" si="41"/>
        <v/>
      </c>
      <c r="AS48">
        <f t="shared" ca="1" si="42"/>
        <v>0</v>
      </c>
      <c r="AT48" t="str">
        <f t="shared" ca="1" si="43"/>
        <v>R</v>
      </c>
      <c r="AU48">
        <f t="shared" ca="1" si="44"/>
        <v>0</v>
      </c>
      <c r="AV48" t="str">
        <f t="shared" ca="1" si="45"/>
        <v/>
      </c>
      <c r="AW48">
        <f t="shared" ca="1" si="46"/>
        <v>0</v>
      </c>
      <c r="AX48" t="str">
        <f t="shared" ca="1" si="47"/>
        <v>R</v>
      </c>
      <c r="AY48">
        <f t="shared" ca="1" si="48"/>
        <v>0</v>
      </c>
    </row>
    <row r="49" spans="2:51" ht="14.25" customHeight="1" x14ac:dyDescent="0.3">
      <c r="B49" s="51">
        <f t="shared" si="29"/>
        <v>46</v>
      </c>
      <c r="C49" s="52" t="s">
        <v>115</v>
      </c>
      <c r="D49" s="16">
        <f>'Member Wise Deposit Summary'!D49</f>
        <v>1871081769</v>
      </c>
      <c r="E49" s="52">
        <v>1</v>
      </c>
      <c r="F49" s="52">
        <f t="shared" si="30"/>
        <v>1000</v>
      </c>
      <c r="G49" s="52"/>
      <c r="H49" s="52"/>
      <c r="I49" s="52"/>
      <c r="J49" s="52">
        <f t="shared" si="31"/>
        <v>1000</v>
      </c>
      <c r="K49" s="52"/>
      <c r="L49" s="52"/>
      <c r="M49" s="52"/>
      <c r="N49" s="52">
        <f t="shared" si="32"/>
        <v>1000</v>
      </c>
      <c r="O49" s="52"/>
      <c r="P49" s="52"/>
      <c r="Q49" s="52"/>
      <c r="R49" s="52">
        <f t="shared" si="49"/>
        <v>1000</v>
      </c>
      <c r="S49" s="52"/>
      <c r="T49" s="52"/>
      <c r="U49" s="52"/>
      <c r="V49" s="243"/>
      <c r="W49" s="52"/>
      <c r="X49" s="52"/>
      <c r="Y49" s="52"/>
      <c r="Z49" s="243"/>
      <c r="AA49" s="52"/>
      <c r="AB49" s="52"/>
      <c r="AC49" s="52"/>
      <c r="AD49" s="243"/>
      <c r="AE49" s="52"/>
      <c r="AF49" s="52">
        <v>1000</v>
      </c>
      <c r="AG49" s="52">
        <v>50</v>
      </c>
      <c r="AH49" s="53">
        <f t="shared" si="33"/>
        <v>5000</v>
      </c>
      <c r="AI49" s="54">
        <f t="shared" si="34"/>
        <v>50</v>
      </c>
      <c r="AK49">
        <v>0</v>
      </c>
      <c r="AL49" t="str">
        <f t="shared" ca="1" si="35"/>
        <v/>
      </c>
      <c r="AM49">
        <f t="shared" ca="1" si="36"/>
        <v>0</v>
      </c>
      <c r="AN49" t="str">
        <f t="shared" ca="1" si="37"/>
        <v/>
      </c>
      <c r="AO49">
        <f t="shared" ca="1" si="38"/>
        <v>0</v>
      </c>
      <c r="AP49" t="str">
        <f t="shared" ca="1" si="39"/>
        <v/>
      </c>
      <c r="AQ49">
        <f t="shared" ca="1" si="40"/>
        <v>0</v>
      </c>
      <c r="AR49" t="str">
        <f t="shared" ca="1" si="41"/>
        <v/>
      </c>
      <c r="AS49">
        <f t="shared" ca="1" si="42"/>
        <v>0</v>
      </c>
      <c r="AT49" t="str">
        <f t="shared" ca="1" si="43"/>
        <v>R</v>
      </c>
      <c r="AU49">
        <f t="shared" ca="1" si="44"/>
        <v>0</v>
      </c>
      <c r="AV49" t="str">
        <f t="shared" ca="1" si="45"/>
        <v>R</v>
      </c>
      <c r="AW49">
        <f t="shared" ca="1" si="46"/>
        <v>0</v>
      </c>
      <c r="AX49" t="str">
        <f t="shared" ca="1" si="47"/>
        <v>R</v>
      </c>
      <c r="AY49">
        <f t="shared" ca="1" si="48"/>
        <v>0</v>
      </c>
    </row>
    <row r="50" spans="2:51" ht="14.25" customHeight="1" x14ac:dyDescent="0.3">
      <c r="B50" s="55">
        <f t="shared" si="29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>
        <f t="shared" si="30"/>
        <v>1000</v>
      </c>
      <c r="G50" s="56"/>
      <c r="H50" s="56"/>
      <c r="I50" s="56"/>
      <c r="J50" s="56">
        <f t="shared" si="31"/>
        <v>1000</v>
      </c>
      <c r="K50" s="56"/>
      <c r="L50" s="56"/>
      <c r="M50" s="56"/>
      <c r="N50" s="56">
        <f t="shared" si="32"/>
        <v>1000</v>
      </c>
      <c r="O50" s="56"/>
      <c r="P50" s="56"/>
      <c r="Q50" s="56"/>
      <c r="R50" s="56">
        <f t="shared" si="49"/>
        <v>1000</v>
      </c>
      <c r="S50" s="56"/>
      <c r="T50" s="56"/>
      <c r="U50" s="56"/>
      <c r="V50" s="56">
        <f t="shared" ref="V50:V57" si="52">$E50*1000</f>
        <v>1000</v>
      </c>
      <c r="W50" s="56"/>
      <c r="X50" s="56"/>
      <c r="Y50" s="56"/>
      <c r="Z50" s="241"/>
      <c r="AA50" s="56"/>
      <c r="AB50" s="56"/>
      <c r="AC50" s="56"/>
      <c r="AD50" s="56">
        <f t="shared" ref="AD50:AD57" si="53">$E50*1000</f>
        <v>1000</v>
      </c>
      <c r="AE50" s="56"/>
      <c r="AF50" s="56">
        <v>1000</v>
      </c>
      <c r="AG50" s="56">
        <v>50</v>
      </c>
      <c r="AH50" s="57">
        <f t="shared" si="33"/>
        <v>7000</v>
      </c>
      <c r="AI50" s="58">
        <f t="shared" si="34"/>
        <v>50</v>
      </c>
      <c r="AK50">
        <v>0</v>
      </c>
      <c r="AL50" t="str">
        <f t="shared" ca="1" si="35"/>
        <v/>
      </c>
      <c r="AM50">
        <f t="shared" ca="1" si="36"/>
        <v>0</v>
      </c>
      <c r="AN50" t="str">
        <f t="shared" ca="1" si="37"/>
        <v/>
      </c>
      <c r="AO50">
        <f t="shared" ca="1" si="38"/>
        <v>0</v>
      </c>
      <c r="AP50" t="str">
        <f t="shared" ca="1" si="39"/>
        <v/>
      </c>
      <c r="AQ50">
        <f t="shared" ca="1" si="40"/>
        <v>0</v>
      </c>
      <c r="AR50" t="str">
        <f t="shared" ca="1" si="41"/>
        <v/>
      </c>
      <c r="AS50">
        <f t="shared" ca="1" si="42"/>
        <v>0</v>
      </c>
      <c r="AT50" t="str">
        <f t="shared" ca="1" si="43"/>
        <v/>
      </c>
      <c r="AU50">
        <f t="shared" ca="1" si="44"/>
        <v>0</v>
      </c>
      <c r="AV50" t="str">
        <f t="shared" ca="1" si="45"/>
        <v>R</v>
      </c>
      <c r="AW50">
        <f t="shared" ca="1" si="46"/>
        <v>0</v>
      </c>
      <c r="AX50" t="str">
        <f t="shared" ca="1" si="47"/>
        <v/>
      </c>
      <c r="AY50">
        <f t="shared" ca="1" si="48"/>
        <v>0</v>
      </c>
    </row>
    <row r="51" spans="2:51" ht="14.25" customHeight="1" x14ac:dyDescent="0.3">
      <c r="B51" s="51">
        <f t="shared" si="29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>
        <f t="shared" si="30"/>
        <v>2000</v>
      </c>
      <c r="G51" s="52"/>
      <c r="H51" s="52"/>
      <c r="I51" s="52"/>
      <c r="J51" s="52">
        <f t="shared" si="31"/>
        <v>2000</v>
      </c>
      <c r="K51" s="52"/>
      <c r="L51" s="52"/>
      <c r="M51" s="52"/>
      <c r="N51" s="52">
        <f t="shared" si="32"/>
        <v>2000</v>
      </c>
      <c r="O51" s="52"/>
      <c r="P51" s="52"/>
      <c r="Q51" s="52"/>
      <c r="R51" s="52">
        <f t="shared" si="49"/>
        <v>2000</v>
      </c>
      <c r="S51" s="52"/>
      <c r="T51" s="52"/>
      <c r="U51" s="52"/>
      <c r="V51" s="52">
        <f t="shared" si="52"/>
        <v>2000</v>
      </c>
      <c r="W51" s="52"/>
      <c r="X51" s="52"/>
      <c r="Y51" s="52"/>
      <c r="Z51" s="52">
        <f t="shared" ref="Z51:Z57" si="54">$E51*1000</f>
        <v>2000</v>
      </c>
      <c r="AA51" s="52"/>
      <c r="AB51" s="52"/>
      <c r="AC51" s="52"/>
      <c r="AD51" s="52">
        <f t="shared" si="53"/>
        <v>2000</v>
      </c>
      <c r="AE51" s="52"/>
      <c r="AF51" s="52"/>
      <c r="AG51" s="52"/>
      <c r="AH51" s="53">
        <f t="shared" si="33"/>
        <v>14000</v>
      </c>
      <c r="AI51" s="54">
        <f t="shared" si="34"/>
        <v>0</v>
      </c>
      <c r="AK51">
        <v>0</v>
      </c>
      <c r="AL51" t="str">
        <f t="shared" ca="1" si="35"/>
        <v/>
      </c>
      <c r="AM51">
        <f t="shared" ca="1" si="36"/>
        <v>0</v>
      </c>
      <c r="AN51" t="str">
        <f t="shared" ca="1" si="37"/>
        <v/>
      </c>
      <c r="AO51">
        <f t="shared" ca="1" si="38"/>
        <v>0</v>
      </c>
      <c r="AP51" t="str">
        <f t="shared" ca="1" si="39"/>
        <v/>
      </c>
      <c r="AQ51">
        <f t="shared" ca="1" si="40"/>
        <v>0</v>
      </c>
      <c r="AR51" t="str">
        <f t="shared" ca="1" si="41"/>
        <v/>
      </c>
      <c r="AS51">
        <f t="shared" ca="1" si="42"/>
        <v>0</v>
      </c>
      <c r="AT51" t="str">
        <f t="shared" ca="1" si="43"/>
        <v/>
      </c>
      <c r="AU51">
        <f t="shared" ca="1" si="44"/>
        <v>0</v>
      </c>
      <c r="AV51" t="str">
        <f t="shared" ca="1" si="45"/>
        <v/>
      </c>
      <c r="AW51">
        <f t="shared" ca="1" si="46"/>
        <v>0</v>
      </c>
      <c r="AX51" t="str">
        <f t="shared" ca="1" si="47"/>
        <v/>
      </c>
      <c r="AY51">
        <f t="shared" ca="1" si="48"/>
        <v>0</v>
      </c>
    </row>
    <row r="52" spans="2:51" ht="14.25" customHeight="1" x14ac:dyDescent="0.3">
      <c r="B52" s="55">
        <f t="shared" si="29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>
        <f t="shared" si="30"/>
        <v>1000</v>
      </c>
      <c r="G52" s="56"/>
      <c r="H52" s="56"/>
      <c r="I52" s="56"/>
      <c r="J52" s="56">
        <f t="shared" si="31"/>
        <v>1000</v>
      </c>
      <c r="K52" s="56"/>
      <c r="L52" s="56"/>
      <c r="M52" s="56"/>
      <c r="N52" s="56">
        <f t="shared" si="32"/>
        <v>1000</v>
      </c>
      <c r="O52" s="56"/>
      <c r="P52" s="56"/>
      <c r="Q52" s="56"/>
      <c r="R52" s="56">
        <f t="shared" si="49"/>
        <v>1000</v>
      </c>
      <c r="S52" s="56"/>
      <c r="T52" s="56"/>
      <c r="U52" s="56"/>
      <c r="V52" s="56">
        <f t="shared" si="52"/>
        <v>1000</v>
      </c>
      <c r="W52" s="56"/>
      <c r="X52" s="56"/>
      <c r="Y52" s="56"/>
      <c r="Z52" s="56">
        <f t="shared" si="54"/>
        <v>1000</v>
      </c>
      <c r="AA52" s="56"/>
      <c r="AB52" s="56"/>
      <c r="AC52" s="56"/>
      <c r="AD52" s="56">
        <f t="shared" si="53"/>
        <v>1000</v>
      </c>
      <c r="AE52" s="56"/>
      <c r="AF52" s="56"/>
      <c r="AG52" s="56"/>
      <c r="AH52" s="57">
        <f t="shared" si="33"/>
        <v>7000</v>
      </c>
      <c r="AI52" s="58">
        <f t="shared" si="34"/>
        <v>0</v>
      </c>
      <c r="AK52">
        <v>0</v>
      </c>
      <c r="AL52" t="str">
        <f t="shared" ca="1" si="35"/>
        <v/>
      </c>
      <c r="AM52">
        <f t="shared" ca="1" si="36"/>
        <v>0</v>
      </c>
      <c r="AN52" t="str">
        <f t="shared" ca="1" si="37"/>
        <v/>
      </c>
      <c r="AO52">
        <f t="shared" ca="1" si="38"/>
        <v>0</v>
      </c>
      <c r="AP52" t="str">
        <f t="shared" ca="1" si="39"/>
        <v/>
      </c>
      <c r="AQ52">
        <f t="shared" ca="1" si="40"/>
        <v>0</v>
      </c>
      <c r="AR52" t="str">
        <f t="shared" ca="1" si="41"/>
        <v/>
      </c>
      <c r="AS52">
        <f t="shared" ca="1" si="42"/>
        <v>0</v>
      </c>
      <c r="AT52" t="str">
        <f t="shared" ca="1" si="43"/>
        <v/>
      </c>
      <c r="AU52">
        <f t="shared" ca="1" si="44"/>
        <v>0</v>
      </c>
      <c r="AV52" t="str">
        <f t="shared" ca="1" si="45"/>
        <v/>
      </c>
      <c r="AW52">
        <f t="shared" ca="1" si="46"/>
        <v>0</v>
      </c>
      <c r="AX52" t="str">
        <f t="shared" ca="1" si="47"/>
        <v/>
      </c>
      <c r="AY52">
        <f t="shared" ca="1" si="48"/>
        <v>0</v>
      </c>
    </row>
    <row r="53" spans="2:51" ht="14.25" customHeight="1" x14ac:dyDescent="0.3">
      <c r="B53" s="51">
        <f t="shared" si="29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>
        <f t="shared" si="30"/>
        <v>1000</v>
      </c>
      <c r="G53" s="52"/>
      <c r="H53" s="52"/>
      <c r="I53" s="52"/>
      <c r="J53" s="52">
        <f t="shared" si="31"/>
        <v>1000</v>
      </c>
      <c r="K53" s="52"/>
      <c r="L53" s="52"/>
      <c r="M53" s="52"/>
      <c r="N53" s="52">
        <f t="shared" si="32"/>
        <v>1000</v>
      </c>
      <c r="O53" s="52"/>
      <c r="P53" s="52"/>
      <c r="Q53" s="52"/>
      <c r="R53" s="52">
        <f t="shared" si="49"/>
        <v>1000</v>
      </c>
      <c r="S53" s="52"/>
      <c r="T53" s="52"/>
      <c r="U53" s="52"/>
      <c r="V53" s="52">
        <f t="shared" si="52"/>
        <v>1000</v>
      </c>
      <c r="W53" s="52"/>
      <c r="X53" s="52"/>
      <c r="Y53" s="52"/>
      <c r="Z53" s="52">
        <f t="shared" si="54"/>
        <v>1000</v>
      </c>
      <c r="AA53" s="52"/>
      <c r="AB53" s="52"/>
      <c r="AC53" s="52"/>
      <c r="AD53" s="52">
        <f t="shared" si="53"/>
        <v>1000</v>
      </c>
      <c r="AE53" s="52"/>
      <c r="AF53" s="52"/>
      <c r="AG53" s="52"/>
      <c r="AH53" s="53">
        <f t="shared" si="33"/>
        <v>7000</v>
      </c>
      <c r="AI53" s="54">
        <f t="shared" si="34"/>
        <v>0</v>
      </c>
      <c r="AK53">
        <v>0</v>
      </c>
      <c r="AL53" t="str">
        <f t="shared" ca="1" si="35"/>
        <v/>
      </c>
      <c r="AM53">
        <f t="shared" ca="1" si="36"/>
        <v>0</v>
      </c>
      <c r="AN53" t="str">
        <f t="shared" ca="1" si="37"/>
        <v/>
      </c>
      <c r="AO53">
        <f t="shared" ca="1" si="38"/>
        <v>0</v>
      </c>
      <c r="AP53" t="str">
        <f t="shared" ca="1" si="39"/>
        <v/>
      </c>
      <c r="AQ53">
        <f t="shared" ca="1" si="40"/>
        <v>0</v>
      </c>
      <c r="AR53" t="str">
        <f t="shared" ca="1" si="41"/>
        <v/>
      </c>
      <c r="AS53">
        <f t="shared" ca="1" si="42"/>
        <v>0</v>
      </c>
      <c r="AT53" t="str">
        <f t="shared" ca="1" si="43"/>
        <v/>
      </c>
      <c r="AU53">
        <f t="shared" ca="1" si="44"/>
        <v>0</v>
      </c>
      <c r="AV53" t="str">
        <f t="shared" ca="1" si="45"/>
        <v/>
      </c>
      <c r="AW53">
        <f t="shared" ca="1" si="46"/>
        <v>0</v>
      </c>
      <c r="AX53" t="str">
        <f t="shared" ca="1" si="47"/>
        <v/>
      </c>
      <c r="AY53">
        <f t="shared" ca="1" si="48"/>
        <v>0</v>
      </c>
    </row>
    <row r="54" spans="2:51" ht="14.25" customHeight="1" x14ac:dyDescent="0.3">
      <c r="B54" s="55">
        <f t="shared" si="29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>
        <f t="shared" si="30"/>
        <v>3000</v>
      </c>
      <c r="G54" s="56"/>
      <c r="H54" s="56"/>
      <c r="I54" s="56"/>
      <c r="J54" s="56">
        <f t="shared" si="31"/>
        <v>3000</v>
      </c>
      <c r="K54" s="56"/>
      <c r="L54" s="56"/>
      <c r="M54" s="56"/>
      <c r="N54" s="56">
        <f t="shared" si="32"/>
        <v>3000</v>
      </c>
      <c r="O54" s="56"/>
      <c r="P54" s="56"/>
      <c r="Q54" s="56"/>
      <c r="R54" s="56">
        <f t="shared" si="49"/>
        <v>3000</v>
      </c>
      <c r="S54" s="56"/>
      <c r="T54" s="56"/>
      <c r="U54" s="56"/>
      <c r="V54" s="56">
        <f t="shared" si="52"/>
        <v>3000</v>
      </c>
      <c r="W54" s="56"/>
      <c r="X54" s="56"/>
      <c r="Y54" s="56"/>
      <c r="Z54" s="56">
        <f t="shared" si="54"/>
        <v>3000</v>
      </c>
      <c r="AA54" s="56"/>
      <c r="AB54" s="56"/>
      <c r="AC54" s="56"/>
      <c r="AD54" s="56">
        <f t="shared" si="53"/>
        <v>3000</v>
      </c>
      <c r="AE54" s="56"/>
      <c r="AF54" s="56"/>
      <c r="AG54" s="56"/>
      <c r="AH54" s="57">
        <f t="shared" si="33"/>
        <v>21000</v>
      </c>
      <c r="AI54" s="58">
        <f t="shared" si="34"/>
        <v>0</v>
      </c>
      <c r="AK54">
        <v>0</v>
      </c>
      <c r="AL54" t="str">
        <f t="shared" ca="1" si="35"/>
        <v/>
      </c>
      <c r="AM54">
        <f t="shared" ca="1" si="36"/>
        <v>0</v>
      </c>
      <c r="AN54" t="str">
        <f t="shared" ca="1" si="37"/>
        <v/>
      </c>
      <c r="AO54">
        <f t="shared" ca="1" si="38"/>
        <v>0</v>
      </c>
      <c r="AP54" t="str">
        <f t="shared" ca="1" si="39"/>
        <v/>
      </c>
      <c r="AQ54">
        <f t="shared" ca="1" si="40"/>
        <v>0</v>
      </c>
      <c r="AR54" t="str">
        <f t="shared" ca="1" si="41"/>
        <v/>
      </c>
      <c r="AS54">
        <f t="shared" ca="1" si="42"/>
        <v>0</v>
      </c>
      <c r="AT54" t="str">
        <f t="shared" ca="1" si="43"/>
        <v/>
      </c>
      <c r="AU54">
        <f t="shared" ca="1" si="44"/>
        <v>0</v>
      </c>
      <c r="AV54" t="str">
        <f t="shared" ca="1" si="45"/>
        <v/>
      </c>
      <c r="AW54">
        <f t="shared" ca="1" si="46"/>
        <v>0</v>
      </c>
      <c r="AX54" t="str">
        <f t="shared" ca="1" si="47"/>
        <v/>
      </c>
      <c r="AY54">
        <f t="shared" ca="1" si="48"/>
        <v>0</v>
      </c>
    </row>
    <row r="55" spans="2:51" ht="14.25" customHeight="1" x14ac:dyDescent="0.3">
      <c r="B55" s="51">
        <f t="shared" si="29"/>
        <v>52</v>
      </c>
      <c r="C55" s="52" t="s">
        <v>121</v>
      </c>
      <c r="D55" s="16">
        <f>'Member Wise Deposit Summary'!D55</f>
        <v>1833903155</v>
      </c>
      <c r="E55" s="52">
        <v>1</v>
      </c>
      <c r="F55" s="52">
        <f t="shared" si="30"/>
        <v>1000</v>
      </c>
      <c r="G55" s="52"/>
      <c r="H55" s="52"/>
      <c r="I55" s="52"/>
      <c r="J55" s="52">
        <f t="shared" si="31"/>
        <v>1000</v>
      </c>
      <c r="K55" s="52"/>
      <c r="L55" s="52"/>
      <c r="M55" s="52"/>
      <c r="N55" s="52">
        <f t="shared" si="32"/>
        <v>1000</v>
      </c>
      <c r="O55" s="52"/>
      <c r="P55" s="52"/>
      <c r="Q55" s="52"/>
      <c r="R55" s="52">
        <f t="shared" si="49"/>
        <v>1000</v>
      </c>
      <c r="S55" s="52"/>
      <c r="T55" s="52"/>
      <c r="U55" s="52"/>
      <c r="V55" s="52">
        <f t="shared" si="52"/>
        <v>1000</v>
      </c>
      <c r="W55" s="52"/>
      <c r="X55" s="52"/>
      <c r="Y55" s="52"/>
      <c r="Z55" s="52">
        <f t="shared" si="54"/>
        <v>1000</v>
      </c>
      <c r="AA55" s="52"/>
      <c r="AB55" s="52"/>
      <c r="AC55" s="52"/>
      <c r="AD55" s="52">
        <f t="shared" si="53"/>
        <v>1000</v>
      </c>
      <c r="AE55" s="52"/>
      <c r="AF55" s="52"/>
      <c r="AG55" s="52"/>
      <c r="AH55" s="53">
        <f t="shared" si="33"/>
        <v>7000</v>
      </c>
      <c r="AI55" s="54">
        <f t="shared" si="34"/>
        <v>0</v>
      </c>
      <c r="AK55">
        <v>0</v>
      </c>
      <c r="AL55" t="str">
        <f t="shared" ca="1" si="35"/>
        <v/>
      </c>
      <c r="AM55">
        <f t="shared" ca="1" si="36"/>
        <v>0</v>
      </c>
      <c r="AN55" t="str">
        <f t="shared" ca="1" si="37"/>
        <v/>
      </c>
      <c r="AO55">
        <f t="shared" ca="1" si="38"/>
        <v>0</v>
      </c>
      <c r="AP55" t="str">
        <f t="shared" ca="1" si="39"/>
        <v/>
      </c>
      <c r="AQ55">
        <f t="shared" ca="1" si="40"/>
        <v>0</v>
      </c>
      <c r="AR55" t="str">
        <f t="shared" ca="1" si="41"/>
        <v/>
      </c>
      <c r="AS55">
        <f t="shared" ca="1" si="42"/>
        <v>0</v>
      </c>
      <c r="AT55" t="str">
        <f t="shared" ca="1" si="43"/>
        <v/>
      </c>
      <c r="AU55">
        <f t="shared" ca="1" si="44"/>
        <v>0</v>
      </c>
      <c r="AV55" t="str">
        <f t="shared" ca="1" si="45"/>
        <v/>
      </c>
      <c r="AW55">
        <f t="shared" ca="1" si="46"/>
        <v>0</v>
      </c>
      <c r="AX55" t="str">
        <f t="shared" ca="1" si="47"/>
        <v/>
      </c>
      <c r="AY55">
        <f t="shared" ca="1" si="48"/>
        <v>0</v>
      </c>
    </row>
    <row r="56" spans="2:51" ht="14.25" customHeight="1" x14ac:dyDescent="0.3">
      <c r="B56" s="55">
        <f t="shared" si="29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>
        <f t="shared" si="30"/>
        <v>1000</v>
      </c>
      <c r="G56" s="56"/>
      <c r="H56" s="56"/>
      <c r="I56" s="56"/>
      <c r="J56" s="56">
        <f t="shared" si="31"/>
        <v>1000</v>
      </c>
      <c r="K56" s="56"/>
      <c r="L56" s="56"/>
      <c r="M56" s="56"/>
      <c r="N56" s="56">
        <f t="shared" si="32"/>
        <v>1000</v>
      </c>
      <c r="O56" s="56"/>
      <c r="P56" s="56"/>
      <c r="Q56" s="56"/>
      <c r="R56" s="56">
        <f t="shared" si="49"/>
        <v>1000</v>
      </c>
      <c r="S56" s="56"/>
      <c r="T56" s="56"/>
      <c r="U56" s="56"/>
      <c r="V56" s="56">
        <f t="shared" si="52"/>
        <v>1000</v>
      </c>
      <c r="W56" s="56"/>
      <c r="X56" s="56"/>
      <c r="Y56" s="56"/>
      <c r="Z56" s="56">
        <f t="shared" si="54"/>
        <v>1000</v>
      </c>
      <c r="AA56" s="56"/>
      <c r="AB56" s="56"/>
      <c r="AC56" s="56"/>
      <c r="AD56" s="56">
        <f t="shared" si="53"/>
        <v>1000</v>
      </c>
      <c r="AE56" s="56"/>
      <c r="AF56" s="56"/>
      <c r="AG56" s="56"/>
      <c r="AH56" s="57">
        <f t="shared" si="33"/>
        <v>7000</v>
      </c>
      <c r="AI56" s="58">
        <f t="shared" si="34"/>
        <v>0</v>
      </c>
      <c r="AK56">
        <v>0</v>
      </c>
      <c r="AL56" t="str">
        <f t="shared" ca="1" si="35"/>
        <v/>
      </c>
      <c r="AM56">
        <f t="shared" ca="1" si="36"/>
        <v>0</v>
      </c>
      <c r="AN56" t="str">
        <f t="shared" ca="1" si="37"/>
        <v/>
      </c>
      <c r="AO56">
        <f t="shared" ca="1" si="38"/>
        <v>0</v>
      </c>
      <c r="AP56" t="str">
        <f t="shared" ca="1" si="39"/>
        <v/>
      </c>
      <c r="AQ56">
        <f t="shared" ca="1" si="40"/>
        <v>0</v>
      </c>
      <c r="AR56" t="str">
        <f t="shared" ca="1" si="41"/>
        <v/>
      </c>
      <c r="AS56">
        <f t="shared" ca="1" si="42"/>
        <v>0</v>
      </c>
      <c r="AT56" t="str">
        <f t="shared" ca="1" si="43"/>
        <v/>
      </c>
      <c r="AU56">
        <f t="shared" ca="1" si="44"/>
        <v>0</v>
      </c>
      <c r="AV56" t="str">
        <f t="shared" ca="1" si="45"/>
        <v/>
      </c>
      <c r="AW56">
        <f t="shared" ca="1" si="46"/>
        <v>0</v>
      </c>
      <c r="AX56" t="str">
        <f t="shared" ca="1" si="47"/>
        <v/>
      </c>
      <c r="AY56">
        <f t="shared" ca="1" si="48"/>
        <v>0</v>
      </c>
    </row>
    <row r="57" spans="2:51" ht="14.25" customHeight="1" x14ac:dyDescent="0.3">
      <c r="B57" s="51">
        <f t="shared" si="29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>
        <f t="shared" si="30"/>
        <v>1000</v>
      </c>
      <c r="G57" s="52"/>
      <c r="H57" s="52"/>
      <c r="I57" s="52"/>
      <c r="J57" s="52">
        <f t="shared" si="31"/>
        <v>1000</v>
      </c>
      <c r="K57" s="52"/>
      <c r="L57" s="52"/>
      <c r="M57" s="52"/>
      <c r="N57" s="52">
        <f t="shared" si="32"/>
        <v>1000</v>
      </c>
      <c r="O57" s="52"/>
      <c r="P57" s="52"/>
      <c r="Q57" s="52"/>
      <c r="R57" s="52">
        <f t="shared" si="49"/>
        <v>1000</v>
      </c>
      <c r="S57" s="52"/>
      <c r="T57" s="52"/>
      <c r="U57" s="52"/>
      <c r="V57" s="52">
        <f t="shared" si="52"/>
        <v>1000</v>
      </c>
      <c r="W57" s="52"/>
      <c r="X57" s="52"/>
      <c r="Y57" s="52"/>
      <c r="Z57" s="52">
        <f t="shared" si="54"/>
        <v>1000</v>
      </c>
      <c r="AA57" s="52"/>
      <c r="AB57" s="52"/>
      <c r="AC57" s="52"/>
      <c r="AD57" s="52">
        <f t="shared" si="53"/>
        <v>1000</v>
      </c>
      <c r="AE57" s="52"/>
      <c r="AF57" s="52"/>
      <c r="AG57" s="52"/>
      <c r="AH57" s="53">
        <f t="shared" si="33"/>
        <v>7000</v>
      </c>
      <c r="AI57" s="54">
        <f t="shared" si="34"/>
        <v>0</v>
      </c>
      <c r="AK57">
        <v>0</v>
      </c>
      <c r="AL57" t="str">
        <f t="shared" ca="1" si="35"/>
        <v/>
      </c>
      <c r="AM57">
        <f t="shared" ca="1" si="36"/>
        <v>0</v>
      </c>
      <c r="AN57" t="str">
        <f t="shared" ca="1" si="37"/>
        <v/>
      </c>
      <c r="AO57">
        <f t="shared" ca="1" si="38"/>
        <v>0</v>
      </c>
      <c r="AP57" t="str">
        <f t="shared" ca="1" si="39"/>
        <v/>
      </c>
      <c r="AQ57">
        <f t="shared" ca="1" si="40"/>
        <v>0</v>
      </c>
      <c r="AR57" t="str">
        <f t="shared" ca="1" si="41"/>
        <v/>
      </c>
      <c r="AS57">
        <f t="shared" ca="1" si="42"/>
        <v>0</v>
      </c>
      <c r="AT57" t="str">
        <f t="shared" ca="1" si="43"/>
        <v/>
      </c>
      <c r="AU57">
        <f t="shared" ca="1" si="44"/>
        <v>0</v>
      </c>
      <c r="AV57" t="str">
        <f t="shared" ca="1" si="45"/>
        <v/>
      </c>
      <c r="AW57">
        <f t="shared" ca="1" si="46"/>
        <v>0</v>
      </c>
      <c r="AX57" t="str">
        <f t="shared" ca="1" si="47"/>
        <v/>
      </c>
      <c r="AY57">
        <f t="shared" ca="1" si="48"/>
        <v>0</v>
      </c>
    </row>
    <row r="58" spans="2:51" ht="14.25" customHeight="1" x14ac:dyDescent="0.3">
      <c r="B58" s="55">
        <f t="shared" si="29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56">
        <f t="shared" si="30"/>
        <v>2000</v>
      </c>
      <c r="G58" s="56"/>
      <c r="H58" s="56"/>
      <c r="I58" s="56"/>
      <c r="J58" s="56">
        <f t="shared" si="31"/>
        <v>2000</v>
      </c>
      <c r="K58" s="56"/>
      <c r="L58" s="56"/>
      <c r="M58" s="56"/>
      <c r="N58" s="56">
        <f t="shared" si="32"/>
        <v>2000</v>
      </c>
      <c r="O58" s="56"/>
      <c r="P58" s="56"/>
      <c r="Q58" s="56">
        <v>50</v>
      </c>
      <c r="R58" s="56">
        <f t="shared" si="49"/>
        <v>2000</v>
      </c>
      <c r="S58" s="56"/>
      <c r="T58" s="56"/>
      <c r="U58" s="56"/>
      <c r="V58" s="241"/>
      <c r="W58" s="56"/>
      <c r="X58" s="56"/>
      <c r="Y58" s="56"/>
      <c r="Z58" s="241"/>
      <c r="AA58" s="56"/>
      <c r="AB58" s="56"/>
      <c r="AC58" s="56"/>
      <c r="AD58" s="241"/>
      <c r="AE58" s="56"/>
      <c r="AF58" s="56"/>
      <c r="AG58" s="56"/>
      <c r="AH58" s="57">
        <f t="shared" si="33"/>
        <v>8000</v>
      </c>
      <c r="AI58" s="58">
        <f t="shared" si="34"/>
        <v>50</v>
      </c>
      <c r="AK58">
        <v>0</v>
      </c>
      <c r="AL58" t="str">
        <f t="shared" ca="1" si="35"/>
        <v/>
      </c>
      <c r="AM58">
        <f t="shared" ca="1" si="36"/>
        <v>0</v>
      </c>
      <c r="AN58" t="str">
        <f t="shared" ca="1" si="37"/>
        <v/>
      </c>
      <c r="AO58">
        <f t="shared" ca="1" si="38"/>
        <v>0</v>
      </c>
      <c r="AP58" t="str">
        <f t="shared" ca="1" si="39"/>
        <v/>
      </c>
      <c r="AQ58">
        <f t="shared" ca="1" si="40"/>
        <v>0</v>
      </c>
      <c r="AR58" t="str">
        <f t="shared" ca="1" si="41"/>
        <v/>
      </c>
      <c r="AS58">
        <f t="shared" ca="1" si="42"/>
        <v>0</v>
      </c>
      <c r="AT58" t="str">
        <f t="shared" ca="1" si="43"/>
        <v>R</v>
      </c>
      <c r="AU58">
        <f t="shared" ca="1" si="44"/>
        <v>0</v>
      </c>
      <c r="AV58" t="str">
        <f t="shared" ca="1" si="45"/>
        <v>R</v>
      </c>
      <c r="AW58">
        <f t="shared" ca="1" si="46"/>
        <v>0</v>
      </c>
      <c r="AX58" t="str">
        <f t="shared" ca="1" si="47"/>
        <v>R</v>
      </c>
      <c r="AY58">
        <f t="shared" ca="1" si="48"/>
        <v>0</v>
      </c>
    </row>
    <row r="59" spans="2:51" ht="14.25" customHeight="1" x14ac:dyDescent="0.3">
      <c r="B59" s="51">
        <f t="shared" si="29"/>
        <v>56</v>
      </c>
      <c r="C59" s="52" t="s">
        <v>125</v>
      </c>
      <c r="D59" s="16" t="str">
        <f>'Member Wise Deposit Summary'!D59</f>
        <v>01585430658</v>
      </c>
      <c r="E59" s="52">
        <v>1</v>
      </c>
      <c r="F59" s="52">
        <f t="shared" si="30"/>
        <v>1000</v>
      </c>
      <c r="G59" s="52"/>
      <c r="H59" s="52"/>
      <c r="I59" s="52"/>
      <c r="J59" s="52">
        <f t="shared" si="31"/>
        <v>1000</v>
      </c>
      <c r="K59" s="52"/>
      <c r="L59" s="52"/>
      <c r="M59" s="52"/>
      <c r="N59" s="52">
        <f t="shared" si="32"/>
        <v>1000</v>
      </c>
      <c r="O59" s="52"/>
      <c r="P59" s="52"/>
      <c r="Q59" s="52"/>
      <c r="R59" s="52">
        <f t="shared" si="49"/>
        <v>1000</v>
      </c>
      <c r="S59" s="52"/>
      <c r="T59" s="52"/>
      <c r="U59" s="52"/>
      <c r="V59" s="52">
        <f t="shared" ref="V59:V64" si="55">$E59*1000</f>
        <v>1000</v>
      </c>
      <c r="W59" s="52"/>
      <c r="X59" s="52"/>
      <c r="Y59" s="52">
        <v>50</v>
      </c>
      <c r="Z59" s="52">
        <f t="shared" ref="Z59:Z76" si="56">$E59*1000</f>
        <v>1000</v>
      </c>
      <c r="AA59" s="52"/>
      <c r="AB59" s="52"/>
      <c r="AC59" s="52"/>
      <c r="AD59" s="52">
        <f t="shared" ref="AD59:AD79" si="57">$E59*1000</f>
        <v>1000</v>
      </c>
      <c r="AE59" s="52"/>
      <c r="AF59" s="52"/>
      <c r="AG59" s="52"/>
      <c r="AH59" s="53">
        <f t="shared" si="33"/>
        <v>7000</v>
      </c>
      <c r="AI59" s="54">
        <f t="shared" si="34"/>
        <v>50</v>
      </c>
      <c r="AK59">
        <v>0</v>
      </c>
      <c r="AL59" t="str">
        <f t="shared" ca="1" si="35"/>
        <v/>
      </c>
      <c r="AM59">
        <f t="shared" ca="1" si="36"/>
        <v>0</v>
      </c>
      <c r="AN59" t="str">
        <f t="shared" ca="1" si="37"/>
        <v/>
      </c>
      <c r="AO59">
        <f t="shared" ca="1" si="38"/>
        <v>0</v>
      </c>
      <c r="AP59" t="str">
        <f t="shared" ca="1" si="39"/>
        <v/>
      </c>
      <c r="AQ59">
        <f t="shared" ca="1" si="40"/>
        <v>0</v>
      </c>
      <c r="AR59" t="str">
        <f t="shared" ca="1" si="41"/>
        <v/>
      </c>
      <c r="AS59">
        <f t="shared" ca="1" si="42"/>
        <v>0</v>
      </c>
      <c r="AT59" t="str">
        <f t="shared" ca="1" si="43"/>
        <v/>
      </c>
      <c r="AU59">
        <f t="shared" ca="1" si="44"/>
        <v>0</v>
      </c>
      <c r="AV59" t="str">
        <f t="shared" ca="1" si="45"/>
        <v/>
      </c>
      <c r="AW59">
        <f t="shared" ca="1" si="46"/>
        <v>0</v>
      </c>
      <c r="AX59" t="str">
        <f t="shared" ca="1" si="47"/>
        <v/>
      </c>
      <c r="AY59">
        <f t="shared" ca="1" si="48"/>
        <v>0</v>
      </c>
    </row>
    <row r="60" spans="2:51" ht="14.25" customHeight="1" x14ac:dyDescent="0.3">
      <c r="B60" s="55">
        <f t="shared" si="29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56">
        <f t="shared" si="30"/>
        <v>1000</v>
      </c>
      <c r="G60" s="56"/>
      <c r="H60" s="56"/>
      <c r="I60" s="56"/>
      <c r="J60" s="56">
        <f t="shared" si="31"/>
        <v>1000</v>
      </c>
      <c r="K60" s="56"/>
      <c r="L60" s="56"/>
      <c r="M60" s="56"/>
      <c r="N60" s="56">
        <f t="shared" si="32"/>
        <v>1000</v>
      </c>
      <c r="O60" s="56"/>
      <c r="P60" s="56"/>
      <c r="Q60" s="56"/>
      <c r="R60" s="56">
        <f t="shared" si="49"/>
        <v>1000</v>
      </c>
      <c r="S60" s="56"/>
      <c r="T60" s="56"/>
      <c r="U60" s="56"/>
      <c r="V60" s="56">
        <f t="shared" si="55"/>
        <v>1000</v>
      </c>
      <c r="W60" s="56"/>
      <c r="X60" s="56"/>
      <c r="Y60" s="56"/>
      <c r="Z60" s="56">
        <f t="shared" si="56"/>
        <v>1000</v>
      </c>
      <c r="AA60" s="56"/>
      <c r="AB60" s="56"/>
      <c r="AC60" s="56"/>
      <c r="AD60" s="56">
        <f t="shared" si="57"/>
        <v>1000</v>
      </c>
      <c r="AE60" s="56"/>
      <c r="AF60" s="56"/>
      <c r="AG60" s="56"/>
      <c r="AH60" s="57">
        <f t="shared" si="33"/>
        <v>7000</v>
      </c>
      <c r="AI60" s="58">
        <f t="shared" si="34"/>
        <v>0</v>
      </c>
      <c r="AK60">
        <v>0</v>
      </c>
      <c r="AL60" t="str">
        <f t="shared" ca="1" si="35"/>
        <v/>
      </c>
      <c r="AM60">
        <f t="shared" ca="1" si="36"/>
        <v>0</v>
      </c>
      <c r="AN60" t="str">
        <f t="shared" ca="1" si="37"/>
        <v/>
      </c>
      <c r="AO60">
        <f t="shared" ca="1" si="38"/>
        <v>0</v>
      </c>
      <c r="AP60" t="str">
        <f t="shared" ca="1" si="39"/>
        <v/>
      </c>
      <c r="AQ60">
        <f t="shared" ca="1" si="40"/>
        <v>0</v>
      </c>
      <c r="AR60" t="str">
        <f t="shared" ca="1" si="41"/>
        <v/>
      </c>
      <c r="AS60">
        <f t="shared" ca="1" si="42"/>
        <v>0</v>
      </c>
      <c r="AT60" t="str">
        <f t="shared" ca="1" si="43"/>
        <v/>
      </c>
      <c r="AU60">
        <f t="shared" ca="1" si="44"/>
        <v>0</v>
      </c>
      <c r="AV60" t="str">
        <f t="shared" ca="1" si="45"/>
        <v/>
      </c>
      <c r="AW60">
        <f t="shared" ca="1" si="46"/>
        <v>0</v>
      </c>
      <c r="AX60" t="str">
        <f t="shared" ca="1" si="47"/>
        <v/>
      </c>
      <c r="AY60">
        <f t="shared" ca="1" si="48"/>
        <v>0</v>
      </c>
    </row>
    <row r="61" spans="2:51" ht="14.25" customHeight="1" x14ac:dyDescent="0.3">
      <c r="B61" s="51">
        <f t="shared" si="29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>
        <f t="shared" si="30"/>
        <v>1000</v>
      </c>
      <c r="G61" s="52"/>
      <c r="H61" s="52"/>
      <c r="I61" s="52"/>
      <c r="J61" s="52">
        <f t="shared" si="31"/>
        <v>1000</v>
      </c>
      <c r="K61" s="52"/>
      <c r="L61" s="52"/>
      <c r="M61" s="52"/>
      <c r="N61" s="52">
        <f t="shared" si="32"/>
        <v>1000</v>
      </c>
      <c r="O61" s="52"/>
      <c r="P61" s="52"/>
      <c r="Q61" s="52"/>
      <c r="R61" s="52">
        <f t="shared" si="49"/>
        <v>1000</v>
      </c>
      <c r="S61" s="52"/>
      <c r="T61" s="52"/>
      <c r="U61" s="52"/>
      <c r="V61" s="52">
        <f t="shared" si="55"/>
        <v>1000</v>
      </c>
      <c r="W61" s="52"/>
      <c r="X61" s="52"/>
      <c r="Y61" s="52"/>
      <c r="Z61" s="52">
        <f t="shared" si="56"/>
        <v>1000</v>
      </c>
      <c r="AA61" s="52"/>
      <c r="AB61" s="52"/>
      <c r="AC61" s="52"/>
      <c r="AD61" s="52">
        <f t="shared" si="57"/>
        <v>1000</v>
      </c>
      <c r="AE61" s="52"/>
      <c r="AF61" s="52"/>
      <c r="AG61" s="52"/>
      <c r="AH61" s="53">
        <f t="shared" si="33"/>
        <v>7000</v>
      </c>
      <c r="AI61" s="54">
        <f t="shared" si="34"/>
        <v>0</v>
      </c>
      <c r="AK61">
        <v>0</v>
      </c>
      <c r="AL61" t="str">
        <f t="shared" ca="1" si="35"/>
        <v/>
      </c>
      <c r="AM61">
        <f t="shared" ca="1" si="36"/>
        <v>0</v>
      </c>
      <c r="AN61" t="str">
        <f t="shared" ca="1" si="37"/>
        <v/>
      </c>
      <c r="AO61">
        <f t="shared" ca="1" si="38"/>
        <v>0</v>
      </c>
      <c r="AP61" t="str">
        <f t="shared" ca="1" si="39"/>
        <v/>
      </c>
      <c r="AQ61">
        <f t="shared" ca="1" si="40"/>
        <v>0</v>
      </c>
      <c r="AR61" t="str">
        <f t="shared" ca="1" si="41"/>
        <v/>
      </c>
      <c r="AS61">
        <f t="shared" ca="1" si="42"/>
        <v>0</v>
      </c>
      <c r="AT61" t="str">
        <f t="shared" ca="1" si="43"/>
        <v/>
      </c>
      <c r="AU61">
        <f t="shared" ca="1" si="44"/>
        <v>0</v>
      </c>
      <c r="AV61" t="str">
        <f t="shared" ca="1" si="45"/>
        <v/>
      </c>
      <c r="AW61">
        <f t="shared" ca="1" si="46"/>
        <v>0</v>
      </c>
      <c r="AX61" t="str">
        <f t="shared" ca="1" si="47"/>
        <v/>
      </c>
      <c r="AY61">
        <f t="shared" ca="1" si="48"/>
        <v>0</v>
      </c>
    </row>
    <row r="62" spans="2:51" ht="14.25" customHeight="1" x14ac:dyDescent="0.3">
      <c r="B62" s="55">
        <f t="shared" si="29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>
        <f t="shared" si="30"/>
        <v>1000</v>
      </c>
      <c r="G62" s="56"/>
      <c r="H62" s="56"/>
      <c r="I62" s="56"/>
      <c r="J62" s="56">
        <f t="shared" si="31"/>
        <v>1000</v>
      </c>
      <c r="K62" s="56"/>
      <c r="L62" s="56"/>
      <c r="M62" s="56"/>
      <c r="N62" s="56">
        <f t="shared" si="32"/>
        <v>1000</v>
      </c>
      <c r="O62" s="56"/>
      <c r="P62" s="56"/>
      <c r="Q62" s="56"/>
      <c r="R62" s="56">
        <f t="shared" si="49"/>
        <v>1000</v>
      </c>
      <c r="S62" s="56"/>
      <c r="T62" s="56"/>
      <c r="U62" s="56"/>
      <c r="V62" s="56">
        <f t="shared" si="55"/>
        <v>1000</v>
      </c>
      <c r="W62" s="56"/>
      <c r="X62" s="56"/>
      <c r="Y62" s="56"/>
      <c r="Z62" s="56">
        <f t="shared" si="56"/>
        <v>1000</v>
      </c>
      <c r="AA62" s="56"/>
      <c r="AB62" s="56"/>
      <c r="AC62" s="56"/>
      <c r="AD62" s="56">
        <f t="shared" si="57"/>
        <v>1000</v>
      </c>
      <c r="AE62" s="56"/>
      <c r="AF62" s="56"/>
      <c r="AG62" s="56"/>
      <c r="AH62" s="57">
        <f t="shared" si="33"/>
        <v>7000</v>
      </c>
      <c r="AI62" s="58">
        <f t="shared" si="34"/>
        <v>0</v>
      </c>
      <c r="AK62">
        <v>0</v>
      </c>
      <c r="AL62" t="str">
        <f t="shared" ca="1" si="35"/>
        <v/>
      </c>
      <c r="AM62">
        <f t="shared" ca="1" si="36"/>
        <v>0</v>
      </c>
      <c r="AN62" t="str">
        <f t="shared" ca="1" si="37"/>
        <v/>
      </c>
      <c r="AO62">
        <f t="shared" ca="1" si="38"/>
        <v>0</v>
      </c>
      <c r="AP62" t="str">
        <f t="shared" ca="1" si="39"/>
        <v/>
      </c>
      <c r="AQ62">
        <f t="shared" ca="1" si="40"/>
        <v>0</v>
      </c>
      <c r="AR62" t="str">
        <f t="shared" ca="1" si="41"/>
        <v/>
      </c>
      <c r="AS62">
        <f t="shared" ca="1" si="42"/>
        <v>0</v>
      </c>
      <c r="AT62" t="str">
        <f t="shared" ca="1" si="43"/>
        <v/>
      </c>
      <c r="AU62">
        <f t="shared" ca="1" si="44"/>
        <v>0</v>
      </c>
      <c r="AV62" t="str">
        <f t="shared" ca="1" si="45"/>
        <v/>
      </c>
      <c r="AW62">
        <f t="shared" ca="1" si="46"/>
        <v>0</v>
      </c>
      <c r="AX62" t="str">
        <f t="shared" ca="1" si="47"/>
        <v/>
      </c>
      <c r="AY62">
        <f t="shared" ca="1" si="48"/>
        <v>0</v>
      </c>
    </row>
    <row r="63" spans="2:51" ht="14.25" customHeight="1" x14ac:dyDescent="0.3">
      <c r="B63" s="51">
        <f t="shared" si="29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>
        <f t="shared" si="30"/>
        <v>2000</v>
      </c>
      <c r="G63" s="52"/>
      <c r="H63" s="52"/>
      <c r="I63" s="52"/>
      <c r="J63" s="52">
        <f t="shared" si="31"/>
        <v>2000</v>
      </c>
      <c r="K63" s="52"/>
      <c r="L63" s="52"/>
      <c r="M63" s="52"/>
      <c r="N63" s="52">
        <f t="shared" si="32"/>
        <v>2000</v>
      </c>
      <c r="O63" s="52"/>
      <c r="P63" s="52"/>
      <c r="Q63" s="52"/>
      <c r="R63" s="52">
        <f t="shared" si="49"/>
        <v>2000</v>
      </c>
      <c r="S63" s="52"/>
      <c r="T63" s="52"/>
      <c r="U63" s="52">
        <v>100</v>
      </c>
      <c r="V63" s="52">
        <f t="shared" si="55"/>
        <v>2000</v>
      </c>
      <c r="W63" s="52"/>
      <c r="X63" s="52"/>
      <c r="Y63" s="52"/>
      <c r="Z63" s="52">
        <f t="shared" si="56"/>
        <v>2000</v>
      </c>
      <c r="AA63" s="52"/>
      <c r="AB63" s="52"/>
      <c r="AC63" s="52"/>
      <c r="AD63" s="52">
        <f t="shared" si="57"/>
        <v>2000</v>
      </c>
      <c r="AE63" s="52"/>
      <c r="AF63" s="52"/>
      <c r="AG63" s="52"/>
      <c r="AH63" s="53">
        <f t="shared" si="33"/>
        <v>14000</v>
      </c>
      <c r="AI63" s="54">
        <f t="shared" si="34"/>
        <v>100</v>
      </c>
      <c r="AK63">
        <v>0</v>
      </c>
      <c r="AL63" t="str">
        <f t="shared" ca="1" si="35"/>
        <v/>
      </c>
      <c r="AM63">
        <f t="shared" ca="1" si="36"/>
        <v>0</v>
      </c>
      <c r="AN63" t="str">
        <f t="shared" ca="1" si="37"/>
        <v/>
      </c>
      <c r="AO63">
        <f t="shared" ca="1" si="38"/>
        <v>0</v>
      </c>
      <c r="AP63" t="str">
        <f t="shared" ca="1" si="39"/>
        <v/>
      </c>
      <c r="AQ63">
        <f t="shared" ca="1" si="40"/>
        <v>0</v>
      </c>
      <c r="AR63" t="str">
        <f t="shared" ca="1" si="41"/>
        <v/>
      </c>
      <c r="AS63">
        <f t="shared" ca="1" si="42"/>
        <v>0</v>
      </c>
      <c r="AT63" t="str">
        <f t="shared" ca="1" si="43"/>
        <v/>
      </c>
      <c r="AU63">
        <f t="shared" ca="1" si="44"/>
        <v>0</v>
      </c>
      <c r="AV63" t="str">
        <f t="shared" ca="1" si="45"/>
        <v/>
      </c>
      <c r="AW63">
        <f t="shared" ca="1" si="46"/>
        <v>0</v>
      </c>
      <c r="AX63" t="str">
        <f t="shared" ca="1" si="47"/>
        <v/>
      </c>
      <c r="AY63">
        <f t="shared" ca="1" si="48"/>
        <v>0</v>
      </c>
    </row>
    <row r="64" spans="2:51" ht="14.25" customHeight="1" x14ac:dyDescent="0.3">
      <c r="B64" s="55">
        <f t="shared" si="29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>
        <f t="shared" si="30"/>
        <v>1000</v>
      </c>
      <c r="G64" s="56"/>
      <c r="H64" s="56"/>
      <c r="I64" s="56"/>
      <c r="J64" s="56">
        <f t="shared" si="31"/>
        <v>1000</v>
      </c>
      <c r="K64" s="56"/>
      <c r="L64" s="56"/>
      <c r="M64" s="56"/>
      <c r="N64" s="56">
        <f t="shared" si="32"/>
        <v>1000</v>
      </c>
      <c r="O64" s="56"/>
      <c r="P64" s="56"/>
      <c r="Q64" s="56"/>
      <c r="R64" s="56">
        <f t="shared" si="49"/>
        <v>1000</v>
      </c>
      <c r="S64" s="56"/>
      <c r="T64" s="56"/>
      <c r="U64" s="56"/>
      <c r="V64" s="56">
        <f t="shared" si="55"/>
        <v>1000</v>
      </c>
      <c r="W64" s="56"/>
      <c r="X64" s="56"/>
      <c r="Y64" s="56"/>
      <c r="Z64" s="56">
        <f t="shared" si="56"/>
        <v>1000</v>
      </c>
      <c r="AA64" s="56"/>
      <c r="AB64" s="56"/>
      <c r="AC64" s="56"/>
      <c r="AD64" s="56">
        <f t="shared" si="57"/>
        <v>1000</v>
      </c>
      <c r="AE64" s="56"/>
      <c r="AF64" s="56"/>
      <c r="AG64" s="56"/>
      <c r="AH64" s="57">
        <f t="shared" si="33"/>
        <v>7000</v>
      </c>
      <c r="AI64" s="58">
        <f t="shared" si="34"/>
        <v>0</v>
      </c>
      <c r="AK64">
        <v>0</v>
      </c>
      <c r="AL64" t="str">
        <f t="shared" ca="1" si="35"/>
        <v/>
      </c>
      <c r="AM64">
        <f t="shared" ca="1" si="36"/>
        <v>0</v>
      </c>
      <c r="AN64" t="str">
        <f t="shared" ca="1" si="37"/>
        <v/>
      </c>
      <c r="AO64">
        <f t="shared" ca="1" si="38"/>
        <v>0</v>
      </c>
      <c r="AP64" t="str">
        <f t="shared" ca="1" si="39"/>
        <v/>
      </c>
      <c r="AQ64">
        <f t="shared" ca="1" si="40"/>
        <v>0</v>
      </c>
      <c r="AR64" t="str">
        <f t="shared" ca="1" si="41"/>
        <v/>
      </c>
      <c r="AS64">
        <f t="shared" ca="1" si="42"/>
        <v>0</v>
      </c>
      <c r="AT64" t="str">
        <f t="shared" ca="1" si="43"/>
        <v/>
      </c>
      <c r="AU64">
        <f t="shared" ca="1" si="44"/>
        <v>0</v>
      </c>
      <c r="AV64" t="str">
        <f t="shared" ca="1" si="45"/>
        <v/>
      </c>
      <c r="AW64">
        <f t="shared" ca="1" si="46"/>
        <v>0</v>
      </c>
      <c r="AX64" t="str">
        <f t="shared" ca="1" si="47"/>
        <v/>
      </c>
      <c r="AY64">
        <f t="shared" ca="1" si="48"/>
        <v>0</v>
      </c>
    </row>
    <row r="65" spans="2:51" ht="14.25" customHeight="1" x14ac:dyDescent="0.3">
      <c r="B65" s="51">
        <f t="shared" si="29"/>
        <v>62</v>
      </c>
      <c r="C65" s="52" t="s">
        <v>92</v>
      </c>
      <c r="D65" s="16">
        <f>'Member Wise Deposit Summary'!D65</f>
        <v>1885316318</v>
      </c>
      <c r="E65" s="52">
        <v>1</v>
      </c>
      <c r="F65" s="52">
        <f t="shared" si="30"/>
        <v>1000</v>
      </c>
      <c r="G65" s="52"/>
      <c r="H65" s="52"/>
      <c r="I65" s="52"/>
      <c r="J65" s="52">
        <f t="shared" si="31"/>
        <v>1000</v>
      </c>
      <c r="K65" s="52"/>
      <c r="L65" s="52"/>
      <c r="M65" s="52"/>
      <c r="N65" s="243"/>
      <c r="O65" s="52"/>
      <c r="P65" s="52"/>
      <c r="Q65" s="52"/>
      <c r="R65" s="52">
        <f t="shared" si="49"/>
        <v>1000</v>
      </c>
      <c r="S65" s="52"/>
      <c r="T65" s="52">
        <v>1000</v>
      </c>
      <c r="U65" s="52">
        <v>50</v>
      </c>
      <c r="V65" s="243"/>
      <c r="W65" s="52"/>
      <c r="X65" s="52"/>
      <c r="Y65" s="52"/>
      <c r="Z65" s="52">
        <f t="shared" si="56"/>
        <v>1000</v>
      </c>
      <c r="AA65" s="52"/>
      <c r="AB65" s="52">
        <v>1000</v>
      </c>
      <c r="AC65" s="52">
        <v>50</v>
      </c>
      <c r="AD65" s="52">
        <f t="shared" si="57"/>
        <v>1000</v>
      </c>
      <c r="AE65" s="52"/>
      <c r="AF65" s="52"/>
      <c r="AG65" s="52"/>
      <c r="AH65" s="53">
        <f t="shared" si="33"/>
        <v>7000</v>
      </c>
      <c r="AI65" s="54">
        <f t="shared" si="34"/>
        <v>100</v>
      </c>
      <c r="AK65">
        <v>0</v>
      </c>
      <c r="AL65" t="str">
        <f t="shared" ca="1" si="35"/>
        <v/>
      </c>
      <c r="AM65">
        <f t="shared" ca="1" si="36"/>
        <v>0</v>
      </c>
      <c r="AN65" t="str">
        <f t="shared" ca="1" si="37"/>
        <v/>
      </c>
      <c r="AO65">
        <f t="shared" ca="1" si="38"/>
        <v>0</v>
      </c>
      <c r="AP65" t="str">
        <f t="shared" ca="1" si="39"/>
        <v>R</v>
      </c>
      <c r="AQ65">
        <f t="shared" ca="1" si="40"/>
        <v>0</v>
      </c>
      <c r="AR65" t="str">
        <f t="shared" ca="1" si="41"/>
        <v/>
      </c>
      <c r="AS65">
        <f t="shared" ca="1" si="42"/>
        <v>0</v>
      </c>
      <c r="AT65" t="str">
        <f t="shared" ca="1" si="43"/>
        <v>R</v>
      </c>
      <c r="AU65">
        <f t="shared" ca="1" si="44"/>
        <v>0</v>
      </c>
      <c r="AV65" t="str">
        <f t="shared" ca="1" si="45"/>
        <v/>
      </c>
      <c r="AW65">
        <f t="shared" ca="1" si="46"/>
        <v>0</v>
      </c>
      <c r="AX65" t="str">
        <f t="shared" ca="1" si="47"/>
        <v/>
      </c>
      <c r="AY65">
        <f t="shared" ca="1" si="48"/>
        <v>0</v>
      </c>
    </row>
    <row r="66" spans="2:51" ht="14.25" customHeight="1" x14ac:dyDescent="0.3">
      <c r="B66" s="55">
        <f t="shared" si="29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>
        <f t="shared" si="30"/>
        <v>1000</v>
      </c>
      <c r="G66" s="56"/>
      <c r="H66" s="56"/>
      <c r="I66" s="56"/>
      <c r="J66" s="56">
        <f t="shared" si="31"/>
        <v>1000</v>
      </c>
      <c r="K66" s="56"/>
      <c r="L66" s="56"/>
      <c r="M66" s="56"/>
      <c r="N66" s="56">
        <f t="shared" ref="N66:N76" si="58">$E66*1000</f>
        <v>1000</v>
      </c>
      <c r="O66" s="56"/>
      <c r="P66" s="56"/>
      <c r="Q66" s="56"/>
      <c r="R66" s="241"/>
      <c r="S66" s="56"/>
      <c r="T66" s="56"/>
      <c r="U66" s="56"/>
      <c r="V66" s="56">
        <f t="shared" ref="V66:V76" si="59">$E66*1000</f>
        <v>1000</v>
      </c>
      <c r="W66" s="56"/>
      <c r="X66" s="56">
        <v>1000</v>
      </c>
      <c r="Y66" s="56">
        <v>50</v>
      </c>
      <c r="Z66" s="56">
        <f t="shared" si="56"/>
        <v>1000</v>
      </c>
      <c r="AA66" s="56"/>
      <c r="AB66" s="56"/>
      <c r="AC66" s="56"/>
      <c r="AD66" s="56">
        <f t="shared" si="57"/>
        <v>1000</v>
      </c>
      <c r="AE66" s="56"/>
      <c r="AF66" s="56"/>
      <c r="AG66" s="56"/>
      <c r="AH66" s="57">
        <f t="shared" si="33"/>
        <v>7000</v>
      </c>
      <c r="AI66" s="58">
        <f t="shared" si="34"/>
        <v>50</v>
      </c>
      <c r="AK66">
        <v>0</v>
      </c>
      <c r="AL66" t="str">
        <f t="shared" ca="1" si="35"/>
        <v/>
      </c>
      <c r="AM66">
        <f t="shared" ca="1" si="36"/>
        <v>0</v>
      </c>
      <c r="AN66" t="str">
        <f t="shared" ca="1" si="37"/>
        <v/>
      </c>
      <c r="AO66">
        <f t="shared" ca="1" si="38"/>
        <v>0</v>
      </c>
      <c r="AP66" t="str">
        <f t="shared" ca="1" si="39"/>
        <v/>
      </c>
      <c r="AQ66">
        <f t="shared" ca="1" si="40"/>
        <v>0</v>
      </c>
      <c r="AR66" t="str">
        <f t="shared" ca="1" si="41"/>
        <v>R</v>
      </c>
      <c r="AS66">
        <f t="shared" ca="1" si="42"/>
        <v>0</v>
      </c>
      <c r="AT66" t="str">
        <f t="shared" ca="1" si="43"/>
        <v/>
      </c>
      <c r="AU66">
        <f t="shared" ca="1" si="44"/>
        <v>0</v>
      </c>
      <c r="AV66" t="str">
        <f t="shared" ca="1" si="45"/>
        <v/>
      </c>
      <c r="AW66">
        <f t="shared" ca="1" si="46"/>
        <v>0</v>
      </c>
      <c r="AX66" t="str">
        <f t="shared" ca="1" si="47"/>
        <v/>
      </c>
      <c r="AY66">
        <f t="shared" ca="1" si="48"/>
        <v>0</v>
      </c>
    </row>
    <row r="67" spans="2:51" ht="14.25" customHeight="1" x14ac:dyDescent="0.3">
      <c r="B67" s="51">
        <f t="shared" si="29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>
        <f t="shared" si="30"/>
        <v>1000</v>
      </c>
      <c r="G67" s="52"/>
      <c r="H67" s="52"/>
      <c r="I67" s="52"/>
      <c r="J67" s="52">
        <f t="shared" si="31"/>
        <v>1000</v>
      </c>
      <c r="K67" s="52"/>
      <c r="L67" s="52"/>
      <c r="M67" s="52"/>
      <c r="N67" s="52">
        <f t="shared" si="58"/>
        <v>1000</v>
      </c>
      <c r="O67" s="52"/>
      <c r="P67" s="52"/>
      <c r="Q67" s="52"/>
      <c r="R67" s="52">
        <f t="shared" ref="R67:R72" si="60">$E67*1000</f>
        <v>1000</v>
      </c>
      <c r="S67" s="52"/>
      <c r="T67" s="52"/>
      <c r="U67" s="52"/>
      <c r="V67" s="52">
        <f t="shared" si="59"/>
        <v>1000</v>
      </c>
      <c r="W67" s="52"/>
      <c r="X67" s="52"/>
      <c r="Y67" s="52"/>
      <c r="Z67" s="52">
        <f t="shared" si="56"/>
        <v>1000</v>
      </c>
      <c r="AA67" s="52"/>
      <c r="AB67" s="52"/>
      <c r="AC67" s="52"/>
      <c r="AD67" s="52">
        <f t="shared" si="57"/>
        <v>1000</v>
      </c>
      <c r="AE67" s="52"/>
      <c r="AF67" s="52"/>
      <c r="AG67" s="52"/>
      <c r="AH67" s="53">
        <f t="shared" si="33"/>
        <v>7000</v>
      </c>
      <c r="AI67" s="54">
        <f t="shared" si="34"/>
        <v>0</v>
      </c>
      <c r="AK67">
        <v>0</v>
      </c>
      <c r="AL67" t="str">
        <f t="shared" ca="1" si="35"/>
        <v/>
      </c>
      <c r="AM67">
        <f t="shared" ca="1" si="36"/>
        <v>0</v>
      </c>
      <c r="AN67" t="str">
        <f t="shared" ca="1" si="37"/>
        <v/>
      </c>
      <c r="AO67">
        <f t="shared" ca="1" si="38"/>
        <v>0</v>
      </c>
      <c r="AP67" t="str">
        <f t="shared" ca="1" si="39"/>
        <v/>
      </c>
      <c r="AQ67">
        <f t="shared" ca="1" si="40"/>
        <v>0</v>
      </c>
      <c r="AR67" t="str">
        <f t="shared" ca="1" si="41"/>
        <v/>
      </c>
      <c r="AS67">
        <f t="shared" ca="1" si="42"/>
        <v>0</v>
      </c>
      <c r="AT67" t="str">
        <f t="shared" ca="1" si="43"/>
        <v/>
      </c>
      <c r="AU67">
        <f t="shared" ca="1" si="44"/>
        <v>0</v>
      </c>
      <c r="AV67" t="str">
        <f t="shared" ca="1" si="45"/>
        <v/>
      </c>
      <c r="AW67">
        <f t="shared" ca="1" si="46"/>
        <v>0</v>
      </c>
      <c r="AX67" t="str">
        <f t="shared" ca="1" si="47"/>
        <v/>
      </c>
      <c r="AY67">
        <f t="shared" ca="1" si="48"/>
        <v>0</v>
      </c>
    </row>
    <row r="68" spans="2:51" ht="14.25" customHeight="1" x14ac:dyDescent="0.3">
      <c r="B68" s="55">
        <f t="shared" ref="B68:B80" si="61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>
        <f t="shared" ref="F68:F79" si="62">$E68*1000</f>
        <v>1000</v>
      </c>
      <c r="G68" s="56"/>
      <c r="H68" s="56"/>
      <c r="I68" s="56"/>
      <c r="J68" s="56">
        <f t="shared" ref="J68:J79" si="63">$E68*1000</f>
        <v>1000</v>
      </c>
      <c r="K68" s="56"/>
      <c r="L68" s="56"/>
      <c r="M68" s="56"/>
      <c r="N68" s="56">
        <f t="shared" si="58"/>
        <v>1000</v>
      </c>
      <c r="O68" s="56"/>
      <c r="P68" s="56"/>
      <c r="Q68" s="56"/>
      <c r="R68" s="56">
        <f t="shared" si="60"/>
        <v>1000</v>
      </c>
      <c r="S68" s="56"/>
      <c r="T68" s="56"/>
      <c r="U68" s="56"/>
      <c r="V68" s="56">
        <f t="shared" si="59"/>
        <v>1000</v>
      </c>
      <c r="W68" s="56"/>
      <c r="X68" s="56"/>
      <c r="Y68" s="56"/>
      <c r="Z68" s="56">
        <f t="shared" si="56"/>
        <v>1000</v>
      </c>
      <c r="AA68" s="56"/>
      <c r="AB68" s="56"/>
      <c r="AC68" s="56"/>
      <c r="AD68" s="56">
        <f t="shared" si="57"/>
        <v>1000</v>
      </c>
      <c r="AE68" s="56"/>
      <c r="AF68" s="56"/>
      <c r="AG68" s="56"/>
      <c r="AH68" s="57">
        <f t="shared" ref="AH68:AH80" si="64">F68+G68+H68+J68+K68+L68+N68+O68+P68+R68+S68+T68+V68+W68+X68+Z68+AA68+AB68+AD68+AE68+AF68</f>
        <v>7000</v>
      </c>
      <c r="AI68" s="58">
        <f t="shared" ref="AI68:AI80" si="65">I68+M68+Q68+U68+Y68+AC68+AG68</f>
        <v>0</v>
      </c>
      <c r="AK68">
        <v>0</v>
      </c>
      <c r="AL68" t="str">
        <f t="shared" ref="AL68:AL80" ca="1" si="66">IF(N(F68)&gt;=$E68*1000,"",IF(AND($E68&gt;0,AK68&gt;=$E68*1000),"G",IF(F$2&lt;=TODAY(),"R","")))</f>
        <v/>
      </c>
      <c r="AM68">
        <f t="shared" ref="AM68:AM80" ca="1" si="67">AK68-IF(AL68="G",$E68*1000,0)+N(G68)</f>
        <v>0</v>
      </c>
      <c r="AN68" t="str">
        <f t="shared" ref="AN68:AN80" ca="1" si="68">IF(N(J68)&gt;=$E68*1000,"",IF(AND($E68&gt;0,AM68&gt;=$E68*1000),"G",IF(J$2&lt;=TODAY(),"R","")))</f>
        <v/>
      </c>
      <c r="AO68">
        <f t="shared" ref="AO68:AO80" ca="1" si="69">AM68-IF(AN68="G",$E68*1000,0)+N(K68)</f>
        <v>0</v>
      </c>
      <c r="AP68" t="str">
        <f t="shared" ref="AP68:AP80" ca="1" si="70">IF(N(N68)&gt;=$E68*1000,"",IF(AND($E68&gt;0,AO68&gt;=$E68*1000),"G",IF(N$2&lt;=TODAY(),"R","")))</f>
        <v/>
      </c>
      <c r="AQ68">
        <f t="shared" ref="AQ68:AQ80" ca="1" si="71">AO68-IF(AP68="G",$E68*1000,0)+N(O68)</f>
        <v>0</v>
      </c>
      <c r="AR68" t="str">
        <f t="shared" ref="AR68:AR80" ca="1" si="72">IF(N(R68)&gt;=$E68*1000,"",IF(AND($E68&gt;0,AQ68&gt;=$E68*1000),"G",IF(R$2&lt;=TODAY(),"R","")))</f>
        <v/>
      </c>
      <c r="AS68">
        <f t="shared" ref="AS68:AS80" ca="1" si="73">AQ68-IF(AR68="G",$E68*1000,0)+N(S68)</f>
        <v>0</v>
      </c>
      <c r="AT68" t="str">
        <f t="shared" ref="AT68:AT80" ca="1" si="74">IF(N(V68)&gt;=$E68*1000,"",IF(AND($E68&gt;0,AS68&gt;=$E68*1000),"G",IF(V$2&lt;=TODAY(),"R","")))</f>
        <v/>
      </c>
      <c r="AU68">
        <f t="shared" ref="AU68:AU80" ca="1" si="75">AS68-IF(AT68="G",$E68*1000,0)+N(W68)</f>
        <v>0</v>
      </c>
      <c r="AV68" t="str">
        <f t="shared" ref="AV68:AV80" ca="1" si="76">IF(N(Z68)&gt;=$E68*1000,"",IF(AND($E68&gt;0,AU68&gt;=$E68*1000),"G",IF(Z$2&lt;=TODAY(),"R","")))</f>
        <v/>
      </c>
      <c r="AW68">
        <f t="shared" ref="AW68:AW80" ca="1" si="77">AU68-IF(AV68="G",$E68*1000,0)+N(AA68)</f>
        <v>0</v>
      </c>
      <c r="AX68" t="str">
        <f t="shared" ref="AX68:AX80" ca="1" si="78">IF(N(AD68)&gt;=$E68*1000,"",IF(AND($E68&gt;0,AW68&gt;=$E68*1000),"G",IF(AD$2&lt;=TODAY(),"R","")))</f>
        <v/>
      </c>
      <c r="AY68">
        <f t="shared" ref="AY68:AY80" ca="1" si="79">AW68-IF(AX68="G",$E68*1000,0)+N(AE68)</f>
        <v>0</v>
      </c>
    </row>
    <row r="69" spans="2:51" ht="14.25" customHeight="1" x14ac:dyDescent="0.3">
      <c r="B69" s="51">
        <f t="shared" si="61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>
        <f t="shared" si="62"/>
        <v>1000</v>
      </c>
      <c r="G69" s="52"/>
      <c r="H69" s="52"/>
      <c r="I69" s="52"/>
      <c r="J69" s="52">
        <f t="shared" si="63"/>
        <v>1000</v>
      </c>
      <c r="K69" s="52"/>
      <c r="L69" s="52"/>
      <c r="M69" s="52"/>
      <c r="N69" s="52">
        <f t="shared" si="58"/>
        <v>1000</v>
      </c>
      <c r="O69" s="52"/>
      <c r="P69" s="52"/>
      <c r="Q69" s="52"/>
      <c r="R69" s="52">
        <f t="shared" si="60"/>
        <v>1000</v>
      </c>
      <c r="S69" s="52"/>
      <c r="T69" s="52"/>
      <c r="U69" s="52"/>
      <c r="V69" s="52">
        <f t="shared" si="59"/>
        <v>1000</v>
      </c>
      <c r="W69" s="52"/>
      <c r="X69" s="52"/>
      <c r="Y69" s="52"/>
      <c r="Z69" s="52">
        <f t="shared" si="56"/>
        <v>1000</v>
      </c>
      <c r="AA69" s="52"/>
      <c r="AB69" s="52"/>
      <c r="AC69" s="52"/>
      <c r="AD69" s="52">
        <f t="shared" si="57"/>
        <v>1000</v>
      </c>
      <c r="AE69" s="52"/>
      <c r="AF69" s="52"/>
      <c r="AG69" s="52"/>
      <c r="AH69" s="53">
        <f t="shared" si="64"/>
        <v>7000</v>
      </c>
      <c r="AI69" s="54">
        <f t="shared" si="65"/>
        <v>0</v>
      </c>
      <c r="AK69">
        <v>0</v>
      </c>
      <c r="AL69" t="str">
        <f t="shared" ca="1" si="66"/>
        <v/>
      </c>
      <c r="AM69">
        <f t="shared" ca="1" si="67"/>
        <v>0</v>
      </c>
      <c r="AN69" t="str">
        <f t="shared" ca="1" si="68"/>
        <v/>
      </c>
      <c r="AO69">
        <f t="shared" ca="1" si="69"/>
        <v>0</v>
      </c>
      <c r="AP69" t="str">
        <f t="shared" ca="1" si="70"/>
        <v/>
      </c>
      <c r="AQ69">
        <f t="shared" ca="1" si="71"/>
        <v>0</v>
      </c>
      <c r="AR69" t="str">
        <f t="shared" ca="1" si="72"/>
        <v/>
      </c>
      <c r="AS69">
        <f t="shared" ca="1" si="73"/>
        <v>0</v>
      </c>
      <c r="AT69" t="str">
        <f t="shared" ca="1" si="74"/>
        <v/>
      </c>
      <c r="AU69">
        <f t="shared" ca="1" si="75"/>
        <v>0</v>
      </c>
      <c r="AV69" t="str">
        <f t="shared" ca="1" si="76"/>
        <v/>
      </c>
      <c r="AW69">
        <f t="shared" ca="1" si="77"/>
        <v>0</v>
      </c>
      <c r="AX69" t="str">
        <f t="shared" ca="1" si="78"/>
        <v/>
      </c>
      <c r="AY69">
        <f t="shared" ca="1" si="79"/>
        <v>0</v>
      </c>
    </row>
    <row r="70" spans="2:51" ht="14.25" customHeight="1" x14ac:dyDescent="0.3">
      <c r="B70" s="55">
        <f t="shared" si="61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56">
        <f t="shared" si="62"/>
        <v>1000</v>
      </c>
      <c r="G70" s="56"/>
      <c r="H70" s="56"/>
      <c r="I70" s="56"/>
      <c r="J70" s="56">
        <f t="shared" si="63"/>
        <v>1000</v>
      </c>
      <c r="K70" s="56"/>
      <c r="L70" s="56"/>
      <c r="M70" s="56"/>
      <c r="N70" s="56">
        <f t="shared" si="58"/>
        <v>1000</v>
      </c>
      <c r="O70" s="56"/>
      <c r="P70" s="56"/>
      <c r="Q70" s="56"/>
      <c r="R70" s="56">
        <f t="shared" si="60"/>
        <v>1000</v>
      </c>
      <c r="S70" s="56"/>
      <c r="T70" s="56"/>
      <c r="U70" s="56"/>
      <c r="V70" s="56">
        <f t="shared" si="59"/>
        <v>1000</v>
      </c>
      <c r="W70" s="56"/>
      <c r="X70" s="56"/>
      <c r="Y70" s="56"/>
      <c r="Z70" s="56">
        <f t="shared" si="56"/>
        <v>1000</v>
      </c>
      <c r="AA70" s="56"/>
      <c r="AB70" s="56"/>
      <c r="AC70" s="56"/>
      <c r="AD70" s="56">
        <f t="shared" si="57"/>
        <v>1000</v>
      </c>
      <c r="AE70" s="56"/>
      <c r="AF70" s="56"/>
      <c r="AG70" s="56"/>
      <c r="AH70" s="57">
        <f t="shared" si="64"/>
        <v>7000</v>
      </c>
      <c r="AI70" s="58">
        <f t="shared" si="65"/>
        <v>0</v>
      </c>
      <c r="AK70">
        <v>0</v>
      </c>
      <c r="AL70" t="str">
        <f t="shared" ca="1" si="66"/>
        <v/>
      </c>
      <c r="AM70">
        <f t="shared" ca="1" si="67"/>
        <v>0</v>
      </c>
      <c r="AN70" t="str">
        <f t="shared" ca="1" si="68"/>
        <v/>
      </c>
      <c r="AO70">
        <f t="shared" ca="1" si="69"/>
        <v>0</v>
      </c>
      <c r="AP70" t="str">
        <f t="shared" ca="1" si="70"/>
        <v/>
      </c>
      <c r="AQ70">
        <f t="shared" ca="1" si="71"/>
        <v>0</v>
      </c>
      <c r="AR70" t="str">
        <f t="shared" ca="1" si="72"/>
        <v/>
      </c>
      <c r="AS70">
        <f t="shared" ca="1" si="73"/>
        <v>0</v>
      </c>
      <c r="AT70" t="str">
        <f t="shared" ca="1" si="74"/>
        <v/>
      </c>
      <c r="AU70">
        <f t="shared" ca="1" si="75"/>
        <v>0</v>
      </c>
      <c r="AV70" t="str">
        <f t="shared" ca="1" si="76"/>
        <v/>
      </c>
      <c r="AW70">
        <f t="shared" ca="1" si="77"/>
        <v>0</v>
      </c>
      <c r="AX70" t="str">
        <f t="shared" ca="1" si="78"/>
        <v/>
      </c>
      <c r="AY70">
        <f t="shared" ca="1" si="79"/>
        <v>0</v>
      </c>
    </row>
    <row r="71" spans="2:51" ht="14.25" customHeight="1" x14ac:dyDescent="0.3">
      <c r="B71" s="51">
        <f t="shared" si="61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52">
        <f t="shared" si="62"/>
        <v>1000</v>
      </c>
      <c r="G71" s="52"/>
      <c r="H71" s="52"/>
      <c r="I71" s="52"/>
      <c r="J71" s="52">
        <f t="shared" si="63"/>
        <v>1000</v>
      </c>
      <c r="K71" s="52"/>
      <c r="L71" s="52"/>
      <c r="M71" s="52"/>
      <c r="N71" s="52">
        <f t="shared" si="58"/>
        <v>1000</v>
      </c>
      <c r="O71" s="52"/>
      <c r="P71" s="52"/>
      <c r="Q71" s="52"/>
      <c r="R71" s="52">
        <f t="shared" si="60"/>
        <v>1000</v>
      </c>
      <c r="S71" s="52"/>
      <c r="T71" s="52"/>
      <c r="U71" s="52"/>
      <c r="V71" s="52">
        <f t="shared" si="59"/>
        <v>1000</v>
      </c>
      <c r="W71" s="52"/>
      <c r="X71" s="52"/>
      <c r="Y71" s="52"/>
      <c r="Z71" s="52">
        <f t="shared" si="56"/>
        <v>1000</v>
      </c>
      <c r="AA71" s="52"/>
      <c r="AB71" s="52"/>
      <c r="AC71" s="52"/>
      <c r="AD71" s="52">
        <f t="shared" si="57"/>
        <v>1000</v>
      </c>
      <c r="AE71" s="52"/>
      <c r="AF71" s="52"/>
      <c r="AG71" s="52"/>
      <c r="AH71" s="53">
        <f t="shared" si="64"/>
        <v>7000</v>
      </c>
      <c r="AI71" s="54">
        <f t="shared" si="65"/>
        <v>0</v>
      </c>
      <c r="AK71">
        <v>0</v>
      </c>
      <c r="AL71" t="str">
        <f t="shared" ca="1" si="66"/>
        <v/>
      </c>
      <c r="AM71">
        <f t="shared" ca="1" si="67"/>
        <v>0</v>
      </c>
      <c r="AN71" t="str">
        <f t="shared" ca="1" si="68"/>
        <v/>
      </c>
      <c r="AO71">
        <f t="shared" ca="1" si="69"/>
        <v>0</v>
      </c>
      <c r="AP71" t="str">
        <f t="shared" ca="1" si="70"/>
        <v/>
      </c>
      <c r="AQ71">
        <f t="shared" ca="1" si="71"/>
        <v>0</v>
      </c>
      <c r="AR71" t="str">
        <f t="shared" ca="1" si="72"/>
        <v/>
      </c>
      <c r="AS71">
        <f t="shared" ca="1" si="73"/>
        <v>0</v>
      </c>
      <c r="AT71" t="str">
        <f t="shared" ca="1" si="74"/>
        <v/>
      </c>
      <c r="AU71">
        <f t="shared" ca="1" si="75"/>
        <v>0</v>
      </c>
      <c r="AV71" t="str">
        <f t="shared" ca="1" si="76"/>
        <v/>
      </c>
      <c r="AW71">
        <f t="shared" ca="1" si="77"/>
        <v>0</v>
      </c>
      <c r="AX71" t="str">
        <f t="shared" ca="1" si="78"/>
        <v/>
      </c>
      <c r="AY71">
        <f t="shared" ca="1" si="79"/>
        <v>0</v>
      </c>
    </row>
    <row r="72" spans="2:51" ht="14.25" customHeight="1" x14ac:dyDescent="0.3">
      <c r="B72" s="55">
        <f t="shared" si="61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>
        <f t="shared" si="62"/>
        <v>2000</v>
      </c>
      <c r="G72" s="56"/>
      <c r="H72" s="56"/>
      <c r="I72" s="56"/>
      <c r="J72" s="56">
        <f t="shared" si="63"/>
        <v>2000</v>
      </c>
      <c r="K72" s="56"/>
      <c r="L72" s="56"/>
      <c r="M72" s="56"/>
      <c r="N72" s="56">
        <f t="shared" si="58"/>
        <v>2000</v>
      </c>
      <c r="O72" s="56"/>
      <c r="P72" s="56"/>
      <c r="Q72" s="56"/>
      <c r="R72" s="56">
        <f t="shared" si="60"/>
        <v>2000</v>
      </c>
      <c r="S72" s="56"/>
      <c r="T72" s="56"/>
      <c r="U72" s="56"/>
      <c r="V72" s="56">
        <f t="shared" si="59"/>
        <v>2000</v>
      </c>
      <c r="W72" s="56"/>
      <c r="X72" s="56"/>
      <c r="Y72" s="56"/>
      <c r="Z72" s="56">
        <f t="shared" si="56"/>
        <v>2000</v>
      </c>
      <c r="AA72" s="56"/>
      <c r="AB72" s="56"/>
      <c r="AC72" s="56"/>
      <c r="AD72" s="56">
        <f t="shared" si="57"/>
        <v>2000</v>
      </c>
      <c r="AE72" s="56"/>
      <c r="AF72" s="56"/>
      <c r="AG72" s="56"/>
      <c r="AH72" s="57">
        <f t="shared" si="64"/>
        <v>14000</v>
      </c>
      <c r="AI72" s="58">
        <f t="shared" si="65"/>
        <v>0</v>
      </c>
      <c r="AK72">
        <v>0</v>
      </c>
      <c r="AL72" t="str">
        <f t="shared" ca="1" si="66"/>
        <v/>
      </c>
      <c r="AM72">
        <f t="shared" ca="1" si="67"/>
        <v>0</v>
      </c>
      <c r="AN72" t="str">
        <f t="shared" ca="1" si="68"/>
        <v/>
      </c>
      <c r="AO72">
        <f t="shared" ca="1" si="69"/>
        <v>0</v>
      </c>
      <c r="AP72" t="str">
        <f t="shared" ca="1" si="70"/>
        <v/>
      </c>
      <c r="AQ72">
        <f t="shared" ca="1" si="71"/>
        <v>0</v>
      </c>
      <c r="AR72" t="str">
        <f t="shared" ca="1" si="72"/>
        <v/>
      </c>
      <c r="AS72">
        <f t="shared" ca="1" si="73"/>
        <v>0</v>
      </c>
      <c r="AT72" t="str">
        <f t="shared" ca="1" si="74"/>
        <v/>
      </c>
      <c r="AU72">
        <f t="shared" ca="1" si="75"/>
        <v>0</v>
      </c>
      <c r="AV72" t="str">
        <f t="shared" ca="1" si="76"/>
        <v/>
      </c>
      <c r="AW72">
        <f t="shared" ca="1" si="77"/>
        <v>0</v>
      </c>
      <c r="AX72" t="str">
        <f t="shared" ca="1" si="78"/>
        <v/>
      </c>
      <c r="AY72">
        <f t="shared" ca="1" si="79"/>
        <v>0</v>
      </c>
    </row>
    <row r="73" spans="2:51" ht="14.25" customHeight="1" x14ac:dyDescent="0.3">
      <c r="B73" s="51">
        <f t="shared" si="61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>
        <f t="shared" si="62"/>
        <v>1000</v>
      </c>
      <c r="G73" s="52"/>
      <c r="H73" s="52"/>
      <c r="I73" s="52"/>
      <c r="J73" s="52">
        <f t="shared" si="63"/>
        <v>1000</v>
      </c>
      <c r="K73" s="52"/>
      <c r="L73" s="52"/>
      <c r="M73" s="52"/>
      <c r="N73" s="52">
        <f t="shared" si="58"/>
        <v>1000</v>
      </c>
      <c r="O73" s="52"/>
      <c r="P73" s="52"/>
      <c r="Q73" s="52"/>
      <c r="R73" s="243"/>
      <c r="S73" s="52"/>
      <c r="T73" s="52"/>
      <c r="U73" s="52"/>
      <c r="V73" s="52">
        <f t="shared" si="59"/>
        <v>1000</v>
      </c>
      <c r="W73" s="52"/>
      <c r="X73" s="52">
        <v>1000</v>
      </c>
      <c r="Y73" s="52">
        <v>50</v>
      </c>
      <c r="Z73" s="52">
        <f t="shared" si="56"/>
        <v>1000</v>
      </c>
      <c r="AA73" s="52"/>
      <c r="AB73" s="52"/>
      <c r="AC73" s="52"/>
      <c r="AD73" s="52">
        <f t="shared" si="57"/>
        <v>1000</v>
      </c>
      <c r="AE73" s="52"/>
      <c r="AF73" s="52"/>
      <c r="AG73" s="52"/>
      <c r="AH73" s="53">
        <f t="shared" si="64"/>
        <v>7000</v>
      </c>
      <c r="AI73" s="54">
        <f t="shared" si="65"/>
        <v>50</v>
      </c>
      <c r="AK73">
        <v>0</v>
      </c>
      <c r="AL73" t="str">
        <f t="shared" ca="1" si="66"/>
        <v/>
      </c>
      <c r="AM73">
        <f t="shared" ca="1" si="67"/>
        <v>0</v>
      </c>
      <c r="AN73" t="str">
        <f t="shared" ca="1" si="68"/>
        <v/>
      </c>
      <c r="AO73">
        <f t="shared" ca="1" si="69"/>
        <v>0</v>
      </c>
      <c r="AP73" t="str">
        <f t="shared" ca="1" si="70"/>
        <v/>
      </c>
      <c r="AQ73">
        <f t="shared" ca="1" si="71"/>
        <v>0</v>
      </c>
      <c r="AR73" t="str">
        <f t="shared" ca="1" si="72"/>
        <v>R</v>
      </c>
      <c r="AS73">
        <f t="shared" ca="1" si="73"/>
        <v>0</v>
      </c>
      <c r="AT73" t="str">
        <f t="shared" ca="1" si="74"/>
        <v/>
      </c>
      <c r="AU73">
        <f t="shared" ca="1" si="75"/>
        <v>0</v>
      </c>
      <c r="AV73" t="str">
        <f t="shared" ca="1" si="76"/>
        <v/>
      </c>
      <c r="AW73">
        <f t="shared" ca="1" si="77"/>
        <v>0</v>
      </c>
      <c r="AX73" t="str">
        <f t="shared" ca="1" si="78"/>
        <v/>
      </c>
      <c r="AY73">
        <f t="shared" ca="1" si="79"/>
        <v>0</v>
      </c>
    </row>
    <row r="74" spans="2:51" ht="14.25" customHeight="1" x14ac:dyDescent="0.3">
      <c r="B74" s="55">
        <f t="shared" si="61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>
        <f t="shared" si="62"/>
        <v>1000</v>
      </c>
      <c r="G74" s="56"/>
      <c r="H74" s="56"/>
      <c r="I74" s="56"/>
      <c r="J74" s="56">
        <f t="shared" si="63"/>
        <v>1000</v>
      </c>
      <c r="K74" s="56"/>
      <c r="L74" s="56"/>
      <c r="M74" s="56"/>
      <c r="N74" s="56">
        <f t="shared" si="58"/>
        <v>1000</v>
      </c>
      <c r="O74" s="56"/>
      <c r="P74" s="56"/>
      <c r="Q74" s="56"/>
      <c r="R74" s="56">
        <f>$E74*1000</f>
        <v>1000</v>
      </c>
      <c r="S74" s="56"/>
      <c r="T74" s="56"/>
      <c r="U74" s="56"/>
      <c r="V74" s="56">
        <f t="shared" si="59"/>
        <v>1000</v>
      </c>
      <c r="W74" s="56"/>
      <c r="X74" s="56"/>
      <c r="Y74" s="56"/>
      <c r="Z74" s="56">
        <f t="shared" si="56"/>
        <v>1000</v>
      </c>
      <c r="AA74" s="56"/>
      <c r="AB74" s="56"/>
      <c r="AC74" s="56"/>
      <c r="AD74" s="56">
        <f t="shared" si="57"/>
        <v>1000</v>
      </c>
      <c r="AE74" s="56"/>
      <c r="AF74" s="56"/>
      <c r="AG74" s="56"/>
      <c r="AH74" s="57">
        <f t="shared" si="64"/>
        <v>7000</v>
      </c>
      <c r="AI74" s="58">
        <f t="shared" si="65"/>
        <v>0</v>
      </c>
      <c r="AK74">
        <v>0</v>
      </c>
      <c r="AL74" t="str">
        <f t="shared" ca="1" si="66"/>
        <v/>
      </c>
      <c r="AM74">
        <f t="shared" ca="1" si="67"/>
        <v>0</v>
      </c>
      <c r="AN74" t="str">
        <f t="shared" ca="1" si="68"/>
        <v/>
      </c>
      <c r="AO74">
        <f t="shared" ca="1" si="69"/>
        <v>0</v>
      </c>
      <c r="AP74" t="str">
        <f t="shared" ca="1" si="70"/>
        <v/>
      </c>
      <c r="AQ74">
        <f t="shared" ca="1" si="71"/>
        <v>0</v>
      </c>
      <c r="AR74" t="str">
        <f t="shared" ca="1" si="72"/>
        <v/>
      </c>
      <c r="AS74">
        <f t="shared" ca="1" si="73"/>
        <v>0</v>
      </c>
      <c r="AT74" t="str">
        <f t="shared" ca="1" si="74"/>
        <v/>
      </c>
      <c r="AU74">
        <f t="shared" ca="1" si="75"/>
        <v>0</v>
      </c>
      <c r="AV74" t="str">
        <f t="shared" ca="1" si="76"/>
        <v/>
      </c>
      <c r="AW74">
        <f t="shared" ca="1" si="77"/>
        <v>0</v>
      </c>
      <c r="AX74" t="str">
        <f t="shared" ca="1" si="78"/>
        <v/>
      </c>
      <c r="AY74">
        <f t="shared" ca="1" si="79"/>
        <v>0</v>
      </c>
    </row>
    <row r="75" spans="2:51" ht="14.25" customHeight="1" x14ac:dyDescent="0.3">
      <c r="B75" s="51">
        <f t="shared" si="61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>
        <f t="shared" si="62"/>
        <v>1000</v>
      </c>
      <c r="G75" s="52"/>
      <c r="H75" s="52"/>
      <c r="I75" s="52"/>
      <c r="J75" s="52">
        <f t="shared" si="63"/>
        <v>1000</v>
      </c>
      <c r="K75" s="52"/>
      <c r="L75" s="52"/>
      <c r="M75" s="52"/>
      <c r="N75" s="52">
        <f t="shared" si="58"/>
        <v>1000</v>
      </c>
      <c r="O75" s="52"/>
      <c r="P75" s="52"/>
      <c r="Q75" s="52"/>
      <c r="R75" s="52">
        <f>$E75*1000</f>
        <v>1000</v>
      </c>
      <c r="S75" s="52"/>
      <c r="T75" s="52"/>
      <c r="U75" s="52"/>
      <c r="V75" s="52">
        <f t="shared" si="59"/>
        <v>1000</v>
      </c>
      <c r="W75" s="52"/>
      <c r="X75" s="52"/>
      <c r="Y75" s="52"/>
      <c r="Z75" s="52">
        <f t="shared" si="56"/>
        <v>1000</v>
      </c>
      <c r="AA75" s="52"/>
      <c r="AB75" s="52"/>
      <c r="AC75" s="52"/>
      <c r="AD75" s="52">
        <f t="shared" si="57"/>
        <v>1000</v>
      </c>
      <c r="AE75" s="52"/>
      <c r="AF75" s="52"/>
      <c r="AG75" s="52"/>
      <c r="AH75" s="53">
        <f t="shared" si="64"/>
        <v>7000</v>
      </c>
      <c r="AI75" s="54">
        <f t="shared" si="65"/>
        <v>0</v>
      </c>
      <c r="AK75">
        <v>0</v>
      </c>
      <c r="AL75" t="str">
        <f t="shared" ca="1" si="66"/>
        <v/>
      </c>
      <c r="AM75">
        <f t="shared" ca="1" si="67"/>
        <v>0</v>
      </c>
      <c r="AN75" t="str">
        <f t="shared" ca="1" si="68"/>
        <v/>
      </c>
      <c r="AO75">
        <f t="shared" ca="1" si="69"/>
        <v>0</v>
      </c>
      <c r="AP75" t="str">
        <f t="shared" ca="1" si="70"/>
        <v/>
      </c>
      <c r="AQ75">
        <f t="shared" ca="1" si="71"/>
        <v>0</v>
      </c>
      <c r="AR75" t="str">
        <f t="shared" ca="1" si="72"/>
        <v/>
      </c>
      <c r="AS75">
        <f t="shared" ca="1" si="73"/>
        <v>0</v>
      </c>
      <c r="AT75" t="str">
        <f t="shared" ca="1" si="74"/>
        <v/>
      </c>
      <c r="AU75">
        <f t="shared" ca="1" si="75"/>
        <v>0</v>
      </c>
      <c r="AV75" t="str">
        <f t="shared" ca="1" si="76"/>
        <v/>
      </c>
      <c r="AW75">
        <f t="shared" ca="1" si="77"/>
        <v>0</v>
      </c>
      <c r="AX75" t="str">
        <f t="shared" ca="1" si="78"/>
        <v/>
      </c>
      <c r="AY75">
        <f t="shared" ca="1" si="79"/>
        <v>0</v>
      </c>
    </row>
    <row r="76" spans="2:51" ht="14.25" customHeight="1" x14ac:dyDescent="0.3">
      <c r="B76" s="55">
        <f t="shared" si="61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>
        <f t="shared" si="62"/>
        <v>1000</v>
      </c>
      <c r="G76" s="56"/>
      <c r="H76" s="56"/>
      <c r="I76" s="56"/>
      <c r="J76" s="56">
        <f t="shared" si="63"/>
        <v>1000</v>
      </c>
      <c r="K76" s="56"/>
      <c r="L76" s="56"/>
      <c r="M76" s="56"/>
      <c r="N76" s="56">
        <f t="shared" si="58"/>
        <v>1000</v>
      </c>
      <c r="O76" s="56"/>
      <c r="P76" s="56"/>
      <c r="Q76" s="56"/>
      <c r="R76" s="56">
        <f>$E76*1000</f>
        <v>1000</v>
      </c>
      <c r="S76" s="56"/>
      <c r="T76" s="56"/>
      <c r="U76" s="56"/>
      <c r="V76" s="56">
        <f t="shared" si="59"/>
        <v>1000</v>
      </c>
      <c r="W76" s="56"/>
      <c r="X76" s="56"/>
      <c r="Y76" s="56"/>
      <c r="Z76" s="56">
        <f t="shared" si="56"/>
        <v>1000</v>
      </c>
      <c r="AA76" s="56"/>
      <c r="AB76" s="56"/>
      <c r="AC76" s="56"/>
      <c r="AD76" s="56">
        <f t="shared" si="57"/>
        <v>1000</v>
      </c>
      <c r="AE76" s="56"/>
      <c r="AF76" s="56"/>
      <c r="AG76" s="56"/>
      <c r="AH76" s="57">
        <f t="shared" si="64"/>
        <v>7000</v>
      </c>
      <c r="AI76" s="58">
        <f t="shared" si="65"/>
        <v>0</v>
      </c>
      <c r="AK76">
        <v>0</v>
      </c>
      <c r="AL76" t="str">
        <f t="shared" ca="1" si="66"/>
        <v/>
      </c>
      <c r="AM76">
        <f t="shared" ca="1" si="67"/>
        <v>0</v>
      </c>
      <c r="AN76" t="str">
        <f t="shared" ca="1" si="68"/>
        <v/>
      </c>
      <c r="AO76">
        <f t="shared" ca="1" si="69"/>
        <v>0</v>
      </c>
      <c r="AP76" t="str">
        <f t="shared" ca="1" si="70"/>
        <v/>
      </c>
      <c r="AQ76">
        <f t="shared" ca="1" si="71"/>
        <v>0</v>
      </c>
      <c r="AR76" t="str">
        <f t="shared" ca="1" si="72"/>
        <v/>
      </c>
      <c r="AS76">
        <f t="shared" ca="1" si="73"/>
        <v>0</v>
      </c>
      <c r="AT76" t="str">
        <f t="shared" ca="1" si="74"/>
        <v/>
      </c>
      <c r="AU76">
        <f t="shared" ca="1" si="75"/>
        <v>0</v>
      </c>
      <c r="AV76" t="str">
        <f t="shared" ca="1" si="76"/>
        <v/>
      </c>
      <c r="AW76">
        <f t="shared" ca="1" si="77"/>
        <v>0</v>
      </c>
      <c r="AX76" t="str">
        <f t="shared" ca="1" si="78"/>
        <v/>
      </c>
      <c r="AY76">
        <f t="shared" ca="1" si="79"/>
        <v>0</v>
      </c>
    </row>
    <row r="77" spans="2:51" ht="14.25" customHeight="1" x14ac:dyDescent="0.3">
      <c r="B77" s="51">
        <f t="shared" si="61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52">
        <f t="shared" si="62"/>
        <v>1000</v>
      </c>
      <c r="G77" s="52"/>
      <c r="H77" s="52"/>
      <c r="I77" s="52"/>
      <c r="J77" s="52">
        <f t="shared" si="63"/>
        <v>1000</v>
      </c>
      <c r="K77" s="52">
        <v>4000</v>
      </c>
      <c r="L77" s="52"/>
      <c r="M77" s="52"/>
      <c r="N77" s="242"/>
      <c r="O77" s="52"/>
      <c r="P77" s="52"/>
      <c r="Q77" s="52"/>
      <c r="R77" s="242"/>
      <c r="S77" s="52"/>
      <c r="T77" s="52"/>
      <c r="U77" s="52"/>
      <c r="V77" s="242"/>
      <c r="W77" s="52"/>
      <c r="X77" s="52"/>
      <c r="Y77" s="52"/>
      <c r="Z77" s="242"/>
      <c r="AA77" s="52"/>
      <c r="AB77" s="52"/>
      <c r="AC77" s="52"/>
      <c r="AD77" s="52">
        <f t="shared" si="57"/>
        <v>1000</v>
      </c>
      <c r="AE77" s="52">
        <v>5000</v>
      </c>
      <c r="AF77" s="52"/>
      <c r="AG77" s="52"/>
      <c r="AH77" s="53">
        <f t="shared" si="64"/>
        <v>12000</v>
      </c>
      <c r="AI77" s="54">
        <f t="shared" si="65"/>
        <v>0</v>
      </c>
      <c r="AK77">
        <v>0</v>
      </c>
      <c r="AL77" t="str">
        <f t="shared" ca="1" si="66"/>
        <v/>
      </c>
      <c r="AM77">
        <f t="shared" ca="1" si="67"/>
        <v>0</v>
      </c>
      <c r="AN77" t="str">
        <f t="shared" ca="1" si="68"/>
        <v/>
      </c>
      <c r="AO77">
        <f t="shared" ca="1" si="69"/>
        <v>4000</v>
      </c>
      <c r="AP77" t="str">
        <f t="shared" ca="1" si="70"/>
        <v>G</v>
      </c>
      <c r="AQ77">
        <f t="shared" ca="1" si="71"/>
        <v>3000</v>
      </c>
      <c r="AR77" t="str">
        <f t="shared" ca="1" si="72"/>
        <v>G</v>
      </c>
      <c r="AS77">
        <f t="shared" ca="1" si="73"/>
        <v>2000</v>
      </c>
      <c r="AT77" t="str">
        <f t="shared" ca="1" si="74"/>
        <v>G</v>
      </c>
      <c r="AU77">
        <f t="shared" ca="1" si="75"/>
        <v>1000</v>
      </c>
      <c r="AV77" t="str">
        <f t="shared" ca="1" si="76"/>
        <v>G</v>
      </c>
      <c r="AW77">
        <f t="shared" ca="1" si="77"/>
        <v>0</v>
      </c>
      <c r="AX77" t="str">
        <f t="shared" ca="1" si="78"/>
        <v/>
      </c>
      <c r="AY77">
        <f t="shared" ca="1" si="79"/>
        <v>5000</v>
      </c>
    </row>
    <row r="78" spans="2:51" ht="14.25" customHeight="1" x14ac:dyDescent="0.3">
      <c r="B78" s="55">
        <f t="shared" si="61"/>
        <v>75</v>
      </c>
      <c r="C78" s="56" t="s">
        <v>146</v>
      </c>
      <c r="D78" s="12">
        <f>'Member Wise Deposit Summary'!D78</f>
        <v>1608600387</v>
      </c>
      <c r="E78" s="56">
        <v>1</v>
      </c>
      <c r="F78" s="56">
        <f t="shared" si="62"/>
        <v>1000</v>
      </c>
      <c r="G78" s="56"/>
      <c r="H78" s="56"/>
      <c r="I78" s="56"/>
      <c r="J78" s="56">
        <f t="shared" si="63"/>
        <v>1000</v>
      </c>
      <c r="K78" s="56"/>
      <c r="L78" s="56"/>
      <c r="M78" s="56"/>
      <c r="N78" s="56">
        <f>$E78*1000</f>
        <v>1000</v>
      </c>
      <c r="O78" s="56"/>
      <c r="P78" s="56"/>
      <c r="Q78" s="56"/>
      <c r="R78" s="56">
        <f>$E78*1000</f>
        <v>1000</v>
      </c>
      <c r="S78" s="56">
        <v>1000</v>
      </c>
      <c r="T78" s="56"/>
      <c r="U78" s="56"/>
      <c r="V78" s="244"/>
      <c r="W78" s="56"/>
      <c r="X78" s="56"/>
      <c r="Y78" s="56"/>
      <c r="Z78" s="56">
        <f>$E78*1000</f>
        <v>1000</v>
      </c>
      <c r="AA78" s="56"/>
      <c r="AB78" s="56"/>
      <c r="AC78" s="56"/>
      <c r="AD78" s="56">
        <f t="shared" si="57"/>
        <v>1000</v>
      </c>
      <c r="AE78" s="56">
        <v>2000</v>
      </c>
      <c r="AF78" s="56"/>
      <c r="AG78" s="56"/>
      <c r="AH78" s="57">
        <f t="shared" si="64"/>
        <v>9000</v>
      </c>
      <c r="AI78" s="58">
        <f t="shared" si="65"/>
        <v>0</v>
      </c>
      <c r="AK78">
        <v>0</v>
      </c>
      <c r="AL78" t="str">
        <f t="shared" ca="1" si="66"/>
        <v/>
      </c>
      <c r="AM78">
        <f t="shared" ca="1" si="67"/>
        <v>0</v>
      </c>
      <c r="AN78" t="str">
        <f t="shared" ca="1" si="68"/>
        <v/>
      </c>
      <c r="AO78">
        <f t="shared" ca="1" si="69"/>
        <v>0</v>
      </c>
      <c r="AP78" t="str">
        <f t="shared" ca="1" si="70"/>
        <v/>
      </c>
      <c r="AQ78">
        <f t="shared" ca="1" si="71"/>
        <v>0</v>
      </c>
      <c r="AR78" t="str">
        <f t="shared" ca="1" si="72"/>
        <v/>
      </c>
      <c r="AS78">
        <f t="shared" ca="1" si="73"/>
        <v>1000</v>
      </c>
      <c r="AT78" t="str">
        <f t="shared" ca="1" si="74"/>
        <v>G</v>
      </c>
      <c r="AU78">
        <f t="shared" ca="1" si="75"/>
        <v>0</v>
      </c>
      <c r="AV78" t="str">
        <f t="shared" ca="1" si="76"/>
        <v/>
      </c>
      <c r="AW78">
        <f t="shared" ca="1" si="77"/>
        <v>0</v>
      </c>
      <c r="AX78" t="str">
        <f t="shared" ca="1" si="78"/>
        <v/>
      </c>
      <c r="AY78">
        <f t="shared" ca="1" si="79"/>
        <v>2000</v>
      </c>
    </row>
    <row r="79" spans="2:51" ht="14.25" customHeight="1" x14ac:dyDescent="0.3">
      <c r="B79" s="51">
        <f t="shared" si="61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52">
        <f t="shared" si="62"/>
        <v>1000</v>
      </c>
      <c r="G79" s="52"/>
      <c r="H79" s="52"/>
      <c r="I79" s="52"/>
      <c r="J79" s="52">
        <f t="shared" si="63"/>
        <v>1000</v>
      </c>
      <c r="K79" s="52"/>
      <c r="L79" s="52"/>
      <c r="M79" s="52"/>
      <c r="N79" s="52">
        <f>$E79*1000</f>
        <v>1000</v>
      </c>
      <c r="O79" s="52"/>
      <c r="P79" s="52"/>
      <c r="Q79" s="52"/>
      <c r="R79" s="52">
        <f>$E79*1000</f>
        <v>1000</v>
      </c>
      <c r="S79" s="52">
        <v>2000</v>
      </c>
      <c r="T79" s="52"/>
      <c r="U79" s="52"/>
      <c r="V79" s="242"/>
      <c r="W79" s="52"/>
      <c r="X79" s="52"/>
      <c r="Y79" s="52"/>
      <c r="Z79" s="242"/>
      <c r="AA79" s="52"/>
      <c r="AB79" s="52"/>
      <c r="AC79" s="52"/>
      <c r="AD79" s="52">
        <f t="shared" si="57"/>
        <v>1000</v>
      </c>
      <c r="AE79" s="52">
        <v>2000</v>
      </c>
      <c r="AF79" s="52"/>
      <c r="AG79" s="52"/>
      <c r="AH79" s="53">
        <f t="shared" si="64"/>
        <v>9000</v>
      </c>
      <c r="AI79" s="54">
        <f t="shared" si="65"/>
        <v>0</v>
      </c>
      <c r="AK79">
        <v>0</v>
      </c>
      <c r="AL79" t="str">
        <f t="shared" ca="1" si="66"/>
        <v/>
      </c>
      <c r="AM79">
        <f t="shared" ca="1" si="67"/>
        <v>0</v>
      </c>
      <c r="AN79" t="str">
        <f t="shared" ca="1" si="68"/>
        <v/>
      </c>
      <c r="AO79">
        <f t="shared" ca="1" si="69"/>
        <v>0</v>
      </c>
      <c r="AP79" t="str">
        <f t="shared" ca="1" si="70"/>
        <v/>
      </c>
      <c r="AQ79">
        <f t="shared" ca="1" si="71"/>
        <v>0</v>
      </c>
      <c r="AR79" t="str">
        <f t="shared" ca="1" si="72"/>
        <v/>
      </c>
      <c r="AS79">
        <f t="shared" ca="1" si="73"/>
        <v>2000</v>
      </c>
      <c r="AT79" t="str">
        <f t="shared" ca="1" si="74"/>
        <v>G</v>
      </c>
      <c r="AU79">
        <f t="shared" ca="1" si="75"/>
        <v>1000</v>
      </c>
      <c r="AV79" t="str">
        <f t="shared" ca="1" si="76"/>
        <v>G</v>
      </c>
      <c r="AW79">
        <f t="shared" ca="1" si="77"/>
        <v>0</v>
      </c>
      <c r="AX79" t="str">
        <f t="shared" ca="1" si="78"/>
        <v/>
      </c>
      <c r="AY79">
        <f t="shared" ca="1" si="79"/>
        <v>2000</v>
      </c>
    </row>
    <row r="80" spans="2:51" ht="15" customHeight="1" thickBot="1" x14ac:dyDescent="0.35">
      <c r="B80" s="59">
        <f t="shared" si="61"/>
        <v>77</v>
      </c>
      <c r="C80" s="60" t="s">
        <v>148</v>
      </c>
      <c r="D80" s="12">
        <f>'Member Wise Deposit Summary'!D80</f>
        <v>1812676040</v>
      </c>
      <c r="E80" s="60">
        <v>1</v>
      </c>
      <c r="F80" s="241"/>
      <c r="G80" s="60"/>
      <c r="H80" s="60"/>
      <c r="I80" s="60"/>
      <c r="J80" s="241"/>
      <c r="K80" s="60"/>
      <c r="L80" s="60"/>
      <c r="M80" s="60"/>
      <c r="N80" s="241"/>
      <c r="O80" s="60"/>
      <c r="P80" s="60"/>
      <c r="Q80" s="60"/>
      <c r="R80" s="241"/>
      <c r="S80" s="60"/>
      <c r="T80" s="60"/>
      <c r="U80" s="60"/>
      <c r="V80" s="241"/>
      <c r="W80" s="60"/>
      <c r="X80" s="60"/>
      <c r="Y80" s="60"/>
      <c r="Z80" s="241"/>
      <c r="AA80" s="60"/>
      <c r="AB80" s="60"/>
      <c r="AC80" s="60"/>
      <c r="AD80" s="241"/>
      <c r="AE80" s="60"/>
      <c r="AF80" s="60"/>
      <c r="AG80" s="60"/>
      <c r="AH80" s="61">
        <f t="shared" si="64"/>
        <v>0</v>
      </c>
      <c r="AI80" s="62">
        <f t="shared" si="65"/>
        <v>0</v>
      </c>
      <c r="AK80">
        <v>0</v>
      </c>
      <c r="AL80" t="str">
        <f t="shared" ca="1" si="66"/>
        <v>R</v>
      </c>
      <c r="AM80">
        <f t="shared" ca="1" si="67"/>
        <v>0</v>
      </c>
      <c r="AN80" t="str">
        <f t="shared" ca="1" si="68"/>
        <v>R</v>
      </c>
      <c r="AO80">
        <f t="shared" ca="1" si="69"/>
        <v>0</v>
      </c>
      <c r="AP80" t="str">
        <f t="shared" ca="1" si="70"/>
        <v>R</v>
      </c>
      <c r="AQ80">
        <f t="shared" ca="1" si="71"/>
        <v>0</v>
      </c>
      <c r="AR80" t="str">
        <f t="shared" ca="1" si="72"/>
        <v>R</v>
      </c>
      <c r="AS80">
        <f t="shared" ca="1" si="73"/>
        <v>0</v>
      </c>
      <c r="AT80" t="str">
        <f t="shared" ca="1" si="74"/>
        <v>R</v>
      </c>
      <c r="AU80">
        <f t="shared" ca="1" si="75"/>
        <v>0</v>
      </c>
      <c r="AV80" t="str">
        <f t="shared" ca="1" si="76"/>
        <v>R</v>
      </c>
      <c r="AW80">
        <f t="shared" ca="1" si="77"/>
        <v>0</v>
      </c>
      <c r="AX80" t="str">
        <f t="shared" ca="1" si="78"/>
        <v>R</v>
      </c>
      <c r="AY80">
        <f t="shared" ca="1" si="79"/>
        <v>0</v>
      </c>
    </row>
    <row r="81" spans="2:35" ht="15" customHeight="1" thickBot="1" x14ac:dyDescent="0.35">
      <c r="B81" s="299" t="s">
        <v>68</v>
      </c>
      <c r="C81" s="299"/>
      <c r="D81" s="299"/>
      <c r="E81" s="299"/>
      <c r="F81" s="63">
        <f t="shared" ref="F81:AI81" si="80">_xlfn.AGGREGATE(9,6,F4:F80)</f>
        <v>124000</v>
      </c>
      <c r="G81" s="63">
        <f t="shared" si="80"/>
        <v>0</v>
      </c>
      <c r="H81" s="63">
        <f t="shared" si="80"/>
        <v>0</v>
      </c>
      <c r="I81" s="63">
        <f t="shared" si="80"/>
        <v>0</v>
      </c>
      <c r="J81" s="63">
        <f t="shared" si="80"/>
        <v>124000</v>
      </c>
      <c r="K81" s="63">
        <f t="shared" si="80"/>
        <v>4000</v>
      </c>
      <c r="L81" s="63">
        <f t="shared" si="80"/>
        <v>0</v>
      </c>
      <c r="M81" s="63">
        <f t="shared" si="80"/>
        <v>0</v>
      </c>
      <c r="N81" s="63">
        <f t="shared" si="80"/>
        <v>122000</v>
      </c>
      <c r="O81" s="63">
        <f t="shared" si="80"/>
        <v>0</v>
      </c>
      <c r="P81" s="63">
        <f t="shared" si="80"/>
        <v>0</v>
      </c>
      <c r="Q81" s="63">
        <f t="shared" si="80"/>
        <v>50</v>
      </c>
      <c r="R81" s="63">
        <f t="shared" si="80"/>
        <v>118000</v>
      </c>
      <c r="S81" s="63">
        <f t="shared" si="80"/>
        <v>11000</v>
      </c>
      <c r="T81" s="63">
        <f t="shared" si="80"/>
        <v>1000</v>
      </c>
      <c r="U81" s="63">
        <f t="shared" si="80"/>
        <v>200</v>
      </c>
      <c r="V81" s="63">
        <f t="shared" si="80"/>
        <v>109000</v>
      </c>
      <c r="W81" s="63">
        <f t="shared" si="80"/>
        <v>0</v>
      </c>
      <c r="X81" s="63">
        <f t="shared" si="80"/>
        <v>5000</v>
      </c>
      <c r="Y81" s="63">
        <f t="shared" si="80"/>
        <v>300</v>
      </c>
      <c r="Z81" s="63">
        <f t="shared" si="80"/>
        <v>108000</v>
      </c>
      <c r="AA81" s="63">
        <f t="shared" si="80"/>
        <v>0</v>
      </c>
      <c r="AB81" s="63">
        <f t="shared" si="80"/>
        <v>7000</v>
      </c>
      <c r="AC81" s="63">
        <f t="shared" si="80"/>
        <v>350</v>
      </c>
      <c r="AD81" s="63">
        <f t="shared" si="80"/>
        <v>108000</v>
      </c>
      <c r="AE81" s="63">
        <f t="shared" si="80"/>
        <v>11000</v>
      </c>
      <c r="AF81" s="63">
        <f t="shared" si="80"/>
        <v>10000</v>
      </c>
      <c r="AG81" s="63">
        <f t="shared" si="80"/>
        <v>500</v>
      </c>
      <c r="AH81" s="63">
        <f t="shared" si="80"/>
        <v>862000</v>
      </c>
      <c r="AI81" s="63">
        <f t="shared" si="80"/>
        <v>1400</v>
      </c>
    </row>
  </sheetData>
  <mergeCells count="14">
    <mergeCell ref="AD2:AG2"/>
    <mergeCell ref="AH2:AH3"/>
    <mergeCell ref="AI2:AI3"/>
    <mergeCell ref="B81:E81"/>
    <mergeCell ref="J2:M2"/>
    <mergeCell ref="N2:Q2"/>
    <mergeCell ref="R2:U2"/>
    <mergeCell ref="V2:Y2"/>
    <mergeCell ref="Z2:AC2"/>
    <mergeCell ref="B2:B3"/>
    <mergeCell ref="C2:C3"/>
    <mergeCell ref="D2:D3"/>
    <mergeCell ref="E2:E3"/>
    <mergeCell ref="F2:I2"/>
  </mergeCells>
  <conditionalFormatting sqref="AH4">
    <cfRule type="cellIs" dxfId="252" priority="2" operator="lessThan">
      <formula>1000</formula>
    </cfRule>
  </conditionalFormatting>
  <conditionalFormatting sqref="AH5:AH80">
    <cfRule type="cellIs" dxfId="251" priority="3" operator="lessThan">
      <formula>1000</formula>
    </cfRule>
  </conditionalFormatting>
  <conditionalFormatting sqref="F4:F80">
    <cfRule type="expression" dxfId="250" priority="100">
      <formula>$AL4="R"</formula>
    </cfRule>
    <cfRule type="expression" dxfId="249" priority="101">
      <formula>$AL4="G"</formula>
    </cfRule>
  </conditionalFormatting>
  <conditionalFormatting sqref="J4:J80">
    <cfRule type="expression" dxfId="248" priority="102">
      <formula>$AN4="R"</formula>
    </cfRule>
    <cfRule type="expression" dxfId="247" priority="103">
      <formula>$AN4="G"</formula>
    </cfRule>
  </conditionalFormatting>
  <conditionalFormatting sqref="N4:N80">
    <cfRule type="expression" dxfId="246" priority="104">
      <formula>$AP4="R"</formula>
    </cfRule>
    <cfRule type="expression" dxfId="245" priority="105">
      <formula>$AP4="G"</formula>
    </cfRule>
  </conditionalFormatting>
  <conditionalFormatting sqref="R4:R80">
    <cfRule type="expression" dxfId="244" priority="106">
      <formula>$AR4="R"</formula>
    </cfRule>
    <cfRule type="expression" dxfId="243" priority="107">
      <formula>$AR4="G"</formula>
    </cfRule>
  </conditionalFormatting>
  <conditionalFormatting sqref="V4:V80">
    <cfRule type="expression" dxfId="242" priority="108">
      <formula>$AT4="R"</formula>
    </cfRule>
    <cfRule type="expression" dxfId="241" priority="109">
      <formula>$AT4="G"</formula>
    </cfRule>
  </conditionalFormatting>
  <conditionalFormatting sqref="Z4:Z80">
    <cfRule type="expression" dxfId="240" priority="110">
      <formula>$AV4="R"</formula>
    </cfRule>
    <cfRule type="expression" dxfId="239" priority="111">
      <formula>$AV4="G"</formula>
    </cfRule>
  </conditionalFormatting>
  <conditionalFormatting sqref="AD4:AD80">
    <cfRule type="expression" dxfId="238" priority="112">
      <formula>$AX4="R"</formula>
    </cfRule>
    <cfRule type="expression" dxfId="237" priority="113">
      <formula>$AX4="G"</formula>
    </cfRule>
  </conditionalFormatting>
  <pageMargins left="0.75" right="0.75" top="1" bottom="1" header="0.511811023622047" footer="0.511811023622047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CD81"/>
  <sheetViews>
    <sheetView showGridLines="0" zoomScaleNormal="100" workbookViewId="0">
      <selection activeCell="D4" sqref="D4:D80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15.1093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10.77734375" style="3" customWidth="1"/>
    <col min="35" max="35" width="8.33203125" style="3" customWidth="1"/>
    <col min="36" max="36" width="10.109375" style="3" customWidth="1"/>
    <col min="37" max="37" width="8.77734375" style="3" customWidth="1"/>
    <col min="38" max="38" width="10.77734375" style="3" customWidth="1"/>
    <col min="39" max="39" width="8.33203125" style="3" customWidth="1"/>
    <col min="40" max="40" width="10.109375" style="3" customWidth="1"/>
    <col min="41" max="41" width="8.77734375" style="3" customWidth="1"/>
    <col min="42" max="42" width="10.77734375" style="3" customWidth="1"/>
    <col min="43" max="43" width="8.33203125" style="3" customWidth="1"/>
    <col min="44" max="44" width="10.109375" style="3" customWidth="1"/>
    <col min="45" max="45" width="8.77734375" style="3" customWidth="1"/>
    <col min="46" max="46" width="10.77734375" style="3" customWidth="1"/>
    <col min="47" max="47" width="8.33203125" style="3" customWidth="1"/>
    <col min="48" max="48" width="10.109375" style="3" customWidth="1"/>
    <col min="49" max="49" width="8.77734375" style="3" customWidth="1"/>
    <col min="50" max="50" width="10.77734375" style="3" customWidth="1"/>
    <col min="51" max="51" width="8.33203125" style="3" customWidth="1"/>
    <col min="52" max="52" width="10.109375" style="3" customWidth="1"/>
    <col min="53" max="53" width="8.77734375" style="3" customWidth="1"/>
    <col min="54" max="54" width="8" style="3" customWidth="1"/>
    <col min="55" max="55" width="5.21875" style="3" customWidth="1"/>
    <col min="56" max="56" width="8.88671875" style="3"/>
    <col min="57" max="81" width="9.44140625" style="3" hidden="1" customWidth="1" outlineLevel="1"/>
    <col min="82" max="82" width="8.88671875" style="3" collapsed="1"/>
    <col min="83" max="16384" width="8.88671875" style="3"/>
  </cols>
  <sheetData>
    <row r="1" spans="1:81" ht="19.5" customHeight="1" x14ac:dyDescent="0.3">
      <c r="A1" s="4" t="str">
        <f>HYPERLINK("#DASHBOARD!A1","⬅ Dashboard")</f>
        <v>⬅ Dashboard</v>
      </c>
      <c r="BE1" t="s">
        <v>355</v>
      </c>
    </row>
    <row r="2" spans="1:8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45292</v>
      </c>
      <c r="G2" s="296"/>
      <c r="H2" s="296"/>
      <c r="I2" s="296"/>
      <c r="J2" s="300">
        <f>EDATE($F2,1)</f>
        <v>45323</v>
      </c>
      <c r="K2" s="300"/>
      <c r="L2" s="300"/>
      <c r="M2" s="300"/>
      <c r="N2" s="296">
        <f>EDATE($F2,2)</f>
        <v>45352</v>
      </c>
      <c r="O2" s="296"/>
      <c r="P2" s="296"/>
      <c r="Q2" s="296"/>
      <c r="R2" s="300">
        <f>EDATE($F2,3)</f>
        <v>45383</v>
      </c>
      <c r="S2" s="300"/>
      <c r="T2" s="300"/>
      <c r="U2" s="300"/>
      <c r="V2" s="296">
        <f>EDATE($F2,4)</f>
        <v>45413</v>
      </c>
      <c r="W2" s="296"/>
      <c r="X2" s="296"/>
      <c r="Y2" s="296"/>
      <c r="Z2" s="300">
        <f>EDATE($F2,5)</f>
        <v>45444</v>
      </c>
      <c r="AA2" s="300"/>
      <c r="AB2" s="300"/>
      <c r="AC2" s="300"/>
      <c r="AD2" s="296">
        <f>EDATE($F2,6)</f>
        <v>45474</v>
      </c>
      <c r="AE2" s="296"/>
      <c r="AF2" s="296"/>
      <c r="AG2" s="296"/>
      <c r="AH2" s="300">
        <f>EDATE($F2,7)</f>
        <v>45505</v>
      </c>
      <c r="AI2" s="300"/>
      <c r="AJ2" s="300"/>
      <c r="AK2" s="300"/>
      <c r="AL2" s="296">
        <f>EDATE($F2,8)</f>
        <v>45536</v>
      </c>
      <c r="AM2" s="296"/>
      <c r="AN2" s="296"/>
      <c r="AO2" s="296"/>
      <c r="AP2" s="300">
        <f>EDATE($F2,9)</f>
        <v>45566</v>
      </c>
      <c r="AQ2" s="300"/>
      <c r="AR2" s="300"/>
      <c r="AS2" s="300"/>
      <c r="AT2" s="296">
        <f>EDATE($F2,10)</f>
        <v>45597</v>
      </c>
      <c r="AU2" s="296"/>
      <c r="AV2" s="296"/>
      <c r="AW2" s="296"/>
      <c r="AX2" s="300">
        <f>EDATE($F2,11)</f>
        <v>45627</v>
      </c>
      <c r="AY2" s="300"/>
      <c r="AZ2" s="300"/>
      <c r="BA2" s="300"/>
      <c r="BB2" s="297" t="s">
        <v>70</v>
      </c>
      <c r="BC2" s="298" t="s">
        <v>41</v>
      </c>
      <c r="BF2" s="236">
        <f>F$2</f>
        <v>45292</v>
      </c>
      <c r="BH2" s="236">
        <f>J$2</f>
        <v>45323</v>
      </c>
      <c r="BJ2" s="236">
        <f>N$2</f>
        <v>45352</v>
      </c>
      <c r="BL2" s="236">
        <f>R$2</f>
        <v>45383</v>
      </c>
      <c r="BN2" s="236">
        <f>V$2</f>
        <v>45413</v>
      </c>
      <c r="BP2" s="236">
        <f>Z$2</f>
        <v>45444</v>
      </c>
      <c r="BR2" s="236">
        <f>AD$2</f>
        <v>45474</v>
      </c>
      <c r="BT2" s="236">
        <f>AH$2</f>
        <v>45505</v>
      </c>
      <c r="BV2" s="236">
        <f>AL$2</f>
        <v>45536</v>
      </c>
      <c r="BX2" s="236">
        <f>AP$2</f>
        <v>45566</v>
      </c>
      <c r="BZ2" s="236">
        <f>AT$2</f>
        <v>45597</v>
      </c>
      <c r="CB2" s="236">
        <f>AX$2</f>
        <v>45627</v>
      </c>
    </row>
    <row r="3" spans="1:81" s="46" customFormat="1" ht="29.25" customHeight="1" x14ac:dyDescent="0.3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2" t="s">
        <v>44</v>
      </c>
      <c r="AI3" s="22" t="s">
        <v>19</v>
      </c>
      <c r="AJ3" s="22" t="s">
        <v>45</v>
      </c>
      <c r="AK3" s="22" t="s">
        <v>20</v>
      </c>
      <c r="AL3" s="22" t="s">
        <v>44</v>
      </c>
      <c r="AM3" s="22" t="s">
        <v>19</v>
      </c>
      <c r="AN3" s="22" t="s">
        <v>45</v>
      </c>
      <c r="AO3" s="22" t="s">
        <v>20</v>
      </c>
      <c r="AP3" s="22" t="s">
        <v>44</v>
      </c>
      <c r="AQ3" s="22" t="s">
        <v>19</v>
      </c>
      <c r="AR3" s="22" t="s">
        <v>45</v>
      </c>
      <c r="AS3" s="22" t="s">
        <v>20</v>
      </c>
      <c r="AT3" s="22" t="s">
        <v>44</v>
      </c>
      <c r="AU3" s="22" t="s">
        <v>19</v>
      </c>
      <c r="AV3" s="22" t="s">
        <v>45</v>
      </c>
      <c r="AW3" s="22" t="s">
        <v>20</v>
      </c>
      <c r="AX3" s="22" t="s">
        <v>44</v>
      </c>
      <c r="AY3" s="22" t="s">
        <v>19</v>
      </c>
      <c r="AZ3" s="22" t="s">
        <v>45</v>
      </c>
      <c r="BA3" s="22" t="s">
        <v>20</v>
      </c>
      <c r="BB3" s="297"/>
      <c r="BC3" s="298"/>
      <c r="BE3" s="22" t="s">
        <v>356</v>
      </c>
      <c r="BF3" s="22" t="s">
        <v>339</v>
      </c>
      <c r="BG3" s="22" t="s">
        <v>357</v>
      </c>
      <c r="BH3" s="22" t="s">
        <v>339</v>
      </c>
      <c r="BI3" s="22" t="s">
        <v>357</v>
      </c>
      <c r="BJ3" s="22" t="s">
        <v>339</v>
      </c>
      <c r="BK3" s="22" t="s">
        <v>357</v>
      </c>
      <c r="BL3" s="22" t="s">
        <v>339</v>
      </c>
      <c r="BM3" s="22" t="s">
        <v>357</v>
      </c>
      <c r="BN3" s="22" t="s">
        <v>339</v>
      </c>
      <c r="BO3" s="22" t="s">
        <v>357</v>
      </c>
      <c r="BP3" s="22" t="s">
        <v>339</v>
      </c>
      <c r="BQ3" s="22" t="s">
        <v>357</v>
      </c>
      <c r="BR3" s="22" t="s">
        <v>339</v>
      </c>
      <c r="BS3" s="22" t="s">
        <v>357</v>
      </c>
      <c r="BT3" s="22" t="s">
        <v>339</v>
      </c>
      <c r="BU3" s="22" t="s">
        <v>357</v>
      </c>
      <c r="BV3" s="22" t="s">
        <v>339</v>
      </c>
      <c r="BW3" s="22" t="s">
        <v>357</v>
      </c>
      <c r="BX3" s="22" t="s">
        <v>339</v>
      </c>
      <c r="BY3" s="22" t="s">
        <v>357</v>
      </c>
      <c r="BZ3" s="22" t="s">
        <v>339</v>
      </c>
      <c r="CA3" s="22" t="s">
        <v>357</v>
      </c>
      <c r="CB3" s="22" t="s">
        <v>339</v>
      </c>
      <c r="CC3" s="22" t="s">
        <v>357</v>
      </c>
    </row>
    <row r="4" spans="1:8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>
        <f>$E4*1000</f>
        <v>3000</v>
      </c>
      <c r="G4" s="48"/>
      <c r="H4" s="48"/>
      <c r="I4" s="48"/>
      <c r="J4" s="48">
        <f t="shared" ref="J4:J26" si="1">$E4*1000</f>
        <v>3000</v>
      </c>
      <c r="K4" s="48"/>
      <c r="L4" s="48"/>
      <c r="M4" s="48"/>
      <c r="N4" s="48">
        <f t="shared" ref="N4:N26" si="2">$E4*1000</f>
        <v>3000</v>
      </c>
      <c r="O4" s="48"/>
      <c r="P4" s="48"/>
      <c r="Q4" s="48"/>
      <c r="R4" s="48">
        <f>$E4*1000</f>
        <v>3000</v>
      </c>
      <c r="S4" s="48"/>
      <c r="T4" s="48"/>
      <c r="U4" s="48"/>
      <c r="V4" s="240"/>
      <c r="W4" s="48"/>
      <c r="X4" s="48"/>
      <c r="Y4" s="48"/>
      <c r="Z4" s="48">
        <v>3000</v>
      </c>
      <c r="AA4" s="48"/>
      <c r="AB4" s="48">
        <v>3000</v>
      </c>
      <c r="AC4" s="48">
        <v>150</v>
      </c>
      <c r="AD4" s="48">
        <f>$E4*1000</f>
        <v>3000</v>
      </c>
      <c r="AE4" s="48"/>
      <c r="AF4" s="48"/>
      <c r="AG4" s="48"/>
      <c r="AH4" s="48">
        <f>$E4*1000</f>
        <v>3000</v>
      </c>
      <c r="AI4" s="48"/>
      <c r="AJ4" s="48"/>
      <c r="AK4" s="48"/>
      <c r="AL4" s="48">
        <f>$E4*1000</f>
        <v>3000</v>
      </c>
      <c r="AM4" s="48"/>
      <c r="AN4" s="48"/>
      <c r="AO4" s="48"/>
      <c r="AP4" s="48">
        <f>$E4*1000</f>
        <v>3000</v>
      </c>
      <c r="AQ4" s="48"/>
      <c r="AR4" s="48"/>
      <c r="AS4" s="48"/>
      <c r="AT4" s="48">
        <f>$E4*1000</f>
        <v>3000</v>
      </c>
      <c r="AU4" s="48"/>
      <c r="AV4" s="48"/>
      <c r="AW4" s="48"/>
      <c r="AX4" s="48">
        <f>$E4*1000</f>
        <v>3000</v>
      </c>
      <c r="AY4" s="48"/>
      <c r="AZ4" s="48"/>
      <c r="BA4" s="48"/>
      <c r="BB4" s="48">
        <f t="shared" ref="BB4:BB35" si="3">F4+G4+H4+J4+K4+L4+N4+O4+P4+R4+S4+T4+V4+W4+X4+Z4+AA4+AB4+AD4+AE4+AF4+AH4+AI4+AJ4+AL4+AM4+AN4+AP4+AQ4+AR4+AT4+AU4+AV4+AX4+AY4+AZ4</f>
        <v>36000</v>
      </c>
      <c r="BC4" s="48">
        <f t="shared" ref="BC4:BC35" si="4">I4+M4+Q4+U4+Y4+AC4+AG4+AK4+AO4+AS4+AW4+BA4</f>
        <v>150</v>
      </c>
      <c r="BE4">
        <f ca="1">'Monthly Collection-2023'!AY4</f>
        <v>0</v>
      </c>
      <c r="BF4" t="str">
        <f t="shared" ref="BF4:BF35" ca="1" si="5">IF(N(F4)&gt;=$E4*1000,"",IF(AND($E4&gt;0,BE4&gt;=$E4*1000),"G",IF(F$2&lt;=TODAY(),"R","")))</f>
        <v/>
      </c>
      <c r="BG4">
        <f t="shared" ref="BG4:BG35" ca="1" si="6">BE4-IF(BF4="G",$E4*1000,0)+N(G4)</f>
        <v>0</v>
      </c>
      <c r="BH4" t="str">
        <f t="shared" ref="BH4:BH35" ca="1" si="7">IF(N(J4)&gt;=$E4*1000,"",IF(AND($E4&gt;0,BG4&gt;=$E4*1000),"G",IF(J$2&lt;=TODAY(),"R","")))</f>
        <v/>
      </c>
      <c r="BI4">
        <f t="shared" ref="BI4:BI35" ca="1" si="8">BG4-IF(BH4="G",$E4*1000,0)+N(K4)</f>
        <v>0</v>
      </c>
      <c r="BJ4" t="str">
        <f t="shared" ref="BJ4:BJ35" ca="1" si="9">IF(N(N4)&gt;=$E4*1000,"",IF(AND($E4&gt;0,BI4&gt;=$E4*1000),"G",IF(N$2&lt;=TODAY(),"R","")))</f>
        <v/>
      </c>
      <c r="BK4">
        <f t="shared" ref="BK4:BK35" ca="1" si="10">BI4-IF(BJ4="G",$E4*1000,0)+N(O4)</f>
        <v>0</v>
      </c>
      <c r="BL4" t="str">
        <f t="shared" ref="BL4:BL35" ca="1" si="11">IF(N(R4)&gt;=$E4*1000,"",IF(AND($E4&gt;0,BK4&gt;=$E4*1000),"G",IF(R$2&lt;=TODAY(),"R","")))</f>
        <v/>
      </c>
      <c r="BM4">
        <f t="shared" ref="BM4:BM35" ca="1" si="12">BK4-IF(BL4="G",$E4*1000,0)+N(S4)</f>
        <v>0</v>
      </c>
      <c r="BN4" t="str">
        <f t="shared" ref="BN4:BN35" ca="1" si="13">IF(N(V4)&gt;=$E4*1000,"",IF(AND($E4&gt;0,BM4&gt;=$E4*1000),"G",IF(V$2&lt;=TODAY(),"R","")))</f>
        <v>R</v>
      </c>
      <c r="BO4">
        <f t="shared" ref="BO4:BO35" ca="1" si="14">BM4-IF(BN4="G",$E4*1000,0)+N(W4)</f>
        <v>0</v>
      </c>
      <c r="BP4" t="str">
        <f t="shared" ref="BP4:BP35" ca="1" si="15">IF(N(Z4)&gt;=$E4*1000,"",IF(AND($E4&gt;0,BO4&gt;=$E4*1000),"G",IF(Z$2&lt;=TODAY(),"R","")))</f>
        <v/>
      </c>
      <c r="BQ4">
        <f t="shared" ref="BQ4:BQ35" ca="1" si="16">BO4-IF(BP4="G",$E4*1000,0)+N(AA4)</f>
        <v>0</v>
      </c>
      <c r="BR4" t="str">
        <f t="shared" ref="BR4:BR35" ca="1" si="17">IF(N(AD4)&gt;=$E4*1000,"",IF(AND($E4&gt;0,BQ4&gt;=$E4*1000),"G",IF(AD$2&lt;=TODAY(),"R","")))</f>
        <v/>
      </c>
      <c r="BS4">
        <f t="shared" ref="BS4:BS35" ca="1" si="18">BQ4-IF(BR4="G",$E4*1000,0)+N(AE4)</f>
        <v>0</v>
      </c>
      <c r="BT4" t="str">
        <f t="shared" ref="BT4:BT35" ca="1" si="19">IF(N(AH4)&gt;=$E4*1000,"",IF(AND($E4&gt;0,BS4&gt;=$E4*1000),"G",IF(AH$2&lt;=TODAY(),"R","")))</f>
        <v/>
      </c>
      <c r="BU4">
        <f t="shared" ref="BU4:BU35" ca="1" si="20">BS4-IF(BT4="G",$E4*1000,0)+N(AI4)</f>
        <v>0</v>
      </c>
      <c r="BV4" t="str">
        <f t="shared" ref="BV4:BV35" ca="1" si="21">IF(N(AL4)&gt;=$E4*1000,"",IF(AND($E4&gt;0,BU4&gt;=$E4*1000),"G",IF(AL$2&lt;=TODAY(),"R","")))</f>
        <v/>
      </c>
      <c r="BW4">
        <f t="shared" ref="BW4:BW35" ca="1" si="22">BU4-IF(BV4="G",$E4*1000,0)+N(AM4)</f>
        <v>0</v>
      </c>
      <c r="BX4" t="str">
        <f t="shared" ref="BX4:BX35" ca="1" si="23">IF(N(AP4)&gt;=$E4*1000,"",IF(AND($E4&gt;0,BW4&gt;=$E4*1000),"G",IF(AP$2&lt;=TODAY(),"R","")))</f>
        <v/>
      </c>
      <c r="BY4">
        <f t="shared" ref="BY4:BY35" ca="1" si="24">BW4-IF(BX4="G",$E4*1000,0)+N(AQ4)</f>
        <v>0</v>
      </c>
      <c r="BZ4" t="str">
        <f t="shared" ref="BZ4:BZ35" ca="1" si="25">IF(N(AT4)&gt;=$E4*1000,"",IF(AND($E4&gt;0,BY4&gt;=$E4*1000),"G",IF(AT$2&lt;=TODAY(),"R","")))</f>
        <v/>
      </c>
      <c r="CA4">
        <f t="shared" ref="CA4:CA35" ca="1" si="26">BY4-IF(BZ4="G",$E4*1000,0)+N(AU4)</f>
        <v>0</v>
      </c>
      <c r="CB4" t="str">
        <f t="shared" ref="CB4:CB35" ca="1" si="27">IF(N(AX4)&gt;=$E4*1000,"",IF(AND($E4&gt;0,CA4&gt;=$E4*1000),"G",IF(AX$2&lt;=TODAY(),"R","")))</f>
        <v/>
      </c>
      <c r="CC4">
        <f t="shared" ref="CC4:CC35" ca="1" si="28">CA4-IF(CB4="G",$E4*1000,0)+N(AY4)</f>
        <v>0</v>
      </c>
    </row>
    <row r="5" spans="1:8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>
        <f>$E5*1000</f>
        <v>2000</v>
      </c>
      <c r="G5" s="52"/>
      <c r="H5" s="52"/>
      <c r="I5" s="52"/>
      <c r="J5" s="52">
        <f t="shared" si="1"/>
        <v>2000</v>
      </c>
      <c r="K5" s="52"/>
      <c r="L5" s="52"/>
      <c r="M5" s="52"/>
      <c r="N5" s="52">
        <f t="shared" si="2"/>
        <v>2000</v>
      </c>
      <c r="O5" s="52"/>
      <c r="P5" s="52"/>
      <c r="Q5" s="52"/>
      <c r="R5" s="52">
        <f>$E5*1000</f>
        <v>2000</v>
      </c>
      <c r="S5" s="52"/>
      <c r="T5" s="52"/>
      <c r="U5" s="52"/>
      <c r="V5" s="52">
        <f>$E5*1000</f>
        <v>2000</v>
      </c>
      <c r="W5" s="52"/>
      <c r="X5" s="52"/>
      <c r="Y5" s="52"/>
      <c r="Z5" s="52">
        <f>$E5*1000</f>
        <v>2000</v>
      </c>
      <c r="AA5" s="52"/>
      <c r="AB5" s="52"/>
      <c r="AC5" s="52"/>
      <c r="AD5" s="52">
        <f>$E5*1000</f>
        <v>2000</v>
      </c>
      <c r="AE5" s="52"/>
      <c r="AF5" s="52"/>
      <c r="AG5" s="52"/>
      <c r="AH5" s="52">
        <f>$E5*1000</f>
        <v>2000</v>
      </c>
      <c r="AI5" s="52"/>
      <c r="AJ5" s="52"/>
      <c r="AK5" s="52"/>
      <c r="AL5" s="52">
        <f>$E5*1000</f>
        <v>2000</v>
      </c>
      <c r="AM5" s="52"/>
      <c r="AN5" s="52"/>
      <c r="AO5" s="52"/>
      <c r="AP5" s="52">
        <f>$E5*1000</f>
        <v>2000</v>
      </c>
      <c r="AQ5" s="52"/>
      <c r="AR5" s="52"/>
      <c r="AS5" s="52"/>
      <c r="AT5" s="52">
        <f>$E5*1000</f>
        <v>2000</v>
      </c>
      <c r="AU5" s="52"/>
      <c r="AV5" s="52"/>
      <c r="AW5" s="52"/>
      <c r="AX5" s="52">
        <f>$E5*1000</f>
        <v>2000</v>
      </c>
      <c r="AY5" s="52"/>
      <c r="AZ5" s="52"/>
      <c r="BA5" s="52"/>
      <c r="BB5" s="52">
        <f t="shared" si="3"/>
        <v>24000</v>
      </c>
      <c r="BC5" s="52">
        <f t="shared" si="4"/>
        <v>0</v>
      </c>
      <c r="BE5">
        <f ca="1">'Monthly Collection-2023'!AY5</f>
        <v>0</v>
      </c>
      <c r="BF5" t="str">
        <f t="shared" ca="1" si="5"/>
        <v/>
      </c>
      <c r="BG5">
        <f t="shared" ca="1" si="6"/>
        <v>0</v>
      </c>
      <c r="BH5" t="str">
        <f t="shared" ca="1" si="7"/>
        <v/>
      </c>
      <c r="BI5">
        <f t="shared" ca="1" si="8"/>
        <v>0</v>
      </c>
      <c r="BJ5" t="str">
        <f t="shared" ca="1" si="9"/>
        <v/>
      </c>
      <c r="BK5">
        <f t="shared" ca="1" si="10"/>
        <v>0</v>
      </c>
      <c r="BL5" t="str">
        <f t="shared" ca="1" si="11"/>
        <v/>
      </c>
      <c r="BM5">
        <f t="shared" ca="1" si="12"/>
        <v>0</v>
      </c>
      <c r="BN5" t="str">
        <f t="shared" ca="1" si="13"/>
        <v/>
      </c>
      <c r="BO5">
        <f t="shared" ca="1" si="14"/>
        <v>0</v>
      </c>
      <c r="BP5" t="str">
        <f t="shared" ca="1" si="15"/>
        <v/>
      </c>
      <c r="BQ5">
        <f t="shared" ca="1" si="16"/>
        <v>0</v>
      </c>
      <c r="BR5" t="str">
        <f t="shared" ca="1" si="17"/>
        <v/>
      </c>
      <c r="BS5">
        <f t="shared" ca="1" si="18"/>
        <v>0</v>
      </c>
      <c r="BT5" t="str">
        <f t="shared" ca="1" si="19"/>
        <v/>
      </c>
      <c r="BU5">
        <f t="shared" ca="1" si="20"/>
        <v>0</v>
      </c>
      <c r="BV5" t="str">
        <f t="shared" ca="1" si="21"/>
        <v/>
      </c>
      <c r="BW5">
        <f t="shared" ca="1" si="22"/>
        <v>0</v>
      </c>
      <c r="BX5" t="str">
        <f t="shared" ca="1" si="23"/>
        <v/>
      </c>
      <c r="BY5">
        <f t="shared" ca="1" si="24"/>
        <v>0</v>
      </c>
      <c r="BZ5" t="str">
        <f t="shared" ca="1" si="25"/>
        <v/>
      </c>
      <c r="CA5">
        <f t="shared" ca="1" si="26"/>
        <v>0</v>
      </c>
      <c r="CB5" t="str">
        <f t="shared" ca="1" si="27"/>
        <v/>
      </c>
      <c r="CC5">
        <f t="shared" ca="1" si="28"/>
        <v>0</v>
      </c>
    </row>
    <row r="6" spans="1:8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>
        <v>2000</v>
      </c>
      <c r="G6" s="56"/>
      <c r="H6" s="56">
        <v>2000</v>
      </c>
      <c r="I6" s="56">
        <v>100</v>
      </c>
      <c r="J6" s="56">
        <f t="shared" si="1"/>
        <v>2000</v>
      </c>
      <c r="K6" s="56"/>
      <c r="L6" s="56"/>
      <c r="M6" s="56"/>
      <c r="N6" s="56">
        <f t="shared" si="2"/>
        <v>2000</v>
      </c>
      <c r="O6" s="56"/>
      <c r="P6" s="56"/>
      <c r="Q6" s="56"/>
      <c r="R6" s="56">
        <f>$E6*1000</f>
        <v>2000</v>
      </c>
      <c r="S6" s="56"/>
      <c r="T6" s="56"/>
      <c r="U6" s="56"/>
      <c r="V6" s="56">
        <f>$E6*1000</f>
        <v>2000</v>
      </c>
      <c r="W6" s="56"/>
      <c r="X6" s="56"/>
      <c r="Y6" s="56"/>
      <c r="Z6" s="56">
        <f>$E6*1000</f>
        <v>2000</v>
      </c>
      <c r="AA6" s="56"/>
      <c r="AB6" s="56"/>
      <c r="AC6" s="56"/>
      <c r="AD6" s="56">
        <f>$E6*1000</f>
        <v>2000</v>
      </c>
      <c r="AE6" s="56"/>
      <c r="AF6" s="56"/>
      <c r="AG6" s="56"/>
      <c r="AH6" s="56">
        <f>$E6*1000</f>
        <v>2000</v>
      </c>
      <c r="AI6" s="56"/>
      <c r="AJ6" s="56"/>
      <c r="AK6" s="56"/>
      <c r="AL6" s="56">
        <f>$E6*1000</f>
        <v>2000</v>
      </c>
      <c r="AM6" s="56"/>
      <c r="AN6" s="56"/>
      <c r="AO6" s="56"/>
      <c r="AP6" s="56">
        <f>$E6*1000</f>
        <v>2000</v>
      </c>
      <c r="AQ6" s="56"/>
      <c r="AR6" s="56"/>
      <c r="AS6" s="56"/>
      <c r="AT6" s="56">
        <f>$E6*1000</f>
        <v>2000</v>
      </c>
      <c r="AU6" s="56"/>
      <c r="AV6" s="56"/>
      <c r="AW6" s="56"/>
      <c r="AX6" s="56">
        <f>$E6*1000</f>
        <v>2000</v>
      </c>
      <c r="AY6" s="56"/>
      <c r="AZ6" s="56"/>
      <c r="BA6" s="56"/>
      <c r="BB6" s="56">
        <f t="shared" si="3"/>
        <v>26000</v>
      </c>
      <c r="BC6" s="56">
        <f t="shared" si="4"/>
        <v>100</v>
      </c>
      <c r="BE6">
        <f ca="1">'Monthly Collection-2023'!AY6</f>
        <v>0</v>
      </c>
      <c r="BF6" t="str">
        <f t="shared" ca="1" si="5"/>
        <v/>
      </c>
      <c r="BG6">
        <f t="shared" ca="1" si="6"/>
        <v>0</v>
      </c>
      <c r="BH6" t="str">
        <f t="shared" ca="1" si="7"/>
        <v/>
      </c>
      <c r="BI6">
        <f t="shared" ca="1" si="8"/>
        <v>0</v>
      </c>
      <c r="BJ6" t="str">
        <f t="shared" ca="1" si="9"/>
        <v/>
      </c>
      <c r="BK6">
        <f t="shared" ca="1" si="10"/>
        <v>0</v>
      </c>
      <c r="BL6" t="str">
        <f t="shared" ca="1" si="11"/>
        <v/>
      </c>
      <c r="BM6">
        <f t="shared" ca="1" si="12"/>
        <v>0</v>
      </c>
      <c r="BN6" t="str">
        <f t="shared" ca="1" si="13"/>
        <v/>
      </c>
      <c r="BO6">
        <f t="shared" ca="1" si="14"/>
        <v>0</v>
      </c>
      <c r="BP6" t="str">
        <f t="shared" ca="1" si="15"/>
        <v/>
      </c>
      <c r="BQ6">
        <f t="shared" ca="1" si="16"/>
        <v>0</v>
      </c>
      <c r="BR6" t="str">
        <f t="shared" ca="1" si="17"/>
        <v/>
      </c>
      <c r="BS6">
        <f t="shared" ca="1" si="18"/>
        <v>0</v>
      </c>
      <c r="BT6" t="str">
        <f t="shared" ca="1" si="19"/>
        <v/>
      </c>
      <c r="BU6">
        <f t="shared" ca="1" si="20"/>
        <v>0</v>
      </c>
      <c r="BV6" t="str">
        <f t="shared" ca="1" si="21"/>
        <v/>
      </c>
      <c r="BW6">
        <f t="shared" ca="1" si="22"/>
        <v>0</v>
      </c>
      <c r="BX6" t="str">
        <f t="shared" ca="1" si="23"/>
        <v/>
      </c>
      <c r="BY6">
        <f t="shared" ca="1" si="24"/>
        <v>0</v>
      </c>
      <c r="BZ6" t="str">
        <f t="shared" ca="1" si="25"/>
        <v/>
      </c>
      <c r="CA6">
        <f t="shared" ca="1" si="26"/>
        <v>0</v>
      </c>
      <c r="CB6" t="str">
        <f t="shared" ca="1" si="27"/>
        <v/>
      </c>
      <c r="CC6">
        <f t="shared" ca="1" si="28"/>
        <v>0</v>
      </c>
    </row>
    <row r="7" spans="1:8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>
        <f>$E7*1000</f>
        <v>5000</v>
      </c>
      <c r="G7" s="52"/>
      <c r="H7" s="52"/>
      <c r="I7" s="52"/>
      <c r="J7" s="52">
        <f t="shared" si="1"/>
        <v>5000</v>
      </c>
      <c r="K7" s="52"/>
      <c r="L7" s="52"/>
      <c r="M7" s="52"/>
      <c r="N7" s="52">
        <f t="shared" si="2"/>
        <v>5000</v>
      </c>
      <c r="O7" s="52"/>
      <c r="P7" s="52"/>
      <c r="Q7" s="52"/>
      <c r="R7" s="52">
        <f>$E7*1000</f>
        <v>5000</v>
      </c>
      <c r="S7" s="52"/>
      <c r="T7" s="52"/>
      <c r="U7" s="52"/>
      <c r="V7" s="52">
        <f>$E7*1000</f>
        <v>5000</v>
      </c>
      <c r="W7" s="52"/>
      <c r="X7" s="52"/>
      <c r="Y7" s="52"/>
      <c r="Z7" s="52">
        <f>$E7*1000</f>
        <v>5000</v>
      </c>
      <c r="AA7" s="52"/>
      <c r="AB7" s="52"/>
      <c r="AC7" s="52"/>
      <c r="AD7" s="52">
        <f>$E7*1000</f>
        <v>5000</v>
      </c>
      <c r="AE7" s="52"/>
      <c r="AF7" s="52"/>
      <c r="AG7" s="52"/>
      <c r="AH7" s="52">
        <f>$E7*1000</f>
        <v>5000</v>
      </c>
      <c r="AI7" s="52"/>
      <c r="AJ7" s="52"/>
      <c r="AK7" s="52"/>
      <c r="AL7" s="52">
        <f>$E7*1000</f>
        <v>5000</v>
      </c>
      <c r="AM7" s="52"/>
      <c r="AN7" s="52"/>
      <c r="AO7" s="52"/>
      <c r="AP7" s="52">
        <f>$E7*1000</f>
        <v>5000</v>
      </c>
      <c r="AQ7" s="52"/>
      <c r="AR7" s="52"/>
      <c r="AS7" s="52"/>
      <c r="AT7" s="52">
        <f>$E7*1000</f>
        <v>5000</v>
      </c>
      <c r="AU7" s="52"/>
      <c r="AV7" s="52"/>
      <c r="AW7" s="52"/>
      <c r="AX7" s="52">
        <f>$E7*1000</f>
        <v>5000</v>
      </c>
      <c r="AY7" s="52"/>
      <c r="AZ7" s="52"/>
      <c r="BA7" s="52"/>
      <c r="BB7" s="52">
        <f t="shared" si="3"/>
        <v>60000</v>
      </c>
      <c r="BC7" s="52">
        <f t="shared" si="4"/>
        <v>0</v>
      </c>
      <c r="BE7">
        <f ca="1">'Monthly Collection-2023'!AY7</f>
        <v>0</v>
      </c>
      <c r="BF7" t="str">
        <f t="shared" ca="1" si="5"/>
        <v/>
      </c>
      <c r="BG7">
        <f t="shared" ca="1" si="6"/>
        <v>0</v>
      </c>
      <c r="BH7" t="str">
        <f t="shared" ca="1" si="7"/>
        <v/>
      </c>
      <c r="BI7">
        <f t="shared" ca="1" si="8"/>
        <v>0</v>
      </c>
      <c r="BJ7" t="str">
        <f t="shared" ca="1" si="9"/>
        <v/>
      </c>
      <c r="BK7">
        <f t="shared" ca="1" si="10"/>
        <v>0</v>
      </c>
      <c r="BL7" t="str">
        <f t="shared" ca="1" si="11"/>
        <v/>
      </c>
      <c r="BM7">
        <f t="shared" ca="1" si="12"/>
        <v>0</v>
      </c>
      <c r="BN7" t="str">
        <f t="shared" ca="1" si="13"/>
        <v/>
      </c>
      <c r="BO7">
        <f t="shared" ca="1" si="14"/>
        <v>0</v>
      </c>
      <c r="BP7" t="str">
        <f t="shared" ca="1" si="15"/>
        <v/>
      </c>
      <c r="BQ7">
        <f t="shared" ca="1" si="16"/>
        <v>0</v>
      </c>
      <c r="BR7" t="str">
        <f t="shared" ca="1" si="17"/>
        <v/>
      </c>
      <c r="BS7">
        <f t="shared" ca="1" si="18"/>
        <v>0</v>
      </c>
      <c r="BT7" t="str">
        <f t="shared" ca="1" si="19"/>
        <v/>
      </c>
      <c r="BU7">
        <f t="shared" ca="1" si="20"/>
        <v>0</v>
      </c>
      <c r="BV7" t="str">
        <f t="shared" ca="1" si="21"/>
        <v/>
      </c>
      <c r="BW7">
        <f t="shared" ca="1" si="22"/>
        <v>0</v>
      </c>
      <c r="BX7" t="str">
        <f t="shared" ca="1" si="23"/>
        <v/>
      </c>
      <c r="BY7">
        <f t="shared" ca="1" si="24"/>
        <v>0</v>
      </c>
      <c r="BZ7" t="str">
        <f t="shared" ca="1" si="25"/>
        <v/>
      </c>
      <c r="CA7">
        <f t="shared" ca="1" si="26"/>
        <v>0</v>
      </c>
      <c r="CB7" t="str">
        <f t="shared" ca="1" si="27"/>
        <v/>
      </c>
      <c r="CC7">
        <f t="shared" ca="1" si="28"/>
        <v>0</v>
      </c>
    </row>
    <row r="8" spans="1:8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>
        <f>$E8*1000</f>
        <v>2000</v>
      </c>
      <c r="G8" s="56"/>
      <c r="H8" s="56"/>
      <c r="I8" s="56"/>
      <c r="J8" s="56">
        <f t="shared" si="1"/>
        <v>2000</v>
      </c>
      <c r="K8" s="56"/>
      <c r="L8" s="56"/>
      <c r="M8" s="56"/>
      <c r="N8" s="56">
        <f t="shared" si="2"/>
        <v>2000</v>
      </c>
      <c r="O8" s="56"/>
      <c r="P8" s="56"/>
      <c r="Q8" s="56"/>
      <c r="R8" s="56">
        <f>$E8*1000</f>
        <v>2000</v>
      </c>
      <c r="S8" s="56"/>
      <c r="T8" s="56"/>
      <c r="U8" s="56"/>
      <c r="V8" s="56">
        <f>$E8*1000</f>
        <v>2000</v>
      </c>
      <c r="W8" s="56"/>
      <c r="X8" s="56"/>
      <c r="Y8" s="56"/>
      <c r="Z8" s="56">
        <f>$E8*1000</f>
        <v>2000</v>
      </c>
      <c r="AA8" s="56"/>
      <c r="AB8" s="56"/>
      <c r="AC8" s="56"/>
      <c r="AD8" s="56">
        <f>$E8*1000</f>
        <v>2000</v>
      </c>
      <c r="AE8" s="56"/>
      <c r="AF8" s="56"/>
      <c r="AG8" s="56"/>
      <c r="AH8" s="241"/>
      <c r="AI8" s="56"/>
      <c r="AJ8" s="56"/>
      <c r="AK8" s="56"/>
      <c r="AL8" s="56">
        <v>2000</v>
      </c>
      <c r="AM8" s="56"/>
      <c r="AN8" s="56">
        <v>2000</v>
      </c>
      <c r="AO8" s="56">
        <v>100</v>
      </c>
      <c r="AP8" s="56">
        <f>$E8*1000</f>
        <v>2000</v>
      </c>
      <c r="AQ8" s="56"/>
      <c r="AR8" s="56"/>
      <c r="AS8" s="56"/>
      <c r="AT8" s="56">
        <f>$E8*1000</f>
        <v>2000</v>
      </c>
      <c r="AU8" s="56"/>
      <c r="AV8" s="56"/>
      <c r="AW8" s="56"/>
      <c r="AX8" s="56">
        <f>$E8*1000</f>
        <v>2000</v>
      </c>
      <c r="AY8" s="56"/>
      <c r="AZ8" s="56"/>
      <c r="BA8" s="56"/>
      <c r="BB8" s="56">
        <f t="shared" si="3"/>
        <v>24000</v>
      </c>
      <c r="BC8" s="56">
        <f t="shared" si="4"/>
        <v>100</v>
      </c>
      <c r="BE8">
        <f ca="1">'Monthly Collection-2023'!AY8</f>
        <v>0</v>
      </c>
      <c r="BF8" t="str">
        <f t="shared" ca="1" si="5"/>
        <v/>
      </c>
      <c r="BG8">
        <f t="shared" ca="1" si="6"/>
        <v>0</v>
      </c>
      <c r="BH8" t="str">
        <f t="shared" ca="1" si="7"/>
        <v/>
      </c>
      <c r="BI8">
        <f t="shared" ca="1" si="8"/>
        <v>0</v>
      </c>
      <c r="BJ8" t="str">
        <f t="shared" ca="1" si="9"/>
        <v/>
      </c>
      <c r="BK8">
        <f t="shared" ca="1" si="10"/>
        <v>0</v>
      </c>
      <c r="BL8" t="str">
        <f t="shared" ca="1" si="11"/>
        <v/>
      </c>
      <c r="BM8">
        <f t="shared" ca="1" si="12"/>
        <v>0</v>
      </c>
      <c r="BN8" t="str">
        <f t="shared" ca="1" si="13"/>
        <v/>
      </c>
      <c r="BO8">
        <f t="shared" ca="1" si="14"/>
        <v>0</v>
      </c>
      <c r="BP8" t="str">
        <f t="shared" ca="1" si="15"/>
        <v/>
      </c>
      <c r="BQ8">
        <f t="shared" ca="1" si="16"/>
        <v>0</v>
      </c>
      <c r="BR8" t="str">
        <f t="shared" ca="1" si="17"/>
        <v/>
      </c>
      <c r="BS8">
        <f t="shared" ca="1" si="18"/>
        <v>0</v>
      </c>
      <c r="BT8" t="str">
        <f t="shared" ca="1" si="19"/>
        <v>R</v>
      </c>
      <c r="BU8">
        <f t="shared" ca="1" si="20"/>
        <v>0</v>
      </c>
      <c r="BV8" t="str">
        <f t="shared" ca="1" si="21"/>
        <v/>
      </c>
      <c r="BW8">
        <f t="shared" ca="1" si="22"/>
        <v>0</v>
      </c>
      <c r="BX8" t="str">
        <f t="shared" ca="1" si="23"/>
        <v/>
      </c>
      <c r="BY8">
        <f t="shared" ca="1" si="24"/>
        <v>0</v>
      </c>
      <c r="BZ8" t="str">
        <f t="shared" ca="1" si="25"/>
        <v/>
      </c>
      <c r="CA8">
        <f t="shared" ca="1" si="26"/>
        <v>0</v>
      </c>
      <c r="CB8" t="str">
        <f t="shared" ca="1" si="27"/>
        <v/>
      </c>
      <c r="CC8">
        <f t="shared" ca="1" si="28"/>
        <v>0</v>
      </c>
    </row>
    <row r="9" spans="1:8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242"/>
      <c r="G9" s="52"/>
      <c r="H9" s="52"/>
      <c r="I9" s="52"/>
      <c r="J9" s="52">
        <f t="shared" si="1"/>
        <v>2000</v>
      </c>
      <c r="K9" s="52"/>
      <c r="L9" s="52"/>
      <c r="M9" s="52"/>
      <c r="N9" s="52">
        <f t="shared" si="2"/>
        <v>2000</v>
      </c>
      <c r="O9" s="52">
        <v>8000</v>
      </c>
      <c r="P9" s="52"/>
      <c r="Q9" s="52"/>
      <c r="R9" s="242"/>
      <c r="S9" s="52"/>
      <c r="T9" s="52"/>
      <c r="U9" s="52"/>
      <c r="V9" s="242"/>
      <c r="W9" s="52"/>
      <c r="X9" s="52"/>
      <c r="Y9" s="52"/>
      <c r="Z9" s="242"/>
      <c r="AA9" s="52"/>
      <c r="AB9" s="52"/>
      <c r="AC9" s="52"/>
      <c r="AD9" s="242"/>
      <c r="AE9" s="52"/>
      <c r="AF9" s="52"/>
      <c r="AG9" s="52"/>
      <c r="AH9" s="52">
        <f>$E9*1000</f>
        <v>2000</v>
      </c>
      <c r="AI9" s="52">
        <v>8000</v>
      </c>
      <c r="AJ9" s="52"/>
      <c r="AK9" s="52"/>
      <c r="AL9" s="242"/>
      <c r="AM9" s="52"/>
      <c r="AN9" s="52"/>
      <c r="AO9" s="52"/>
      <c r="AP9" s="242"/>
      <c r="AQ9" s="52"/>
      <c r="AR9" s="52"/>
      <c r="AS9" s="52"/>
      <c r="AT9" s="242"/>
      <c r="AU9" s="52"/>
      <c r="AV9" s="52"/>
      <c r="AW9" s="52"/>
      <c r="AX9" s="242"/>
      <c r="AY9" s="52"/>
      <c r="AZ9" s="52"/>
      <c r="BA9" s="52"/>
      <c r="BB9" s="52">
        <f t="shared" si="3"/>
        <v>22000</v>
      </c>
      <c r="BC9" s="52">
        <f t="shared" si="4"/>
        <v>0</v>
      </c>
      <c r="BE9">
        <f ca="1">'Monthly Collection-2023'!AY9</f>
        <v>2000</v>
      </c>
      <c r="BF9" t="str">
        <f t="shared" ca="1" si="5"/>
        <v>G</v>
      </c>
      <c r="BG9">
        <f t="shared" ca="1" si="6"/>
        <v>0</v>
      </c>
      <c r="BH9" t="str">
        <f t="shared" ca="1" si="7"/>
        <v/>
      </c>
      <c r="BI9">
        <f t="shared" ca="1" si="8"/>
        <v>0</v>
      </c>
      <c r="BJ9" t="str">
        <f t="shared" ca="1" si="9"/>
        <v/>
      </c>
      <c r="BK9">
        <f t="shared" ca="1" si="10"/>
        <v>8000</v>
      </c>
      <c r="BL9" t="str">
        <f t="shared" ca="1" si="11"/>
        <v>G</v>
      </c>
      <c r="BM9">
        <f t="shared" ca="1" si="12"/>
        <v>6000</v>
      </c>
      <c r="BN9" t="str">
        <f t="shared" ca="1" si="13"/>
        <v>G</v>
      </c>
      <c r="BO9">
        <f t="shared" ca="1" si="14"/>
        <v>4000</v>
      </c>
      <c r="BP9" t="str">
        <f t="shared" ca="1" si="15"/>
        <v>G</v>
      </c>
      <c r="BQ9">
        <f t="shared" ca="1" si="16"/>
        <v>2000</v>
      </c>
      <c r="BR9" t="str">
        <f t="shared" ca="1" si="17"/>
        <v>G</v>
      </c>
      <c r="BS9">
        <f t="shared" ca="1" si="18"/>
        <v>0</v>
      </c>
      <c r="BT9" t="str">
        <f t="shared" ca="1" si="19"/>
        <v/>
      </c>
      <c r="BU9">
        <f t="shared" ca="1" si="20"/>
        <v>8000</v>
      </c>
      <c r="BV9" t="str">
        <f t="shared" ca="1" si="21"/>
        <v>G</v>
      </c>
      <c r="BW9">
        <f t="shared" ca="1" si="22"/>
        <v>6000</v>
      </c>
      <c r="BX9" t="str">
        <f t="shared" ca="1" si="23"/>
        <v>G</v>
      </c>
      <c r="BY9">
        <f t="shared" ca="1" si="24"/>
        <v>4000</v>
      </c>
      <c r="BZ9" t="str">
        <f t="shared" ca="1" si="25"/>
        <v>G</v>
      </c>
      <c r="CA9">
        <f t="shared" ca="1" si="26"/>
        <v>2000</v>
      </c>
      <c r="CB9" t="str">
        <f t="shared" ca="1" si="27"/>
        <v>G</v>
      </c>
      <c r="CC9">
        <f t="shared" ca="1" si="28"/>
        <v>0</v>
      </c>
    </row>
    <row r="10" spans="1:8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>
        <f t="shared" ref="F10:F18" si="29">$E10*1000</f>
        <v>2000</v>
      </c>
      <c r="G10" s="56"/>
      <c r="H10" s="56"/>
      <c r="I10" s="56"/>
      <c r="J10" s="56">
        <f t="shared" si="1"/>
        <v>2000</v>
      </c>
      <c r="K10" s="56"/>
      <c r="L10" s="56"/>
      <c r="M10" s="56"/>
      <c r="N10" s="56">
        <f t="shared" si="2"/>
        <v>2000</v>
      </c>
      <c r="O10" s="56"/>
      <c r="P10" s="56"/>
      <c r="Q10" s="56"/>
      <c r="R10" s="56">
        <f t="shared" ref="R10:R25" si="30">$E10*1000</f>
        <v>2000</v>
      </c>
      <c r="S10" s="56"/>
      <c r="T10" s="56"/>
      <c r="U10" s="56"/>
      <c r="V10" s="56">
        <f t="shared" ref="V10:V25" si="31">$E10*1000</f>
        <v>2000</v>
      </c>
      <c r="W10" s="56"/>
      <c r="X10" s="56"/>
      <c r="Y10" s="56"/>
      <c r="Z10" s="56">
        <f t="shared" ref="Z10:Z25" si="32">$E10*1000</f>
        <v>2000</v>
      </c>
      <c r="AA10" s="56"/>
      <c r="AB10" s="56"/>
      <c r="AC10" s="56"/>
      <c r="AD10" s="56">
        <f>$E10*1000</f>
        <v>2000</v>
      </c>
      <c r="AE10" s="56"/>
      <c r="AF10" s="56"/>
      <c r="AG10" s="56"/>
      <c r="AH10" s="56">
        <f>$E10*1000</f>
        <v>2000</v>
      </c>
      <c r="AI10" s="56"/>
      <c r="AJ10" s="56"/>
      <c r="AK10" s="56"/>
      <c r="AL10" s="56">
        <f t="shared" ref="AL10:AL25" si="33">$E10*1000</f>
        <v>2000</v>
      </c>
      <c r="AM10" s="56"/>
      <c r="AN10" s="56"/>
      <c r="AO10" s="56"/>
      <c r="AP10" s="56">
        <f t="shared" ref="AP10:AP25" si="34">$E10*1000</f>
        <v>2000</v>
      </c>
      <c r="AQ10" s="56"/>
      <c r="AR10" s="56"/>
      <c r="AS10" s="56"/>
      <c r="AT10" s="56">
        <f t="shared" ref="AT10:AT25" si="35">$E10*1000</f>
        <v>2000</v>
      </c>
      <c r="AU10" s="56"/>
      <c r="AV10" s="56"/>
      <c r="AW10" s="56"/>
      <c r="AX10" s="56">
        <f t="shared" ref="AX10:AX18" si="36">$E10*1000</f>
        <v>2000</v>
      </c>
      <c r="AY10" s="56"/>
      <c r="AZ10" s="56"/>
      <c r="BA10" s="56"/>
      <c r="BB10" s="56">
        <f t="shared" si="3"/>
        <v>24000</v>
      </c>
      <c r="BC10" s="56">
        <f t="shared" si="4"/>
        <v>0</v>
      </c>
      <c r="BE10">
        <f ca="1">'Monthly Collection-2023'!AY10</f>
        <v>0</v>
      </c>
      <c r="BF10" t="str">
        <f t="shared" ca="1" si="5"/>
        <v/>
      </c>
      <c r="BG10">
        <f t="shared" ca="1" si="6"/>
        <v>0</v>
      </c>
      <c r="BH10" t="str">
        <f t="shared" ca="1" si="7"/>
        <v/>
      </c>
      <c r="BI10">
        <f t="shared" ca="1" si="8"/>
        <v>0</v>
      </c>
      <c r="BJ10" t="str">
        <f t="shared" ca="1" si="9"/>
        <v/>
      </c>
      <c r="BK10">
        <f t="shared" ca="1" si="10"/>
        <v>0</v>
      </c>
      <c r="BL10" t="str">
        <f t="shared" ca="1" si="11"/>
        <v/>
      </c>
      <c r="BM10">
        <f t="shared" ca="1" si="12"/>
        <v>0</v>
      </c>
      <c r="BN10" t="str">
        <f t="shared" ca="1" si="13"/>
        <v/>
      </c>
      <c r="BO10">
        <f t="shared" ca="1" si="14"/>
        <v>0</v>
      </c>
      <c r="BP10" t="str">
        <f t="shared" ca="1" si="15"/>
        <v/>
      </c>
      <c r="BQ10">
        <f t="shared" ca="1" si="16"/>
        <v>0</v>
      </c>
      <c r="BR10" t="str">
        <f t="shared" ca="1" si="17"/>
        <v/>
      </c>
      <c r="BS10">
        <f t="shared" ca="1" si="18"/>
        <v>0</v>
      </c>
      <c r="BT10" t="str">
        <f t="shared" ca="1" si="19"/>
        <v/>
      </c>
      <c r="BU10">
        <f t="shared" ca="1" si="20"/>
        <v>0</v>
      </c>
      <c r="BV10" t="str">
        <f t="shared" ca="1" si="21"/>
        <v/>
      </c>
      <c r="BW10">
        <f t="shared" ca="1" si="22"/>
        <v>0</v>
      </c>
      <c r="BX10" t="str">
        <f t="shared" ca="1" si="23"/>
        <v/>
      </c>
      <c r="BY10">
        <f t="shared" ca="1" si="24"/>
        <v>0</v>
      </c>
      <c r="BZ10" t="str">
        <f t="shared" ca="1" si="25"/>
        <v/>
      </c>
      <c r="CA10">
        <f t="shared" ca="1" si="26"/>
        <v>0</v>
      </c>
      <c r="CB10" t="str">
        <f t="shared" ca="1" si="27"/>
        <v/>
      </c>
      <c r="CC10">
        <f t="shared" ca="1" si="28"/>
        <v>0</v>
      </c>
    </row>
    <row r="11" spans="1:8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>
        <f t="shared" si="29"/>
        <v>2000</v>
      </c>
      <c r="G11" s="52"/>
      <c r="H11" s="52"/>
      <c r="I11" s="52"/>
      <c r="J11" s="52">
        <f t="shared" si="1"/>
        <v>2000</v>
      </c>
      <c r="K11" s="52"/>
      <c r="L11" s="52"/>
      <c r="M11" s="52"/>
      <c r="N11" s="52">
        <f t="shared" si="2"/>
        <v>2000</v>
      </c>
      <c r="O11" s="52"/>
      <c r="P11" s="52"/>
      <c r="Q11" s="52"/>
      <c r="R11" s="52">
        <f t="shared" si="30"/>
        <v>2000</v>
      </c>
      <c r="S11" s="52"/>
      <c r="T11" s="52"/>
      <c r="U11" s="52"/>
      <c r="V11" s="52">
        <f t="shared" si="31"/>
        <v>2000</v>
      </c>
      <c r="W11" s="52"/>
      <c r="X11" s="52"/>
      <c r="Y11" s="52"/>
      <c r="Z11" s="52">
        <f t="shared" si="32"/>
        <v>2000</v>
      </c>
      <c r="AA11" s="52"/>
      <c r="AB11" s="52"/>
      <c r="AC11" s="52"/>
      <c r="AD11" s="52">
        <f>$E11*1000</f>
        <v>2000</v>
      </c>
      <c r="AE11" s="52"/>
      <c r="AF11" s="52"/>
      <c r="AG11" s="52"/>
      <c r="AH11" s="52">
        <f>$E11*1000</f>
        <v>2000</v>
      </c>
      <c r="AI11" s="52"/>
      <c r="AJ11" s="52"/>
      <c r="AK11" s="52"/>
      <c r="AL11" s="52">
        <f t="shared" si="33"/>
        <v>2000</v>
      </c>
      <c r="AM11" s="52"/>
      <c r="AN11" s="52"/>
      <c r="AO11" s="52"/>
      <c r="AP11" s="52">
        <f t="shared" si="34"/>
        <v>2000</v>
      </c>
      <c r="AQ11" s="52"/>
      <c r="AR11" s="52"/>
      <c r="AS11" s="52"/>
      <c r="AT11" s="52">
        <f t="shared" si="35"/>
        <v>2000</v>
      </c>
      <c r="AU11" s="52"/>
      <c r="AV11" s="52"/>
      <c r="AW11" s="52"/>
      <c r="AX11" s="52">
        <f t="shared" si="36"/>
        <v>2000</v>
      </c>
      <c r="AY11" s="52"/>
      <c r="AZ11" s="52"/>
      <c r="BA11" s="52"/>
      <c r="BB11" s="52">
        <f t="shared" si="3"/>
        <v>24000</v>
      </c>
      <c r="BC11" s="52">
        <f t="shared" si="4"/>
        <v>0</v>
      </c>
      <c r="BE11">
        <f ca="1">'Monthly Collection-2023'!AY11</f>
        <v>0</v>
      </c>
      <c r="BF11" t="str">
        <f t="shared" ca="1" si="5"/>
        <v/>
      </c>
      <c r="BG11">
        <f t="shared" ca="1" si="6"/>
        <v>0</v>
      </c>
      <c r="BH11" t="str">
        <f t="shared" ca="1" si="7"/>
        <v/>
      </c>
      <c r="BI11">
        <f t="shared" ca="1" si="8"/>
        <v>0</v>
      </c>
      <c r="BJ11" t="str">
        <f t="shared" ca="1" si="9"/>
        <v/>
      </c>
      <c r="BK11">
        <f t="shared" ca="1" si="10"/>
        <v>0</v>
      </c>
      <c r="BL11" t="str">
        <f t="shared" ca="1" si="11"/>
        <v/>
      </c>
      <c r="BM11">
        <f t="shared" ca="1" si="12"/>
        <v>0</v>
      </c>
      <c r="BN11" t="str">
        <f t="shared" ca="1" si="13"/>
        <v/>
      </c>
      <c r="BO11">
        <f t="shared" ca="1" si="14"/>
        <v>0</v>
      </c>
      <c r="BP11" t="str">
        <f t="shared" ca="1" si="15"/>
        <v/>
      </c>
      <c r="BQ11">
        <f t="shared" ca="1" si="16"/>
        <v>0</v>
      </c>
      <c r="BR11" t="str">
        <f t="shared" ca="1" si="17"/>
        <v/>
      </c>
      <c r="BS11">
        <f t="shared" ca="1" si="18"/>
        <v>0</v>
      </c>
      <c r="BT11" t="str">
        <f t="shared" ca="1" si="19"/>
        <v/>
      </c>
      <c r="BU11">
        <f t="shared" ca="1" si="20"/>
        <v>0</v>
      </c>
      <c r="BV11" t="str">
        <f t="shared" ca="1" si="21"/>
        <v/>
      </c>
      <c r="BW11">
        <f t="shared" ca="1" si="22"/>
        <v>0</v>
      </c>
      <c r="BX11" t="str">
        <f t="shared" ca="1" si="23"/>
        <v/>
      </c>
      <c r="BY11">
        <f t="shared" ca="1" si="24"/>
        <v>0</v>
      </c>
      <c r="BZ11" t="str">
        <f t="shared" ca="1" si="25"/>
        <v/>
      </c>
      <c r="CA11">
        <f t="shared" ca="1" si="26"/>
        <v>0</v>
      </c>
      <c r="CB11" t="str">
        <f t="shared" ca="1" si="27"/>
        <v/>
      </c>
      <c r="CC11">
        <f t="shared" ca="1" si="28"/>
        <v>0</v>
      </c>
    </row>
    <row r="12" spans="1:8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>
        <f t="shared" si="29"/>
        <v>2000</v>
      </c>
      <c r="G12" s="56"/>
      <c r="H12" s="56"/>
      <c r="I12" s="56"/>
      <c r="J12" s="56">
        <f t="shared" si="1"/>
        <v>2000</v>
      </c>
      <c r="K12" s="56"/>
      <c r="L12" s="56"/>
      <c r="M12" s="56"/>
      <c r="N12" s="56">
        <f t="shared" si="2"/>
        <v>2000</v>
      </c>
      <c r="O12" s="56"/>
      <c r="P12" s="56"/>
      <c r="Q12" s="56"/>
      <c r="R12" s="56">
        <f t="shared" si="30"/>
        <v>2000</v>
      </c>
      <c r="S12" s="56"/>
      <c r="T12" s="56"/>
      <c r="U12" s="56"/>
      <c r="V12" s="56">
        <f t="shared" si="31"/>
        <v>2000</v>
      </c>
      <c r="W12" s="56"/>
      <c r="X12" s="56"/>
      <c r="Y12" s="56"/>
      <c r="Z12" s="56">
        <f t="shared" si="32"/>
        <v>2000</v>
      </c>
      <c r="AA12" s="56"/>
      <c r="AB12" s="56"/>
      <c r="AC12" s="56"/>
      <c r="AD12" s="56">
        <f>$E12*1000</f>
        <v>2000</v>
      </c>
      <c r="AE12" s="56"/>
      <c r="AF12" s="56"/>
      <c r="AG12" s="56"/>
      <c r="AH12" s="56">
        <f>$E12*1000</f>
        <v>2000</v>
      </c>
      <c r="AI12" s="56"/>
      <c r="AJ12" s="56"/>
      <c r="AK12" s="56"/>
      <c r="AL12" s="56">
        <f t="shared" si="33"/>
        <v>2000</v>
      </c>
      <c r="AM12" s="56"/>
      <c r="AN12" s="56"/>
      <c r="AO12" s="56"/>
      <c r="AP12" s="56">
        <f t="shared" si="34"/>
        <v>2000</v>
      </c>
      <c r="AQ12" s="56"/>
      <c r="AR12" s="56"/>
      <c r="AS12" s="56"/>
      <c r="AT12" s="56">
        <f t="shared" si="35"/>
        <v>2000</v>
      </c>
      <c r="AU12" s="56"/>
      <c r="AV12" s="56"/>
      <c r="AW12" s="56"/>
      <c r="AX12" s="56">
        <f t="shared" si="36"/>
        <v>2000</v>
      </c>
      <c r="AY12" s="56"/>
      <c r="AZ12" s="56"/>
      <c r="BA12" s="56"/>
      <c r="BB12" s="56">
        <f t="shared" si="3"/>
        <v>24000</v>
      </c>
      <c r="BC12" s="56">
        <f t="shared" si="4"/>
        <v>0</v>
      </c>
      <c r="BE12">
        <f ca="1">'Monthly Collection-2023'!AY12</f>
        <v>0</v>
      </c>
      <c r="BF12" t="str">
        <f t="shared" ca="1" si="5"/>
        <v/>
      </c>
      <c r="BG12">
        <f t="shared" ca="1" si="6"/>
        <v>0</v>
      </c>
      <c r="BH12" t="str">
        <f t="shared" ca="1" si="7"/>
        <v/>
      </c>
      <c r="BI12">
        <f t="shared" ca="1" si="8"/>
        <v>0</v>
      </c>
      <c r="BJ12" t="str">
        <f t="shared" ca="1" si="9"/>
        <v/>
      </c>
      <c r="BK12">
        <f t="shared" ca="1" si="10"/>
        <v>0</v>
      </c>
      <c r="BL12" t="str">
        <f t="shared" ca="1" si="11"/>
        <v/>
      </c>
      <c r="BM12">
        <f t="shared" ca="1" si="12"/>
        <v>0</v>
      </c>
      <c r="BN12" t="str">
        <f t="shared" ca="1" si="13"/>
        <v/>
      </c>
      <c r="BO12">
        <f t="shared" ca="1" si="14"/>
        <v>0</v>
      </c>
      <c r="BP12" t="str">
        <f t="shared" ca="1" si="15"/>
        <v/>
      </c>
      <c r="BQ12">
        <f t="shared" ca="1" si="16"/>
        <v>0</v>
      </c>
      <c r="BR12" t="str">
        <f t="shared" ca="1" si="17"/>
        <v/>
      </c>
      <c r="BS12">
        <f t="shared" ca="1" si="18"/>
        <v>0</v>
      </c>
      <c r="BT12" t="str">
        <f t="shared" ca="1" si="19"/>
        <v/>
      </c>
      <c r="BU12">
        <f t="shared" ca="1" si="20"/>
        <v>0</v>
      </c>
      <c r="BV12" t="str">
        <f t="shared" ca="1" si="21"/>
        <v/>
      </c>
      <c r="BW12">
        <f t="shared" ca="1" si="22"/>
        <v>0</v>
      </c>
      <c r="BX12" t="str">
        <f t="shared" ca="1" si="23"/>
        <v/>
      </c>
      <c r="BY12">
        <f t="shared" ca="1" si="24"/>
        <v>0</v>
      </c>
      <c r="BZ12" t="str">
        <f t="shared" ca="1" si="25"/>
        <v/>
      </c>
      <c r="CA12">
        <f t="shared" ca="1" si="26"/>
        <v>0</v>
      </c>
      <c r="CB12" t="str">
        <f t="shared" ca="1" si="27"/>
        <v/>
      </c>
      <c r="CC12">
        <f t="shared" ca="1" si="28"/>
        <v>0</v>
      </c>
    </row>
    <row r="13" spans="1:8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>
        <f t="shared" si="29"/>
        <v>1000</v>
      </c>
      <c r="G13" s="52"/>
      <c r="H13" s="52"/>
      <c r="I13" s="52"/>
      <c r="J13" s="52">
        <f t="shared" si="1"/>
        <v>1000</v>
      </c>
      <c r="K13" s="52"/>
      <c r="L13" s="52"/>
      <c r="M13" s="52"/>
      <c r="N13" s="52">
        <f t="shared" si="2"/>
        <v>1000</v>
      </c>
      <c r="O13" s="52"/>
      <c r="P13" s="52"/>
      <c r="Q13" s="52"/>
      <c r="R13" s="52">
        <f t="shared" si="30"/>
        <v>1000</v>
      </c>
      <c r="S13" s="52"/>
      <c r="T13" s="52"/>
      <c r="U13" s="52"/>
      <c r="V13" s="52">
        <f t="shared" si="31"/>
        <v>1000</v>
      </c>
      <c r="W13" s="52"/>
      <c r="X13" s="52"/>
      <c r="Y13" s="52"/>
      <c r="Z13" s="52">
        <f t="shared" si="32"/>
        <v>1000</v>
      </c>
      <c r="AA13" s="52"/>
      <c r="AB13" s="52"/>
      <c r="AC13" s="52"/>
      <c r="AD13" s="52">
        <v>1000</v>
      </c>
      <c r="AE13" s="52"/>
      <c r="AF13" s="52"/>
      <c r="AG13" s="52"/>
      <c r="AH13" s="243"/>
      <c r="AI13" s="52"/>
      <c r="AJ13" s="52"/>
      <c r="AK13" s="52"/>
      <c r="AL13" s="52">
        <f t="shared" si="33"/>
        <v>1000</v>
      </c>
      <c r="AM13" s="52"/>
      <c r="AN13" s="52">
        <v>1000</v>
      </c>
      <c r="AO13" s="52">
        <v>50</v>
      </c>
      <c r="AP13" s="52">
        <f t="shared" si="34"/>
        <v>1000</v>
      </c>
      <c r="AQ13" s="52"/>
      <c r="AR13" s="52"/>
      <c r="AS13" s="52"/>
      <c r="AT13" s="52">
        <f t="shared" si="35"/>
        <v>1000</v>
      </c>
      <c r="AU13" s="52"/>
      <c r="AV13" s="52"/>
      <c r="AW13" s="52"/>
      <c r="AX13" s="52">
        <f t="shared" si="36"/>
        <v>1000</v>
      </c>
      <c r="AY13" s="52"/>
      <c r="AZ13" s="52"/>
      <c r="BA13" s="52"/>
      <c r="BB13" s="52">
        <f t="shared" si="3"/>
        <v>12000</v>
      </c>
      <c r="BC13" s="52">
        <f t="shared" si="4"/>
        <v>50</v>
      </c>
      <c r="BE13">
        <f ca="1">'Monthly Collection-2023'!AY13</f>
        <v>0</v>
      </c>
      <c r="BF13" t="str">
        <f t="shared" ca="1" si="5"/>
        <v/>
      </c>
      <c r="BG13">
        <f t="shared" ca="1" si="6"/>
        <v>0</v>
      </c>
      <c r="BH13" t="str">
        <f t="shared" ca="1" si="7"/>
        <v/>
      </c>
      <c r="BI13">
        <f t="shared" ca="1" si="8"/>
        <v>0</v>
      </c>
      <c r="BJ13" t="str">
        <f t="shared" ca="1" si="9"/>
        <v/>
      </c>
      <c r="BK13">
        <f t="shared" ca="1" si="10"/>
        <v>0</v>
      </c>
      <c r="BL13" t="str">
        <f t="shared" ca="1" si="11"/>
        <v/>
      </c>
      <c r="BM13">
        <f t="shared" ca="1" si="12"/>
        <v>0</v>
      </c>
      <c r="BN13" t="str">
        <f t="shared" ca="1" si="13"/>
        <v/>
      </c>
      <c r="BO13">
        <f t="shared" ca="1" si="14"/>
        <v>0</v>
      </c>
      <c r="BP13" t="str">
        <f t="shared" ca="1" si="15"/>
        <v/>
      </c>
      <c r="BQ13">
        <f t="shared" ca="1" si="16"/>
        <v>0</v>
      </c>
      <c r="BR13" t="str">
        <f t="shared" ca="1" si="17"/>
        <v/>
      </c>
      <c r="BS13">
        <f t="shared" ca="1" si="18"/>
        <v>0</v>
      </c>
      <c r="BT13" t="str">
        <f t="shared" ca="1" si="19"/>
        <v>R</v>
      </c>
      <c r="BU13">
        <f t="shared" ca="1" si="20"/>
        <v>0</v>
      </c>
      <c r="BV13" t="str">
        <f t="shared" ca="1" si="21"/>
        <v/>
      </c>
      <c r="BW13">
        <f t="shared" ca="1" si="22"/>
        <v>0</v>
      </c>
      <c r="BX13" t="str">
        <f t="shared" ca="1" si="23"/>
        <v/>
      </c>
      <c r="BY13">
        <f t="shared" ca="1" si="24"/>
        <v>0</v>
      </c>
      <c r="BZ13" t="str">
        <f t="shared" ca="1" si="25"/>
        <v/>
      </c>
      <c r="CA13">
        <f t="shared" ca="1" si="26"/>
        <v>0</v>
      </c>
      <c r="CB13" t="str">
        <f t="shared" ca="1" si="27"/>
        <v/>
      </c>
      <c r="CC13">
        <f t="shared" ca="1" si="28"/>
        <v>0</v>
      </c>
    </row>
    <row r="14" spans="1:8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>
        <f t="shared" si="29"/>
        <v>3000</v>
      </c>
      <c r="G14" s="56"/>
      <c r="H14" s="56"/>
      <c r="I14" s="56"/>
      <c r="J14" s="56">
        <f t="shared" si="1"/>
        <v>3000</v>
      </c>
      <c r="K14" s="56"/>
      <c r="L14" s="56"/>
      <c r="M14" s="56"/>
      <c r="N14" s="56">
        <f t="shared" si="2"/>
        <v>3000</v>
      </c>
      <c r="O14" s="56"/>
      <c r="P14" s="56"/>
      <c r="Q14" s="56"/>
      <c r="R14" s="56">
        <f t="shared" si="30"/>
        <v>3000</v>
      </c>
      <c r="S14" s="56"/>
      <c r="T14" s="56"/>
      <c r="U14" s="56"/>
      <c r="V14" s="56">
        <f t="shared" si="31"/>
        <v>3000</v>
      </c>
      <c r="W14" s="56"/>
      <c r="X14" s="56"/>
      <c r="Y14" s="56"/>
      <c r="Z14" s="56">
        <f t="shared" si="32"/>
        <v>3000</v>
      </c>
      <c r="AA14" s="56"/>
      <c r="AB14" s="56"/>
      <c r="AC14" s="56"/>
      <c r="AD14" s="56">
        <f t="shared" ref="AD14:AD25" si="37">$E14*1000</f>
        <v>3000</v>
      </c>
      <c r="AE14" s="56"/>
      <c r="AF14" s="56"/>
      <c r="AG14" s="56"/>
      <c r="AH14" s="56">
        <f t="shared" ref="AH14:AH25" si="38">$E14*1000</f>
        <v>3000</v>
      </c>
      <c r="AI14" s="56"/>
      <c r="AJ14" s="56"/>
      <c r="AK14" s="56"/>
      <c r="AL14" s="56">
        <f t="shared" si="33"/>
        <v>3000</v>
      </c>
      <c r="AM14" s="56"/>
      <c r="AN14" s="56"/>
      <c r="AO14" s="56"/>
      <c r="AP14" s="56">
        <f t="shared" si="34"/>
        <v>3000</v>
      </c>
      <c r="AQ14" s="56"/>
      <c r="AR14" s="56"/>
      <c r="AS14" s="56"/>
      <c r="AT14" s="56">
        <f t="shared" si="35"/>
        <v>3000</v>
      </c>
      <c r="AU14" s="56"/>
      <c r="AV14" s="56"/>
      <c r="AW14" s="56"/>
      <c r="AX14" s="56">
        <f t="shared" si="36"/>
        <v>3000</v>
      </c>
      <c r="AY14" s="56"/>
      <c r="AZ14" s="56"/>
      <c r="BA14" s="56"/>
      <c r="BB14" s="56">
        <f t="shared" si="3"/>
        <v>36000</v>
      </c>
      <c r="BC14" s="56">
        <f t="shared" si="4"/>
        <v>0</v>
      </c>
      <c r="BE14">
        <f ca="1">'Monthly Collection-2023'!AY14</f>
        <v>0</v>
      </c>
      <c r="BF14" t="str">
        <f t="shared" ca="1" si="5"/>
        <v/>
      </c>
      <c r="BG14">
        <f t="shared" ca="1" si="6"/>
        <v>0</v>
      </c>
      <c r="BH14" t="str">
        <f t="shared" ca="1" si="7"/>
        <v/>
      </c>
      <c r="BI14">
        <f t="shared" ca="1" si="8"/>
        <v>0</v>
      </c>
      <c r="BJ14" t="str">
        <f t="shared" ca="1" si="9"/>
        <v/>
      </c>
      <c r="BK14">
        <f t="shared" ca="1" si="10"/>
        <v>0</v>
      </c>
      <c r="BL14" t="str">
        <f t="shared" ca="1" si="11"/>
        <v/>
      </c>
      <c r="BM14">
        <f t="shared" ca="1" si="12"/>
        <v>0</v>
      </c>
      <c r="BN14" t="str">
        <f t="shared" ca="1" si="13"/>
        <v/>
      </c>
      <c r="BO14">
        <f t="shared" ca="1" si="14"/>
        <v>0</v>
      </c>
      <c r="BP14" t="str">
        <f t="shared" ca="1" si="15"/>
        <v/>
      </c>
      <c r="BQ14">
        <f t="shared" ca="1" si="16"/>
        <v>0</v>
      </c>
      <c r="BR14" t="str">
        <f t="shared" ca="1" si="17"/>
        <v/>
      </c>
      <c r="BS14">
        <f t="shared" ca="1" si="18"/>
        <v>0</v>
      </c>
      <c r="BT14" t="str">
        <f t="shared" ca="1" si="19"/>
        <v/>
      </c>
      <c r="BU14">
        <f t="shared" ca="1" si="20"/>
        <v>0</v>
      </c>
      <c r="BV14" t="str">
        <f t="shared" ca="1" si="21"/>
        <v/>
      </c>
      <c r="BW14">
        <f t="shared" ca="1" si="22"/>
        <v>0</v>
      </c>
      <c r="BX14" t="str">
        <f t="shared" ca="1" si="23"/>
        <v/>
      </c>
      <c r="BY14">
        <f t="shared" ca="1" si="24"/>
        <v>0</v>
      </c>
      <c r="BZ14" t="str">
        <f t="shared" ca="1" si="25"/>
        <v/>
      </c>
      <c r="CA14">
        <f t="shared" ca="1" si="26"/>
        <v>0</v>
      </c>
      <c r="CB14" t="str">
        <f t="shared" ca="1" si="27"/>
        <v/>
      </c>
      <c r="CC14">
        <f t="shared" ca="1" si="28"/>
        <v>0</v>
      </c>
    </row>
    <row r="15" spans="1:8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>
        <f t="shared" si="29"/>
        <v>1000</v>
      </c>
      <c r="G15" s="52"/>
      <c r="H15" s="52"/>
      <c r="I15" s="52"/>
      <c r="J15" s="52">
        <f t="shared" si="1"/>
        <v>1000</v>
      </c>
      <c r="K15" s="52"/>
      <c r="L15" s="52"/>
      <c r="M15" s="52"/>
      <c r="N15" s="52">
        <f t="shared" si="2"/>
        <v>1000</v>
      </c>
      <c r="O15" s="52"/>
      <c r="P15" s="52"/>
      <c r="Q15" s="52"/>
      <c r="R15" s="52">
        <f t="shared" si="30"/>
        <v>1000</v>
      </c>
      <c r="S15" s="52"/>
      <c r="T15" s="52"/>
      <c r="U15" s="52"/>
      <c r="V15" s="52">
        <f t="shared" si="31"/>
        <v>1000</v>
      </c>
      <c r="W15" s="52"/>
      <c r="X15" s="52"/>
      <c r="Y15" s="52"/>
      <c r="Z15" s="52">
        <f t="shared" si="32"/>
        <v>1000</v>
      </c>
      <c r="AA15" s="52"/>
      <c r="AB15" s="52"/>
      <c r="AC15" s="52"/>
      <c r="AD15" s="52">
        <f t="shared" si="37"/>
        <v>1000</v>
      </c>
      <c r="AE15" s="52"/>
      <c r="AF15" s="52"/>
      <c r="AG15" s="52"/>
      <c r="AH15" s="52">
        <f t="shared" si="38"/>
        <v>1000</v>
      </c>
      <c r="AI15" s="52"/>
      <c r="AJ15" s="52"/>
      <c r="AK15" s="52"/>
      <c r="AL15" s="52">
        <f t="shared" si="33"/>
        <v>1000</v>
      </c>
      <c r="AM15" s="52"/>
      <c r="AN15" s="52"/>
      <c r="AO15" s="52"/>
      <c r="AP15" s="52">
        <f t="shared" si="34"/>
        <v>1000</v>
      </c>
      <c r="AQ15" s="52"/>
      <c r="AR15" s="52"/>
      <c r="AS15" s="52"/>
      <c r="AT15" s="52">
        <f t="shared" si="35"/>
        <v>1000</v>
      </c>
      <c r="AU15" s="52"/>
      <c r="AV15" s="52"/>
      <c r="AW15" s="52"/>
      <c r="AX15" s="52">
        <f t="shared" si="36"/>
        <v>1000</v>
      </c>
      <c r="AY15" s="52"/>
      <c r="AZ15" s="52"/>
      <c r="BA15" s="52"/>
      <c r="BB15" s="52">
        <f t="shared" si="3"/>
        <v>12000</v>
      </c>
      <c r="BC15" s="52">
        <f t="shared" si="4"/>
        <v>0</v>
      </c>
      <c r="BE15">
        <f ca="1">'Monthly Collection-2023'!AY15</f>
        <v>0</v>
      </c>
      <c r="BF15" t="str">
        <f t="shared" ca="1" si="5"/>
        <v/>
      </c>
      <c r="BG15">
        <f t="shared" ca="1" si="6"/>
        <v>0</v>
      </c>
      <c r="BH15" t="str">
        <f t="shared" ca="1" si="7"/>
        <v/>
      </c>
      <c r="BI15">
        <f t="shared" ca="1" si="8"/>
        <v>0</v>
      </c>
      <c r="BJ15" t="str">
        <f t="shared" ca="1" si="9"/>
        <v/>
      </c>
      <c r="BK15">
        <f t="shared" ca="1" si="10"/>
        <v>0</v>
      </c>
      <c r="BL15" t="str">
        <f t="shared" ca="1" si="11"/>
        <v/>
      </c>
      <c r="BM15">
        <f t="shared" ca="1" si="12"/>
        <v>0</v>
      </c>
      <c r="BN15" t="str">
        <f t="shared" ca="1" si="13"/>
        <v/>
      </c>
      <c r="BO15">
        <f t="shared" ca="1" si="14"/>
        <v>0</v>
      </c>
      <c r="BP15" t="str">
        <f t="shared" ca="1" si="15"/>
        <v/>
      </c>
      <c r="BQ15">
        <f t="shared" ca="1" si="16"/>
        <v>0</v>
      </c>
      <c r="BR15" t="str">
        <f t="shared" ca="1" si="17"/>
        <v/>
      </c>
      <c r="BS15">
        <f t="shared" ca="1" si="18"/>
        <v>0</v>
      </c>
      <c r="BT15" t="str">
        <f t="shared" ca="1" si="19"/>
        <v/>
      </c>
      <c r="BU15">
        <f t="shared" ca="1" si="20"/>
        <v>0</v>
      </c>
      <c r="BV15" t="str">
        <f t="shared" ca="1" si="21"/>
        <v/>
      </c>
      <c r="BW15">
        <f t="shared" ca="1" si="22"/>
        <v>0</v>
      </c>
      <c r="BX15" t="str">
        <f t="shared" ca="1" si="23"/>
        <v/>
      </c>
      <c r="BY15">
        <f t="shared" ca="1" si="24"/>
        <v>0</v>
      </c>
      <c r="BZ15" t="str">
        <f t="shared" ca="1" si="25"/>
        <v/>
      </c>
      <c r="CA15">
        <f t="shared" ca="1" si="26"/>
        <v>0</v>
      </c>
      <c r="CB15" t="str">
        <f t="shared" ca="1" si="27"/>
        <v/>
      </c>
      <c r="CC15">
        <f t="shared" ca="1" si="28"/>
        <v>0</v>
      </c>
    </row>
    <row r="16" spans="1:8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>
        <f t="shared" si="29"/>
        <v>2000</v>
      </c>
      <c r="G16" s="56"/>
      <c r="H16" s="56"/>
      <c r="I16" s="56"/>
      <c r="J16" s="56">
        <f t="shared" si="1"/>
        <v>2000</v>
      </c>
      <c r="K16" s="56"/>
      <c r="L16" s="56"/>
      <c r="M16" s="56"/>
      <c r="N16" s="56">
        <f t="shared" si="2"/>
        <v>2000</v>
      </c>
      <c r="O16" s="56"/>
      <c r="P16" s="56"/>
      <c r="Q16" s="56"/>
      <c r="R16" s="56">
        <f t="shared" si="30"/>
        <v>2000</v>
      </c>
      <c r="S16" s="56"/>
      <c r="T16" s="56"/>
      <c r="U16" s="56"/>
      <c r="V16" s="56">
        <f t="shared" si="31"/>
        <v>2000</v>
      </c>
      <c r="W16" s="56"/>
      <c r="X16" s="56"/>
      <c r="Y16" s="56"/>
      <c r="Z16" s="56">
        <f t="shared" si="32"/>
        <v>2000</v>
      </c>
      <c r="AA16" s="56"/>
      <c r="AB16" s="56"/>
      <c r="AC16" s="56"/>
      <c r="AD16" s="56">
        <f t="shared" si="37"/>
        <v>2000</v>
      </c>
      <c r="AE16" s="56"/>
      <c r="AF16" s="56"/>
      <c r="AG16" s="56"/>
      <c r="AH16" s="56">
        <f t="shared" si="38"/>
        <v>2000</v>
      </c>
      <c r="AI16" s="56"/>
      <c r="AJ16" s="56"/>
      <c r="AK16" s="56"/>
      <c r="AL16" s="56">
        <f t="shared" si="33"/>
        <v>2000</v>
      </c>
      <c r="AM16" s="56"/>
      <c r="AN16" s="56"/>
      <c r="AO16" s="56"/>
      <c r="AP16" s="56">
        <f t="shared" si="34"/>
        <v>2000</v>
      </c>
      <c r="AQ16" s="56"/>
      <c r="AR16" s="56"/>
      <c r="AS16" s="56"/>
      <c r="AT16" s="56">
        <f t="shared" si="35"/>
        <v>2000</v>
      </c>
      <c r="AU16" s="56"/>
      <c r="AV16" s="56"/>
      <c r="AW16" s="56"/>
      <c r="AX16" s="56">
        <f t="shared" si="36"/>
        <v>2000</v>
      </c>
      <c r="AY16" s="56"/>
      <c r="AZ16" s="56"/>
      <c r="BA16" s="56"/>
      <c r="BB16" s="56">
        <f t="shared" si="3"/>
        <v>24000</v>
      </c>
      <c r="BC16" s="56">
        <f t="shared" si="4"/>
        <v>0</v>
      </c>
      <c r="BE16">
        <f ca="1">'Monthly Collection-2023'!AY16</f>
        <v>0</v>
      </c>
      <c r="BF16" t="str">
        <f t="shared" ca="1" si="5"/>
        <v/>
      </c>
      <c r="BG16">
        <f t="shared" ca="1" si="6"/>
        <v>0</v>
      </c>
      <c r="BH16" t="str">
        <f t="shared" ca="1" si="7"/>
        <v/>
      </c>
      <c r="BI16">
        <f t="shared" ca="1" si="8"/>
        <v>0</v>
      </c>
      <c r="BJ16" t="str">
        <f t="shared" ca="1" si="9"/>
        <v/>
      </c>
      <c r="BK16">
        <f t="shared" ca="1" si="10"/>
        <v>0</v>
      </c>
      <c r="BL16" t="str">
        <f t="shared" ca="1" si="11"/>
        <v/>
      </c>
      <c r="BM16">
        <f t="shared" ca="1" si="12"/>
        <v>0</v>
      </c>
      <c r="BN16" t="str">
        <f t="shared" ca="1" si="13"/>
        <v/>
      </c>
      <c r="BO16">
        <f t="shared" ca="1" si="14"/>
        <v>0</v>
      </c>
      <c r="BP16" t="str">
        <f t="shared" ca="1" si="15"/>
        <v/>
      </c>
      <c r="BQ16">
        <f t="shared" ca="1" si="16"/>
        <v>0</v>
      </c>
      <c r="BR16" t="str">
        <f t="shared" ca="1" si="17"/>
        <v/>
      </c>
      <c r="BS16">
        <f t="shared" ca="1" si="18"/>
        <v>0</v>
      </c>
      <c r="BT16" t="str">
        <f t="shared" ca="1" si="19"/>
        <v/>
      </c>
      <c r="BU16">
        <f t="shared" ca="1" si="20"/>
        <v>0</v>
      </c>
      <c r="BV16" t="str">
        <f t="shared" ca="1" si="21"/>
        <v/>
      </c>
      <c r="BW16">
        <f t="shared" ca="1" si="22"/>
        <v>0</v>
      </c>
      <c r="BX16" t="str">
        <f t="shared" ca="1" si="23"/>
        <v/>
      </c>
      <c r="BY16">
        <f t="shared" ca="1" si="24"/>
        <v>0</v>
      </c>
      <c r="BZ16" t="str">
        <f t="shared" ca="1" si="25"/>
        <v/>
      </c>
      <c r="CA16">
        <f t="shared" ca="1" si="26"/>
        <v>0</v>
      </c>
      <c r="CB16" t="str">
        <f t="shared" ca="1" si="27"/>
        <v/>
      </c>
      <c r="CC16">
        <f t="shared" ca="1" si="28"/>
        <v>0</v>
      </c>
    </row>
    <row r="17" spans="2:8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>
        <f t="shared" si="29"/>
        <v>3000</v>
      </c>
      <c r="G17" s="52"/>
      <c r="H17" s="52"/>
      <c r="I17" s="52"/>
      <c r="J17" s="52">
        <f t="shared" si="1"/>
        <v>3000</v>
      </c>
      <c r="K17" s="52"/>
      <c r="L17" s="52"/>
      <c r="M17" s="52"/>
      <c r="N17" s="52">
        <f t="shared" si="2"/>
        <v>3000</v>
      </c>
      <c r="O17" s="52"/>
      <c r="P17" s="52"/>
      <c r="Q17" s="52"/>
      <c r="R17" s="52">
        <f t="shared" si="30"/>
        <v>3000</v>
      </c>
      <c r="S17" s="52"/>
      <c r="T17" s="52"/>
      <c r="U17" s="52"/>
      <c r="V17" s="52">
        <f t="shared" si="31"/>
        <v>3000</v>
      </c>
      <c r="W17" s="52"/>
      <c r="X17" s="52"/>
      <c r="Y17" s="52"/>
      <c r="Z17" s="52">
        <f t="shared" si="32"/>
        <v>3000</v>
      </c>
      <c r="AA17" s="52"/>
      <c r="AB17" s="52"/>
      <c r="AC17" s="52"/>
      <c r="AD17" s="52">
        <f t="shared" si="37"/>
        <v>3000</v>
      </c>
      <c r="AE17" s="52"/>
      <c r="AF17" s="52"/>
      <c r="AG17" s="52"/>
      <c r="AH17" s="52">
        <f t="shared" si="38"/>
        <v>3000</v>
      </c>
      <c r="AI17" s="52"/>
      <c r="AJ17" s="52"/>
      <c r="AK17" s="52"/>
      <c r="AL17" s="52">
        <f t="shared" si="33"/>
        <v>3000</v>
      </c>
      <c r="AM17" s="52"/>
      <c r="AN17" s="52"/>
      <c r="AO17" s="52"/>
      <c r="AP17" s="52">
        <f t="shared" si="34"/>
        <v>3000</v>
      </c>
      <c r="AQ17" s="52"/>
      <c r="AR17" s="52"/>
      <c r="AS17" s="52"/>
      <c r="AT17" s="52">
        <f t="shared" si="35"/>
        <v>3000</v>
      </c>
      <c r="AU17" s="52"/>
      <c r="AV17" s="52"/>
      <c r="AW17" s="52"/>
      <c r="AX17" s="52">
        <f t="shared" si="36"/>
        <v>3000</v>
      </c>
      <c r="AY17" s="52"/>
      <c r="AZ17" s="52"/>
      <c r="BA17" s="52"/>
      <c r="BB17" s="52">
        <f t="shared" si="3"/>
        <v>36000</v>
      </c>
      <c r="BC17" s="52">
        <f t="shared" si="4"/>
        <v>0</v>
      </c>
      <c r="BE17">
        <f ca="1">'Monthly Collection-2023'!AY17</f>
        <v>0</v>
      </c>
      <c r="BF17" t="str">
        <f t="shared" ca="1" si="5"/>
        <v/>
      </c>
      <c r="BG17">
        <f t="shared" ca="1" si="6"/>
        <v>0</v>
      </c>
      <c r="BH17" t="str">
        <f t="shared" ca="1" si="7"/>
        <v/>
      </c>
      <c r="BI17">
        <f t="shared" ca="1" si="8"/>
        <v>0</v>
      </c>
      <c r="BJ17" t="str">
        <f t="shared" ca="1" si="9"/>
        <v/>
      </c>
      <c r="BK17">
        <f t="shared" ca="1" si="10"/>
        <v>0</v>
      </c>
      <c r="BL17" t="str">
        <f t="shared" ca="1" si="11"/>
        <v/>
      </c>
      <c r="BM17">
        <f t="shared" ca="1" si="12"/>
        <v>0</v>
      </c>
      <c r="BN17" t="str">
        <f t="shared" ca="1" si="13"/>
        <v/>
      </c>
      <c r="BO17">
        <f t="shared" ca="1" si="14"/>
        <v>0</v>
      </c>
      <c r="BP17" t="str">
        <f t="shared" ca="1" si="15"/>
        <v/>
      </c>
      <c r="BQ17">
        <f t="shared" ca="1" si="16"/>
        <v>0</v>
      </c>
      <c r="BR17" t="str">
        <f t="shared" ca="1" si="17"/>
        <v/>
      </c>
      <c r="BS17">
        <f t="shared" ca="1" si="18"/>
        <v>0</v>
      </c>
      <c r="BT17" t="str">
        <f t="shared" ca="1" si="19"/>
        <v/>
      </c>
      <c r="BU17">
        <f t="shared" ca="1" si="20"/>
        <v>0</v>
      </c>
      <c r="BV17" t="str">
        <f t="shared" ca="1" si="21"/>
        <v/>
      </c>
      <c r="BW17">
        <f t="shared" ca="1" si="22"/>
        <v>0</v>
      </c>
      <c r="BX17" t="str">
        <f t="shared" ca="1" si="23"/>
        <v/>
      </c>
      <c r="BY17">
        <f t="shared" ca="1" si="24"/>
        <v>0</v>
      </c>
      <c r="BZ17" t="str">
        <f t="shared" ca="1" si="25"/>
        <v/>
      </c>
      <c r="CA17">
        <f t="shared" ca="1" si="26"/>
        <v>0</v>
      </c>
      <c r="CB17" t="str">
        <f t="shared" ca="1" si="27"/>
        <v/>
      </c>
      <c r="CC17">
        <f t="shared" ca="1" si="28"/>
        <v>0</v>
      </c>
    </row>
    <row r="18" spans="2:8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>
        <f t="shared" si="29"/>
        <v>3000</v>
      </c>
      <c r="G18" s="56"/>
      <c r="H18" s="56"/>
      <c r="I18" s="56"/>
      <c r="J18" s="56">
        <f t="shared" si="1"/>
        <v>3000</v>
      </c>
      <c r="K18" s="56"/>
      <c r="L18" s="56"/>
      <c r="M18" s="56"/>
      <c r="N18" s="56">
        <f t="shared" si="2"/>
        <v>3000</v>
      </c>
      <c r="O18" s="56"/>
      <c r="P18" s="56"/>
      <c r="Q18" s="56"/>
      <c r="R18" s="56">
        <f t="shared" si="30"/>
        <v>3000</v>
      </c>
      <c r="S18" s="56"/>
      <c r="T18" s="56"/>
      <c r="U18" s="56"/>
      <c r="V18" s="56">
        <f t="shared" si="31"/>
        <v>3000</v>
      </c>
      <c r="W18" s="56"/>
      <c r="X18" s="56"/>
      <c r="Y18" s="56"/>
      <c r="Z18" s="56">
        <f t="shared" si="32"/>
        <v>3000</v>
      </c>
      <c r="AA18" s="56"/>
      <c r="AB18" s="56"/>
      <c r="AC18" s="56"/>
      <c r="AD18" s="56">
        <f t="shared" si="37"/>
        <v>3000</v>
      </c>
      <c r="AE18" s="56"/>
      <c r="AF18" s="56"/>
      <c r="AG18" s="56"/>
      <c r="AH18" s="56">
        <f t="shared" si="38"/>
        <v>3000</v>
      </c>
      <c r="AI18" s="56"/>
      <c r="AJ18" s="56"/>
      <c r="AK18" s="56"/>
      <c r="AL18" s="56">
        <f t="shared" si="33"/>
        <v>3000</v>
      </c>
      <c r="AM18" s="56"/>
      <c r="AN18" s="56"/>
      <c r="AO18" s="56"/>
      <c r="AP18" s="56">
        <f t="shared" si="34"/>
        <v>3000</v>
      </c>
      <c r="AQ18" s="56"/>
      <c r="AR18" s="56"/>
      <c r="AS18" s="56"/>
      <c r="AT18" s="56">
        <f t="shared" si="35"/>
        <v>3000</v>
      </c>
      <c r="AU18" s="56"/>
      <c r="AV18" s="56"/>
      <c r="AW18" s="56"/>
      <c r="AX18" s="56">
        <f t="shared" si="36"/>
        <v>3000</v>
      </c>
      <c r="AY18" s="56"/>
      <c r="AZ18" s="56"/>
      <c r="BA18" s="56"/>
      <c r="BB18" s="56">
        <f t="shared" si="3"/>
        <v>36000</v>
      </c>
      <c r="BC18" s="56">
        <f t="shared" si="4"/>
        <v>0</v>
      </c>
      <c r="BE18">
        <f ca="1">'Monthly Collection-2023'!AY18</f>
        <v>0</v>
      </c>
      <c r="BF18" t="str">
        <f t="shared" ca="1" si="5"/>
        <v/>
      </c>
      <c r="BG18">
        <f t="shared" ca="1" si="6"/>
        <v>0</v>
      </c>
      <c r="BH18" t="str">
        <f t="shared" ca="1" si="7"/>
        <v/>
      </c>
      <c r="BI18">
        <f t="shared" ca="1" si="8"/>
        <v>0</v>
      </c>
      <c r="BJ18" t="str">
        <f t="shared" ca="1" si="9"/>
        <v/>
      </c>
      <c r="BK18">
        <f t="shared" ca="1" si="10"/>
        <v>0</v>
      </c>
      <c r="BL18" t="str">
        <f t="shared" ca="1" si="11"/>
        <v/>
      </c>
      <c r="BM18">
        <f t="shared" ca="1" si="12"/>
        <v>0</v>
      </c>
      <c r="BN18" t="str">
        <f t="shared" ca="1" si="13"/>
        <v/>
      </c>
      <c r="BO18">
        <f t="shared" ca="1" si="14"/>
        <v>0</v>
      </c>
      <c r="BP18" t="str">
        <f t="shared" ca="1" si="15"/>
        <v/>
      </c>
      <c r="BQ18">
        <f t="shared" ca="1" si="16"/>
        <v>0</v>
      </c>
      <c r="BR18" t="str">
        <f t="shared" ca="1" si="17"/>
        <v/>
      </c>
      <c r="BS18">
        <f t="shared" ca="1" si="18"/>
        <v>0</v>
      </c>
      <c r="BT18" t="str">
        <f t="shared" ca="1" si="19"/>
        <v/>
      </c>
      <c r="BU18">
        <f t="shared" ca="1" si="20"/>
        <v>0</v>
      </c>
      <c r="BV18" t="str">
        <f t="shared" ca="1" si="21"/>
        <v/>
      </c>
      <c r="BW18">
        <f t="shared" ca="1" si="22"/>
        <v>0</v>
      </c>
      <c r="BX18" t="str">
        <f t="shared" ca="1" si="23"/>
        <v/>
      </c>
      <c r="BY18">
        <f t="shared" ca="1" si="24"/>
        <v>0</v>
      </c>
      <c r="BZ18" t="str">
        <f t="shared" ca="1" si="25"/>
        <v/>
      </c>
      <c r="CA18">
        <f t="shared" ca="1" si="26"/>
        <v>0</v>
      </c>
      <c r="CB18" t="str">
        <f t="shared" ca="1" si="27"/>
        <v/>
      </c>
      <c r="CC18">
        <f t="shared" ca="1" si="28"/>
        <v>0</v>
      </c>
    </row>
    <row r="19" spans="2:8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242"/>
      <c r="G19" s="52"/>
      <c r="H19" s="52"/>
      <c r="I19" s="52"/>
      <c r="J19" s="52">
        <f t="shared" si="1"/>
        <v>2000</v>
      </c>
      <c r="K19" s="52"/>
      <c r="L19" s="52"/>
      <c r="M19" s="52"/>
      <c r="N19" s="52">
        <f t="shared" si="2"/>
        <v>2000</v>
      </c>
      <c r="O19" s="52"/>
      <c r="P19" s="52"/>
      <c r="Q19" s="52"/>
      <c r="R19" s="52">
        <f t="shared" si="30"/>
        <v>2000</v>
      </c>
      <c r="S19" s="52"/>
      <c r="T19" s="52"/>
      <c r="U19" s="52"/>
      <c r="V19" s="52">
        <f t="shared" si="31"/>
        <v>2000</v>
      </c>
      <c r="W19" s="52"/>
      <c r="X19" s="52"/>
      <c r="Y19" s="52"/>
      <c r="Z19" s="52">
        <f t="shared" si="32"/>
        <v>2000</v>
      </c>
      <c r="AA19" s="52"/>
      <c r="AB19" s="52"/>
      <c r="AC19" s="52"/>
      <c r="AD19" s="52">
        <f t="shared" si="37"/>
        <v>2000</v>
      </c>
      <c r="AE19" s="52"/>
      <c r="AF19" s="52"/>
      <c r="AG19" s="52"/>
      <c r="AH19" s="52">
        <f t="shared" si="38"/>
        <v>2000</v>
      </c>
      <c r="AI19" s="52"/>
      <c r="AJ19" s="52"/>
      <c r="AK19" s="52"/>
      <c r="AL19" s="52">
        <f t="shared" si="33"/>
        <v>2000</v>
      </c>
      <c r="AM19" s="52"/>
      <c r="AN19" s="52"/>
      <c r="AO19" s="52"/>
      <c r="AP19" s="52">
        <f t="shared" si="34"/>
        <v>2000</v>
      </c>
      <c r="AQ19" s="52"/>
      <c r="AR19" s="52"/>
      <c r="AS19" s="52"/>
      <c r="AT19" s="52">
        <f t="shared" si="35"/>
        <v>2000</v>
      </c>
      <c r="AU19" s="52"/>
      <c r="AV19" s="52"/>
      <c r="AW19" s="52"/>
      <c r="AX19" s="243"/>
      <c r="AY19" s="52"/>
      <c r="AZ19" s="52"/>
      <c r="BA19" s="52"/>
      <c r="BB19" s="52">
        <f t="shared" si="3"/>
        <v>20000</v>
      </c>
      <c r="BC19" s="52">
        <f t="shared" si="4"/>
        <v>0</v>
      </c>
      <c r="BE19">
        <f ca="1">'Monthly Collection-2023'!AY19</f>
        <v>2000</v>
      </c>
      <c r="BF19" t="str">
        <f t="shared" ca="1" si="5"/>
        <v>G</v>
      </c>
      <c r="BG19">
        <f t="shared" ca="1" si="6"/>
        <v>0</v>
      </c>
      <c r="BH19" t="str">
        <f t="shared" ca="1" si="7"/>
        <v/>
      </c>
      <c r="BI19">
        <f t="shared" ca="1" si="8"/>
        <v>0</v>
      </c>
      <c r="BJ19" t="str">
        <f t="shared" ca="1" si="9"/>
        <v/>
      </c>
      <c r="BK19">
        <f t="shared" ca="1" si="10"/>
        <v>0</v>
      </c>
      <c r="BL19" t="str">
        <f t="shared" ca="1" si="11"/>
        <v/>
      </c>
      <c r="BM19">
        <f t="shared" ca="1" si="12"/>
        <v>0</v>
      </c>
      <c r="BN19" t="str">
        <f t="shared" ca="1" si="13"/>
        <v/>
      </c>
      <c r="BO19">
        <f t="shared" ca="1" si="14"/>
        <v>0</v>
      </c>
      <c r="BP19" t="str">
        <f t="shared" ca="1" si="15"/>
        <v/>
      </c>
      <c r="BQ19">
        <f t="shared" ca="1" si="16"/>
        <v>0</v>
      </c>
      <c r="BR19" t="str">
        <f t="shared" ca="1" si="17"/>
        <v/>
      </c>
      <c r="BS19">
        <f t="shared" ca="1" si="18"/>
        <v>0</v>
      </c>
      <c r="BT19" t="str">
        <f t="shared" ca="1" si="19"/>
        <v/>
      </c>
      <c r="BU19">
        <f t="shared" ca="1" si="20"/>
        <v>0</v>
      </c>
      <c r="BV19" t="str">
        <f t="shared" ca="1" si="21"/>
        <v/>
      </c>
      <c r="BW19">
        <f t="shared" ca="1" si="22"/>
        <v>0</v>
      </c>
      <c r="BX19" t="str">
        <f t="shared" ca="1" si="23"/>
        <v/>
      </c>
      <c r="BY19">
        <f t="shared" ca="1" si="24"/>
        <v>0</v>
      </c>
      <c r="BZ19" t="str">
        <f t="shared" ca="1" si="25"/>
        <v/>
      </c>
      <c r="CA19">
        <f t="shared" ca="1" si="26"/>
        <v>0</v>
      </c>
      <c r="CB19" t="str">
        <f t="shared" ca="1" si="27"/>
        <v>R</v>
      </c>
      <c r="CC19">
        <f t="shared" ca="1" si="28"/>
        <v>0</v>
      </c>
    </row>
    <row r="20" spans="2:8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>
        <f t="shared" ref="F20:F48" si="39">$E20*1000</f>
        <v>2000</v>
      </c>
      <c r="G20" s="56"/>
      <c r="H20" s="56"/>
      <c r="I20" s="56"/>
      <c r="J20" s="56">
        <f t="shared" si="1"/>
        <v>2000</v>
      </c>
      <c r="K20" s="56"/>
      <c r="L20" s="56"/>
      <c r="M20" s="56"/>
      <c r="N20" s="56">
        <f t="shared" si="2"/>
        <v>2000</v>
      </c>
      <c r="O20" s="56"/>
      <c r="P20" s="56"/>
      <c r="Q20" s="56"/>
      <c r="R20" s="56">
        <f t="shared" si="30"/>
        <v>2000</v>
      </c>
      <c r="S20" s="56"/>
      <c r="T20" s="56"/>
      <c r="U20" s="56"/>
      <c r="V20" s="56">
        <f t="shared" si="31"/>
        <v>2000</v>
      </c>
      <c r="W20" s="56"/>
      <c r="X20" s="56"/>
      <c r="Y20" s="56"/>
      <c r="Z20" s="56">
        <f t="shared" si="32"/>
        <v>2000</v>
      </c>
      <c r="AA20" s="56"/>
      <c r="AB20" s="56"/>
      <c r="AC20" s="56"/>
      <c r="AD20" s="56">
        <f t="shared" si="37"/>
        <v>2000</v>
      </c>
      <c r="AE20" s="56"/>
      <c r="AF20" s="56"/>
      <c r="AG20" s="56"/>
      <c r="AH20" s="56">
        <f t="shared" si="38"/>
        <v>2000</v>
      </c>
      <c r="AI20" s="56"/>
      <c r="AJ20" s="56"/>
      <c r="AK20" s="56"/>
      <c r="AL20" s="56">
        <f t="shared" si="33"/>
        <v>2000</v>
      </c>
      <c r="AM20" s="56"/>
      <c r="AN20" s="56"/>
      <c r="AO20" s="56"/>
      <c r="AP20" s="56">
        <f t="shared" si="34"/>
        <v>2000</v>
      </c>
      <c r="AQ20" s="56"/>
      <c r="AR20" s="56"/>
      <c r="AS20" s="56"/>
      <c r="AT20" s="56">
        <f t="shared" si="35"/>
        <v>2000</v>
      </c>
      <c r="AU20" s="56"/>
      <c r="AV20" s="56"/>
      <c r="AW20" s="56"/>
      <c r="AX20" s="56">
        <f t="shared" ref="AX20:AX25" si="40">$E20*1000</f>
        <v>2000</v>
      </c>
      <c r="AY20" s="56"/>
      <c r="AZ20" s="56"/>
      <c r="BA20" s="56"/>
      <c r="BB20" s="56">
        <f t="shared" si="3"/>
        <v>24000</v>
      </c>
      <c r="BC20" s="56">
        <f t="shared" si="4"/>
        <v>0</v>
      </c>
      <c r="BE20">
        <f ca="1">'Monthly Collection-2023'!AY20</f>
        <v>0</v>
      </c>
      <c r="BF20" t="str">
        <f t="shared" ca="1" si="5"/>
        <v/>
      </c>
      <c r="BG20">
        <f t="shared" ca="1" si="6"/>
        <v>0</v>
      </c>
      <c r="BH20" t="str">
        <f t="shared" ca="1" si="7"/>
        <v/>
      </c>
      <c r="BI20">
        <f t="shared" ca="1" si="8"/>
        <v>0</v>
      </c>
      <c r="BJ20" t="str">
        <f t="shared" ca="1" si="9"/>
        <v/>
      </c>
      <c r="BK20">
        <f t="shared" ca="1" si="10"/>
        <v>0</v>
      </c>
      <c r="BL20" t="str">
        <f t="shared" ca="1" si="11"/>
        <v/>
      </c>
      <c r="BM20">
        <f t="shared" ca="1" si="12"/>
        <v>0</v>
      </c>
      <c r="BN20" t="str">
        <f t="shared" ca="1" si="13"/>
        <v/>
      </c>
      <c r="BO20">
        <f t="shared" ca="1" si="14"/>
        <v>0</v>
      </c>
      <c r="BP20" t="str">
        <f t="shared" ca="1" si="15"/>
        <v/>
      </c>
      <c r="BQ20">
        <f t="shared" ca="1" si="16"/>
        <v>0</v>
      </c>
      <c r="BR20" t="str">
        <f t="shared" ca="1" si="17"/>
        <v/>
      </c>
      <c r="BS20">
        <f t="shared" ca="1" si="18"/>
        <v>0</v>
      </c>
      <c r="BT20" t="str">
        <f t="shared" ca="1" si="19"/>
        <v/>
      </c>
      <c r="BU20">
        <f t="shared" ca="1" si="20"/>
        <v>0</v>
      </c>
      <c r="BV20" t="str">
        <f t="shared" ca="1" si="21"/>
        <v/>
      </c>
      <c r="BW20">
        <f t="shared" ca="1" si="22"/>
        <v>0</v>
      </c>
      <c r="BX20" t="str">
        <f t="shared" ca="1" si="23"/>
        <v/>
      </c>
      <c r="BY20">
        <f t="shared" ca="1" si="24"/>
        <v>0</v>
      </c>
      <c r="BZ20" t="str">
        <f t="shared" ca="1" si="25"/>
        <v/>
      </c>
      <c r="CA20">
        <f t="shared" ca="1" si="26"/>
        <v>0</v>
      </c>
      <c r="CB20" t="str">
        <f t="shared" ca="1" si="27"/>
        <v/>
      </c>
      <c r="CC20">
        <f t="shared" ca="1" si="28"/>
        <v>0</v>
      </c>
    </row>
    <row r="21" spans="2:8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>
        <f t="shared" si="39"/>
        <v>2000</v>
      </c>
      <c r="G21" s="52"/>
      <c r="H21" s="52"/>
      <c r="I21" s="52"/>
      <c r="J21" s="52">
        <f t="shared" si="1"/>
        <v>2000</v>
      </c>
      <c r="K21" s="52"/>
      <c r="L21" s="52"/>
      <c r="M21" s="52"/>
      <c r="N21" s="52">
        <f t="shared" si="2"/>
        <v>2000</v>
      </c>
      <c r="O21" s="52"/>
      <c r="P21" s="52"/>
      <c r="Q21" s="52"/>
      <c r="R21" s="52">
        <f t="shared" si="30"/>
        <v>2000</v>
      </c>
      <c r="S21" s="52"/>
      <c r="T21" s="52"/>
      <c r="U21" s="52"/>
      <c r="V21" s="52">
        <f t="shared" si="31"/>
        <v>2000</v>
      </c>
      <c r="W21" s="52"/>
      <c r="X21" s="52"/>
      <c r="Y21" s="52">
        <v>100</v>
      </c>
      <c r="Z21" s="52">
        <f t="shared" si="32"/>
        <v>2000</v>
      </c>
      <c r="AA21" s="52"/>
      <c r="AB21" s="52"/>
      <c r="AC21" s="52"/>
      <c r="AD21" s="52">
        <f t="shared" si="37"/>
        <v>2000</v>
      </c>
      <c r="AE21" s="52"/>
      <c r="AF21" s="52"/>
      <c r="AG21" s="52"/>
      <c r="AH21" s="52">
        <f t="shared" si="38"/>
        <v>2000</v>
      </c>
      <c r="AI21" s="52"/>
      <c r="AJ21" s="52"/>
      <c r="AK21" s="52"/>
      <c r="AL21" s="52">
        <f t="shared" si="33"/>
        <v>2000</v>
      </c>
      <c r="AM21" s="52"/>
      <c r="AN21" s="52"/>
      <c r="AO21" s="52"/>
      <c r="AP21" s="52">
        <f t="shared" si="34"/>
        <v>2000</v>
      </c>
      <c r="AQ21" s="52"/>
      <c r="AR21" s="52"/>
      <c r="AS21" s="52"/>
      <c r="AT21" s="52">
        <f t="shared" si="35"/>
        <v>2000</v>
      </c>
      <c r="AU21" s="52"/>
      <c r="AV21" s="52"/>
      <c r="AW21" s="52"/>
      <c r="AX21" s="52">
        <f t="shared" si="40"/>
        <v>2000</v>
      </c>
      <c r="AY21" s="52"/>
      <c r="AZ21" s="52"/>
      <c r="BA21" s="52"/>
      <c r="BB21" s="52">
        <f t="shared" si="3"/>
        <v>24000</v>
      </c>
      <c r="BC21" s="52">
        <f t="shared" si="4"/>
        <v>100</v>
      </c>
      <c r="BE21">
        <f ca="1">'Monthly Collection-2023'!AY21</f>
        <v>0</v>
      </c>
      <c r="BF21" t="str">
        <f t="shared" ca="1" si="5"/>
        <v/>
      </c>
      <c r="BG21">
        <f t="shared" ca="1" si="6"/>
        <v>0</v>
      </c>
      <c r="BH21" t="str">
        <f t="shared" ca="1" si="7"/>
        <v/>
      </c>
      <c r="BI21">
        <f t="shared" ca="1" si="8"/>
        <v>0</v>
      </c>
      <c r="BJ21" t="str">
        <f t="shared" ca="1" si="9"/>
        <v/>
      </c>
      <c r="BK21">
        <f t="shared" ca="1" si="10"/>
        <v>0</v>
      </c>
      <c r="BL21" t="str">
        <f t="shared" ca="1" si="11"/>
        <v/>
      </c>
      <c r="BM21">
        <f t="shared" ca="1" si="12"/>
        <v>0</v>
      </c>
      <c r="BN21" t="str">
        <f t="shared" ca="1" si="13"/>
        <v/>
      </c>
      <c r="BO21">
        <f t="shared" ca="1" si="14"/>
        <v>0</v>
      </c>
      <c r="BP21" t="str">
        <f t="shared" ca="1" si="15"/>
        <v/>
      </c>
      <c r="BQ21">
        <f t="shared" ca="1" si="16"/>
        <v>0</v>
      </c>
      <c r="BR21" t="str">
        <f t="shared" ca="1" si="17"/>
        <v/>
      </c>
      <c r="BS21">
        <f t="shared" ca="1" si="18"/>
        <v>0</v>
      </c>
      <c r="BT21" t="str">
        <f t="shared" ca="1" si="19"/>
        <v/>
      </c>
      <c r="BU21">
        <f t="shared" ca="1" si="20"/>
        <v>0</v>
      </c>
      <c r="BV21" t="str">
        <f t="shared" ca="1" si="21"/>
        <v/>
      </c>
      <c r="BW21">
        <f t="shared" ca="1" si="22"/>
        <v>0</v>
      </c>
      <c r="BX21" t="str">
        <f t="shared" ca="1" si="23"/>
        <v/>
      </c>
      <c r="BY21">
        <f t="shared" ca="1" si="24"/>
        <v>0</v>
      </c>
      <c r="BZ21" t="str">
        <f t="shared" ca="1" si="25"/>
        <v/>
      </c>
      <c r="CA21">
        <f t="shared" ca="1" si="26"/>
        <v>0</v>
      </c>
      <c r="CB21" t="str">
        <f t="shared" ca="1" si="27"/>
        <v/>
      </c>
      <c r="CC21">
        <f t="shared" ca="1" si="28"/>
        <v>0</v>
      </c>
    </row>
    <row r="22" spans="2:8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>
        <f t="shared" si="39"/>
        <v>1000</v>
      </c>
      <c r="G22" s="56"/>
      <c r="H22" s="56"/>
      <c r="I22" s="56"/>
      <c r="J22" s="56">
        <f t="shared" si="1"/>
        <v>1000</v>
      </c>
      <c r="K22" s="56"/>
      <c r="L22" s="56"/>
      <c r="M22" s="56"/>
      <c r="N22" s="56">
        <f t="shared" si="2"/>
        <v>1000</v>
      </c>
      <c r="O22" s="56"/>
      <c r="P22" s="56"/>
      <c r="Q22" s="56"/>
      <c r="R22" s="56">
        <f t="shared" si="30"/>
        <v>1000</v>
      </c>
      <c r="S22" s="56"/>
      <c r="T22" s="56"/>
      <c r="U22" s="56"/>
      <c r="V22" s="56">
        <f t="shared" si="31"/>
        <v>1000</v>
      </c>
      <c r="W22" s="56"/>
      <c r="X22" s="56"/>
      <c r="Y22" s="56"/>
      <c r="Z22" s="56">
        <f t="shared" si="32"/>
        <v>1000</v>
      </c>
      <c r="AA22" s="56"/>
      <c r="AB22" s="56"/>
      <c r="AC22" s="56"/>
      <c r="AD22" s="56">
        <f t="shared" si="37"/>
        <v>1000</v>
      </c>
      <c r="AE22" s="56"/>
      <c r="AF22" s="56"/>
      <c r="AG22" s="56"/>
      <c r="AH22" s="56">
        <f t="shared" si="38"/>
        <v>1000</v>
      </c>
      <c r="AI22" s="56"/>
      <c r="AJ22" s="56"/>
      <c r="AK22" s="56"/>
      <c r="AL22" s="56">
        <f t="shared" si="33"/>
        <v>1000</v>
      </c>
      <c r="AM22" s="56"/>
      <c r="AN22" s="56"/>
      <c r="AO22" s="56"/>
      <c r="AP22" s="56">
        <f t="shared" si="34"/>
        <v>1000</v>
      </c>
      <c r="AQ22" s="56"/>
      <c r="AR22" s="56"/>
      <c r="AS22" s="56"/>
      <c r="AT22" s="56">
        <f t="shared" si="35"/>
        <v>1000</v>
      </c>
      <c r="AU22" s="56"/>
      <c r="AV22" s="56"/>
      <c r="AW22" s="56"/>
      <c r="AX22" s="56">
        <f t="shared" si="40"/>
        <v>1000</v>
      </c>
      <c r="AY22" s="56"/>
      <c r="AZ22" s="56"/>
      <c r="BA22" s="56"/>
      <c r="BB22" s="56">
        <f t="shared" si="3"/>
        <v>12000</v>
      </c>
      <c r="BC22" s="56">
        <f t="shared" si="4"/>
        <v>0</v>
      </c>
      <c r="BE22">
        <f ca="1">'Monthly Collection-2023'!AY22</f>
        <v>0</v>
      </c>
      <c r="BF22" t="str">
        <f t="shared" ca="1" si="5"/>
        <v/>
      </c>
      <c r="BG22">
        <f t="shared" ca="1" si="6"/>
        <v>0</v>
      </c>
      <c r="BH22" t="str">
        <f t="shared" ca="1" si="7"/>
        <v/>
      </c>
      <c r="BI22">
        <f t="shared" ca="1" si="8"/>
        <v>0</v>
      </c>
      <c r="BJ22" t="str">
        <f t="shared" ca="1" si="9"/>
        <v/>
      </c>
      <c r="BK22">
        <f t="shared" ca="1" si="10"/>
        <v>0</v>
      </c>
      <c r="BL22" t="str">
        <f t="shared" ca="1" si="11"/>
        <v/>
      </c>
      <c r="BM22">
        <f t="shared" ca="1" si="12"/>
        <v>0</v>
      </c>
      <c r="BN22" t="str">
        <f t="shared" ca="1" si="13"/>
        <v/>
      </c>
      <c r="BO22">
        <f t="shared" ca="1" si="14"/>
        <v>0</v>
      </c>
      <c r="BP22" t="str">
        <f t="shared" ca="1" si="15"/>
        <v/>
      </c>
      <c r="BQ22">
        <f t="shared" ca="1" si="16"/>
        <v>0</v>
      </c>
      <c r="BR22" t="str">
        <f t="shared" ca="1" si="17"/>
        <v/>
      </c>
      <c r="BS22">
        <f t="shared" ca="1" si="18"/>
        <v>0</v>
      </c>
      <c r="BT22" t="str">
        <f t="shared" ca="1" si="19"/>
        <v/>
      </c>
      <c r="BU22">
        <f t="shared" ca="1" si="20"/>
        <v>0</v>
      </c>
      <c r="BV22" t="str">
        <f t="shared" ca="1" si="21"/>
        <v/>
      </c>
      <c r="BW22">
        <f t="shared" ca="1" si="22"/>
        <v>0</v>
      </c>
      <c r="BX22" t="str">
        <f t="shared" ca="1" si="23"/>
        <v/>
      </c>
      <c r="BY22">
        <f t="shared" ca="1" si="24"/>
        <v>0</v>
      </c>
      <c r="BZ22" t="str">
        <f t="shared" ca="1" si="25"/>
        <v/>
      </c>
      <c r="CA22">
        <f t="shared" ca="1" si="26"/>
        <v>0</v>
      </c>
      <c r="CB22" t="str">
        <f t="shared" ca="1" si="27"/>
        <v/>
      </c>
      <c r="CC22">
        <f t="shared" ca="1" si="28"/>
        <v>0</v>
      </c>
    </row>
    <row r="23" spans="2:8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>
        <f t="shared" si="39"/>
        <v>2000</v>
      </c>
      <c r="G23" s="52"/>
      <c r="H23" s="52"/>
      <c r="I23" s="52"/>
      <c r="J23" s="52">
        <f t="shared" si="1"/>
        <v>2000</v>
      </c>
      <c r="K23" s="52"/>
      <c r="L23" s="52"/>
      <c r="M23" s="52"/>
      <c r="N23" s="52">
        <f t="shared" si="2"/>
        <v>2000</v>
      </c>
      <c r="O23" s="52"/>
      <c r="P23" s="52"/>
      <c r="Q23" s="52"/>
      <c r="R23" s="52">
        <f t="shared" si="30"/>
        <v>2000</v>
      </c>
      <c r="S23" s="52"/>
      <c r="T23" s="52"/>
      <c r="U23" s="52"/>
      <c r="V23" s="52">
        <f t="shared" si="31"/>
        <v>2000</v>
      </c>
      <c r="W23" s="52"/>
      <c r="X23" s="52"/>
      <c r="Y23" s="52"/>
      <c r="Z23" s="52">
        <f t="shared" si="32"/>
        <v>2000</v>
      </c>
      <c r="AA23" s="52"/>
      <c r="AB23" s="52"/>
      <c r="AC23" s="52"/>
      <c r="AD23" s="52">
        <f t="shared" si="37"/>
        <v>2000</v>
      </c>
      <c r="AE23" s="52"/>
      <c r="AF23" s="52"/>
      <c r="AG23" s="52"/>
      <c r="AH23" s="52">
        <f t="shared" si="38"/>
        <v>2000</v>
      </c>
      <c r="AI23" s="52"/>
      <c r="AJ23" s="52"/>
      <c r="AK23" s="52"/>
      <c r="AL23" s="52">
        <f t="shared" si="33"/>
        <v>2000</v>
      </c>
      <c r="AM23" s="52"/>
      <c r="AN23" s="52"/>
      <c r="AO23" s="52"/>
      <c r="AP23" s="52">
        <f t="shared" si="34"/>
        <v>2000</v>
      </c>
      <c r="AQ23" s="52"/>
      <c r="AR23" s="52"/>
      <c r="AS23" s="52"/>
      <c r="AT23" s="52">
        <f t="shared" si="35"/>
        <v>2000</v>
      </c>
      <c r="AU23" s="52"/>
      <c r="AV23" s="52"/>
      <c r="AW23" s="52"/>
      <c r="AX23" s="52">
        <f t="shared" si="40"/>
        <v>2000</v>
      </c>
      <c r="AY23" s="52"/>
      <c r="AZ23" s="52"/>
      <c r="BA23" s="52"/>
      <c r="BB23" s="52">
        <f t="shared" si="3"/>
        <v>24000</v>
      </c>
      <c r="BC23" s="52">
        <f t="shared" si="4"/>
        <v>0</v>
      </c>
      <c r="BE23">
        <f ca="1">'Monthly Collection-2023'!AY23</f>
        <v>0</v>
      </c>
      <c r="BF23" t="str">
        <f t="shared" ca="1" si="5"/>
        <v/>
      </c>
      <c r="BG23">
        <f t="shared" ca="1" si="6"/>
        <v>0</v>
      </c>
      <c r="BH23" t="str">
        <f t="shared" ca="1" si="7"/>
        <v/>
      </c>
      <c r="BI23">
        <f t="shared" ca="1" si="8"/>
        <v>0</v>
      </c>
      <c r="BJ23" t="str">
        <f t="shared" ca="1" si="9"/>
        <v/>
      </c>
      <c r="BK23">
        <f t="shared" ca="1" si="10"/>
        <v>0</v>
      </c>
      <c r="BL23" t="str">
        <f t="shared" ca="1" si="11"/>
        <v/>
      </c>
      <c r="BM23">
        <f t="shared" ca="1" si="12"/>
        <v>0</v>
      </c>
      <c r="BN23" t="str">
        <f t="shared" ca="1" si="13"/>
        <v/>
      </c>
      <c r="BO23">
        <f t="shared" ca="1" si="14"/>
        <v>0</v>
      </c>
      <c r="BP23" t="str">
        <f t="shared" ca="1" si="15"/>
        <v/>
      </c>
      <c r="BQ23">
        <f t="shared" ca="1" si="16"/>
        <v>0</v>
      </c>
      <c r="BR23" t="str">
        <f t="shared" ca="1" si="17"/>
        <v/>
      </c>
      <c r="BS23">
        <f t="shared" ca="1" si="18"/>
        <v>0</v>
      </c>
      <c r="BT23" t="str">
        <f t="shared" ca="1" si="19"/>
        <v/>
      </c>
      <c r="BU23">
        <f t="shared" ca="1" si="20"/>
        <v>0</v>
      </c>
      <c r="BV23" t="str">
        <f t="shared" ca="1" si="21"/>
        <v/>
      </c>
      <c r="BW23">
        <f t="shared" ca="1" si="22"/>
        <v>0</v>
      </c>
      <c r="BX23" t="str">
        <f t="shared" ca="1" si="23"/>
        <v/>
      </c>
      <c r="BY23">
        <f t="shared" ca="1" si="24"/>
        <v>0</v>
      </c>
      <c r="BZ23" t="str">
        <f t="shared" ca="1" si="25"/>
        <v/>
      </c>
      <c r="CA23">
        <f t="shared" ca="1" si="26"/>
        <v>0</v>
      </c>
      <c r="CB23" t="str">
        <f t="shared" ca="1" si="27"/>
        <v/>
      </c>
      <c r="CC23">
        <f t="shared" ca="1" si="28"/>
        <v>0</v>
      </c>
    </row>
    <row r="24" spans="2:8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56">
        <f t="shared" si="39"/>
        <v>1000</v>
      </c>
      <c r="G24" s="56"/>
      <c r="H24" s="56"/>
      <c r="I24" s="56"/>
      <c r="J24" s="56">
        <f t="shared" si="1"/>
        <v>1000</v>
      </c>
      <c r="K24" s="56"/>
      <c r="L24" s="56"/>
      <c r="M24" s="56"/>
      <c r="N24" s="56">
        <f t="shared" si="2"/>
        <v>1000</v>
      </c>
      <c r="O24" s="56"/>
      <c r="P24" s="56"/>
      <c r="Q24" s="56"/>
      <c r="R24" s="56">
        <f t="shared" si="30"/>
        <v>1000</v>
      </c>
      <c r="S24" s="56"/>
      <c r="T24" s="56"/>
      <c r="U24" s="56"/>
      <c r="V24" s="56">
        <f t="shared" si="31"/>
        <v>1000</v>
      </c>
      <c r="W24" s="56"/>
      <c r="X24" s="56"/>
      <c r="Y24" s="56"/>
      <c r="Z24" s="56">
        <f t="shared" si="32"/>
        <v>1000</v>
      </c>
      <c r="AA24" s="56"/>
      <c r="AB24" s="56"/>
      <c r="AC24" s="56"/>
      <c r="AD24" s="56">
        <f t="shared" si="37"/>
        <v>1000</v>
      </c>
      <c r="AE24" s="56"/>
      <c r="AF24" s="56"/>
      <c r="AG24" s="56"/>
      <c r="AH24" s="56">
        <f t="shared" si="38"/>
        <v>1000</v>
      </c>
      <c r="AI24" s="56"/>
      <c r="AJ24" s="56"/>
      <c r="AK24" s="56"/>
      <c r="AL24" s="56">
        <f t="shared" si="33"/>
        <v>1000</v>
      </c>
      <c r="AM24" s="56"/>
      <c r="AN24" s="56"/>
      <c r="AO24" s="56"/>
      <c r="AP24" s="56">
        <f t="shared" si="34"/>
        <v>1000</v>
      </c>
      <c r="AQ24" s="56"/>
      <c r="AR24" s="56"/>
      <c r="AS24" s="56"/>
      <c r="AT24" s="56">
        <f t="shared" si="35"/>
        <v>1000</v>
      </c>
      <c r="AU24" s="56"/>
      <c r="AV24" s="56"/>
      <c r="AW24" s="56"/>
      <c r="AX24" s="56">
        <f t="shared" si="40"/>
        <v>1000</v>
      </c>
      <c r="AY24" s="56"/>
      <c r="AZ24" s="56"/>
      <c r="BA24" s="56"/>
      <c r="BB24" s="56">
        <f t="shared" si="3"/>
        <v>12000</v>
      </c>
      <c r="BC24" s="56">
        <f t="shared" si="4"/>
        <v>0</v>
      </c>
      <c r="BE24">
        <f ca="1">'Monthly Collection-2023'!AY24</f>
        <v>0</v>
      </c>
      <c r="BF24" t="str">
        <f t="shared" ca="1" si="5"/>
        <v/>
      </c>
      <c r="BG24">
        <f t="shared" ca="1" si="6"/>
        <v>0</v>
      </c>
      <c r="BH24" t="str">
        <f t="shared" ca="1" si="7"/>
        <v/>
      </c>
      <c r="BI24">
        <f t="shared" ca="1" si="8"/>
        <v>0</v>
      </c>
      <c r="BJ24" t="str">
        <f t="shared" ca="1" si="9"/>
        <v/>
      </c>
      <c r="BK24">
        <f t="shared" ca="1" si="10"/>
        <v>0</v>
      </c>
      <c r="BL24" t="str">
        <f t="shared" ca="1" si="11"/>
        <v/>
      </c>
      <c r="BM24">
        <f t="shared" ca="1" si="12"/>
        <v>0</v>
      </c>
      <c r="BN24" t="str">
        <f t="shared" ca="1" si="13"/>
        <v/>
      </c>
      <c r="BO24">
        <f t="shared" ca="1" si="14"/>
        <v>0</v>
      </c>
      <c r="BP24" t="str">
        <f t="shared" ca="1" si="15"/>
        <v/>
      </c>
      <c r="BQ24">
        <f t="shared" ca="1" si="16"/>
        <v>0</v>
      </c>
      <c r="BR24" t="str">
        <f t="shared" ca="1" si="17"/>
        <v/>
      </c>
      <c r="BS24">
        <f t="shared" ca="1" si="18"/>
        <v>0</v>
      </c>
      <c r="BT24" t="str">
        <f t="shared" ca="1" si="19"/>
        <v/>
      </c>
      <c r="BU24">
        <f t="shared" ca="1" si="20"/>
        <v>0</v>
      </c>
      <c r="BV24" t="str">
        <f t="shared" ca="1" si="21"/>
        <v/>
      </c>
      <c r="BW24">
        <f t="shared" ca="1" si="22"/>
        <v>0</v>
      </c>
      <c r="BX24" t="str">
        <f t="shared" ca="1" si="23"/>
        <v/>
      </c>
      <c r="BY24">
        <f t="shared" ca="1" si="24"/>
        <v>0</v>
      </c>
      <c r="BZ24" t="str">
        <f t="shared" ca="1" si="25"/>
        <v/>
      </c>
      <c r="CA24">
        <f t="shared" ca="1" si="26"/>
        <v>0</v>
      </c>
      <c r="CB24" t="str">
        <f t="shared" ca="1" si="27"/>
        <v/>
      </c>
      <c r="CC24">
        <f t="shared" ca="1" si="28"/>
        <v>0</v>
      </c>
    </row>
    <row r="25" spans="2:8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>
        <f t="shared" si="39"/>
        <v>1000</v>
      </c>
      <c r="G25" s="52"/>
      <c r="H25" s="52"/>
      <c r="I25" s="52"/>
      <c r="J25" s="52">
        <f t="shared" si="1"/>
        <v>1000</v>
      </c>
      <c r="K25" s="52"/>
      <c r="L25" s="52"/>
      <c r="M25" s="52"/>
      <c r="N25" s="52">
        <f t="shared" si="2"/>
        <v>1000</v>
      </c>
      <c r="O25" s="52"/>
      <c r="P25" s="52"/>
      <c r="Q25" s="52"/>
      <c r="R25" s="52">
        <f t="shared" si="30"/>
        <v>1000</v>
      </c>
      <c r="S25" s="52"/>
      <c r="T25" s="52"/>
      <c r="U25" s="52"/>
      <c r="V25" s="52">
        <f t="shared" si="31"/>
        <v>1000</v>
      </c>
      <c r="W25" s="52"/>
      <c r="X25" s="52"/>
      <c r="Y25" s="52"/>
      <c r="Z25" s="52">
        <f t="shared" si="32"/>
        <v>1000</v>
      </c>
      <c r="AA25" s="52"/>
      <c r="AB25" s="52"/>
      <c r="AC25" s="52"/>
      <c r="AD25" s="52">
        <f t="shared" si="37"/>
        <v>1000</v>
      </c>
      <c r="AE25" s="52"/>
      <c r="AF25" s="52"/>
      <c r="AG25" s="52"/>
      <c r="AH25" s="52">
        <f t="shared" si="38"/>
        <v>1000</v>
      </c>
      <c r="AI25" s="52"/>
      <c r="AJ25" s="52"/>
      <c r="AK25" s="52"/>
      <c r="AL25" s="52">
        <f t="shared" si="33"/>
        <v>1000</v>
      </c>
      <c r="AM25" s="52"/>
      <c r="AN25" s="52"/>
      <c r="AO25" s="52"/>
      <c r="AP25" s="52">
        <f t="shared" si="34"/>
        <v>1000</v>
      </c>
      <c r="AQ25" s="52"/>
      <c r="AR25" s="52"/>
      <c r="AS25" s="52"/>
      <c r="AT25" s="52">
        <f t="shared" si="35"/>
        <v>1000</v>
      </c>
      <c r="AU25" s="52"/>
      <c r="AV25" s="52"/>
      <c r="AW25" s="52"/>
      <c r="AX25" s="52">
        <f t="shared" si="40"/>
        <v>1000</v>
      </c>
      <c r="AY25" s="52"/>
      <c r="AZ25" s="52"/>
      <c r="BA25" s="52"/>
      <c r="BB25" s="52">
        <f t="shared" si="3"/>
        <v>12000</v>
      </c>
      <c r="BC25" s="52">
        <f t="shared" si="4"/>
        <v>0</v>
      </c>
      <c r="BE25">
        <f ca="1">'Monthly Collection-2023'!AY25</f>
        <v>0</v>
      </c>
      <c r="BF25" t="str">
        <f t="shared" ca="1" si="5"/>
        <v/>
      </c>
      <c r="BG25">
        <f t="shared" ca="1" si="6"/>
        <v>0</v>
      </c>
      <c r="BH25" t="str">
        <f t="shared" ca="1" si="7"/>
        <v/>
      </c>
      <c r="BI25">
        <f t="shared" ca="1" si="8"/>
        <v>0</v>
      </c>
      <c r="BJ25" t="str">
        <f t="shared" ca="1" si="9"/>
        <v/>
      </c>
      <c r="BK25">
        <f t="shared" ca="1" si="10"/>
        <v>0</v>
      </c>
      <c r="BL25" t="str">
        <f t="shared" ca="1" si="11"/>
        <v/>
      </c>
      <c r="BM25">
        <f t="shared" ca="1" si="12"/>
        <v>0</v>
      </c>
      <c r="BN25" t="str">
        <f t="shared" ca="1" si="13"/>
        <v/>
      </c>
      <c r="BO25">
        <f t="shared" ca="1" si="14"/>
        <v>0</v>
      </c>
      <c r="BP25" t="str">
        <f t="shared" ca="1" si="15"/>
        <v/>
      </c>
      <c r="BQ25">
        <f t="shared" ca="1" si="16"/>
        <v>0</v>
      </c>
      <c r="BR25" t="str">
        <f t="shared" ca="1" si="17"/>
        <v/>
      </c>
      <c r="BS25">
        <f t="shared" ca="1" si="18"/>
        <v>0</v>
      </c>
      <c r="BT25" t="str">
        <f t="shared" ca="1" si="19"/>
        <v/>
      </c>
      <c r="BU25">
        <f t="shared" ca="1" si="20"/>
        <v>0</v>
      </c>
      <c r="BV25" t="str">
        <f t="shared" ca="1" si="21"/>
        <v/>
      </c>
      <c r="BW25">
        <f t="shared" ca="1" si="22"/>
        <v>0</v>
      </c>
      <c r="BX25" t="str">
        <f t="shared" ca="1" si="23"/>
        <v/>
      </c>
      <c r="BY25">
        <f t="shared" ca="1" si="24"/>
        <v>0</v>
      </c>
      <c r="BZ25" t="str">
        <f t="shared" ca="1" si="25"/>
        <v/>
      </c>
      <c r="CA25">
        <f t="shared" ca="1" si="26"/>
        <v>0</v>
      </c>
      <c r="CB25" t="str">
        <f t="shared" ca="1" si="27"/>
        <v/>
      </c>
      <c r="CC25">
        <f t="shared" ca="1" si="28"/>
        <v>0</v>
      </c>
    </row>
    <row r="26" spans="2:8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>
        <f t="shared" si="39"/>
        <v>1000</v>
      </c>
      <c r="G26" s="56"/>
      <c r="H26" s="56"/>
      <c r="I26" s="56"/>
      <c r="J26" s="56">
        <f t="shared" si="1"/>
        <v>1000</v>
      </c>
      <c r="K26" s="56"/>
      <c r="L26" s="56"/>
      <c r="M26" s="56"/>
      <c r="N26" s="56">
        <f t="shared" si="2"/>
        <v>1000</v>
      </c>
      <c r="O26" s="56"/>
      <c r="P26" s="56"/>
      <c r="Q26" s="56"/>
      <c r="R26" s="241"/>
      <c r="S26" s="56"/>
      <c r="T26" s="56"/>
      <c r="U26" s="56"/>
      <c r="V26" s="241"/>
      <c r="W26" s="56"/>
      <c r="X26" s="56"/>
      <c r="Y26" s="56"/>
      <c r="Z26" s="241"/>
      <c r="AA26" s="56"/>
      <c r="AB26" s="56"/>
      <c r="AC26" s="56"/>
      <c r="AD26" s="241"/>
      <c r="AE26" s="56"/>
      <c r="AF26" s="56"/>
      <c r="AG26" s="56"/>
      <c r="AH26" s="241"/>
      <c r="AI26" s="56"/>
      <c r="AJ26" s="56">
        <v>1000</v>
      </c>
      <c r="AK26" s="56">
        <v>50</v>
      </c>
      <c r="AL26" s="241"/>
      <c r="AM26" s="56"/>
      <c r="AN26" s="56"/>
      <c r="AO26" s="56"/>
      <c r="AP26" s="241"/>
      <c r="AQ26" s="56"/>
      <c r="AR26" s="56">
        <v>2000</v>
      </c>
      <c r="AS26" s="56">
        <v>100</v>
      </c>
      <c r="AT26" s="241"/>
      <c r="AU26" s="56"/>
      <c r="AV26" s="56"/>
      <c r="AW26" s="56"/>
      <c r="AX26" s="241"/>
      <c r="AY26" s="56"/>
      <c r="AZ26" s="56"/>
      <c r="BA26" s="56"/>
      <c r="BB26" s="56">
        <f t="shared" si="3"/>
        <v>6000</v>
      </c>
      <c r="BC26" s="56">
        <f t="shared" si="4"/>
        <v>150</v>
      </c>
      <c r="BE26">
        <f ca="1">'Monthly Collection-2023'!AY26</f>
        <v>0</v>
      </c>
      <c r="BF26" t="str">
        <f t="shared" ca="1" si="5"/>
        <v/>
      </c>
      <c r="BG26">
        <f t="shared" ca="1" si="6"/>
        <v>0</v>
      </c>
      <c r="BH26" t="str">
        <f t="shared" ca="1" si="7"/>
        <v/>
      </c>
      <c r="BI26">
        <f t="shared" ca="1" si="8"/>
        <v>0</v>
      </c>
      <c r="BJ26" t="str">
        <f t="shared" ca="1" si="9"/>
        <v/>
      </c>
      <c r="BK26">
        <f t="shared" ca="1" si="10"/>
        <v>0</v>
      </c>
      <c r="BL26" t="str">
        <f t="shared" ca="1" si="11"/>
        <v>R</v>
      </c>
      <c r="BM26">
        <f t="shared" ca="1" si="12"/>
        <v>0</v>
      </c>
      <c r="BN26" t="str">
        <f t="shared" ca="1" si="13"/>
        <v>R</v>
      </c>
      <c r="BO26">
        <f t="shared" ca="1" si="14"/>
        <v>0</v>
      </c>
      <c r="BP26" t="str">
        <f t="shared" ca="1" si="15"/>
        <v>R</v>
      </c>
      <c r="BQ26">
        <f t="shared" ca="1" si="16"/>
        <v>0</v>
      </c>
      <c r="BR26" t="str">
        <f t="shared" ca="1" si="17"/>
        <v>R</v>
      </c>
      <c r="BS26">
        <f t="shared" ca="1" si="18"/>
        <v>0</v>
      </c>
      <c r="BT26" t="str">
        <f t="shared" ca="1" si="19"/>
        <v>R</v>
      </c>
      <c r="BU26">
        <f t="shared" ca="1" si="20"/>
        <v>0</v>
      </c>
      <c r="BV26" t="str">
        <f t="shared" ca="1" si="21"/>
        <v>R</v>
      </c>
      <c r="BW26">
        <f t="shared" ca="1" si="22"/>
        <v>0</v>
      </c>
      <c r="BX26" t="str">
        <f t="shared" ca="1" si="23"/>
        <v>R</v>
      </c>
      <c r="BY26">
        <f t="shared" ca="1" si="24"/>
        <v>0</v>
      </c>
      <c r="BZ26" t="str">
        <f t="shared" ca="1" si="25"/>
        <v>R</v>
      </c>
      <c r="CA26">
        <f t="shared" ca="1" si="26"/>
        <v>0</v>
      </c>
      <c r="CB26" t="str">
        <f t="shared" ca="1" si="27"/>
        <v>R</v>
      </c>
      <c r="CC26">
        <f t="shared" ca="1" si="28"/>
        <v>0</v>
      </c>
    </row>
    <row r="27" spans="2:8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>
        <f t="shared" si="39"/>
        <v>1000</v>
      </c>
      <c r="G27" s="52"/>
      <c r="H27" s="52">
        <v>1000</v>
      </c>
      <c r="I27" s="52">
        <v>50</v>
      </c>
      <c r="J27" s="243"/>
      <c r="K27" s="52"/>
      <c r="L27" s="52"/>
      <c r="M27" s="52"/>
      <c r="N27" s="243"/>
      <c r="O27" s="52"/>
      <c r="P27" s="52"/>
      <c r="Q27" s="52"/>
      <c r="R27" s="243"/>
      <c r="S27" s="52"/>
      <c r="T27" s="52"/>
      <c r="U27" s="52"/>
      <c r="V27" s="243"/>
      <c r="W27" s="52"/>
      <c r="X27" s="52"/>
      <c r="Y27" s="52"/>
      <c r="Z27" s="243"/>
      <c r="AA27" s="52"/>
      <c r="AB27" s="52"/>
      <c r="AC27" s="52"/>
      <c r="AD27" s="243"/>
      <c r="AE27" s="52"/>
      <c r="AF27" s="52"/>
      <c r="AG27" s="52"/>
      <c r="AH27" s="52">
        <f>$E27*1000</f>
        <v>1000</v>
      </c>
      <c r="AI27" s="52"/>
      <c r="AJ27" s="52">
        <v>6000</v>
      </c>
      <c r="AK27" s="52">
        <v>1200</v>
      </c>
      <c r="AL27" s="52">
        <f t="shared" ref="AL27:AL33" si="41">$E27*1000</f>
        <v>1000</v>
      </c>
      <c r="AM27" s="52"/>
      <c r="AN27" s="52"/>
      <c r="AO27" s="52"/>
      <c r="AP27" s="52">
        <f t="shared" ref="AP27:AP33" si="42">$E27*1000</f>
        <v>1000</v>
      </c>
      <c r="AQ27" s="52"/>
      <c r="AR27" s="52"/>
      <c r="AS27" s="52"/>
      <c r="AT27" s="52">
        <f t="shared" ref="AT27:AT33" si="43">$E27*1000</f>
        <v>1000</v>
      </c>
      <c r="AU27" s="52"/>
      <c r="AV27" s="52"/>
      <c r="AW27" s="52"/>
      <c r="AX27" s="52">
        <f t="shared" ref="AX27:AX33" si="44">$E27*1000</f>
        <v>1000</v>
      </c>
      <c r="AY27" s="52"/>
      <c r="AZ27" s="52"/>
      <c r="BA27" s="52"/>
      <c r="BB27" s="52">
        <f t="shared" si="3"/>
        <v>13000</v>
      </c>
      <c r="BC27" s="52">
        <f t="shared" si="4"/>
        <v>1250</v>
      </c>
      <c r="BE27">
        <f ca="1">'Monthly Collection-2023'!AY27</f>
        <v>0</v>
      </c>
      <c r="BF27" t="str">
        <f t="shared" ca="1" si="5"/>
        <v/>
      </c>
      <c r="BG27">
        <f t="shared" ca="1" si="6"/>
        <v>0</v>
      </c>
      <c r="BH27" t="str">
        <f t="shared" ca="1" si="7"/>
        <v>R</v>
      </c>
      <c r="BI27">
        <f t="shared" ca="1" si="8"/>
        <v>0</v>
      </c>
      <c r="BJ27" t="str">
        <f t="shared" ca="1" si="9"/>
        <v>R</v>
      </c>
      <c r="BK27">
        <f t="shared" ca="1" si="10"/>
        <v>0</v>
      </c>
      <c r="BL27" t="str">
        <f t="shared" ca="1" si="11"/>
        <v>R</v>
      </c>
      <c r="BM27">
        <f t="shared" ca="1" si="12"/>
        <v>0</v>
      </c>
      <c r="BN27" t="str">
        <f t="shared" ca="1" si="13"/>
        <v>R</v>
      </c>
      <c r="BO27">
        <f t="shared" ca="1" si="14"/>
        <v>0</v>
      </c>
      <c r="BP27" t="str">
        <f t="shared" ca="1" si="15"/>
        <v>R</v>
      </c>
      <c r="BQ27">
        <f t="shared" ca="1" si="16"/>
        <v>0</v>
      </c>
      <c r="BR27" t="str">
        <f t="shared" ca="1" si="17"/>
        <v>R</v>
      </c>
      <c r="BS27">
        <f t="shared" ca="1" si="18"/>
        <v>0</v>
      </c>
      <c r="BT27" t="str">
        <f t="shared" ca="1" si="19"/>
        <v/>
      </c>
      <c r="BU27">
        <f t="shared" ca="1" si="20"/>
        <v>0</v>
      </c>
      <c r="BV27" t="str">
        <f t="shared" ca="1" si="21"/>
        <v/>
      </c>
      <c r="BW27">
        <f t="shared" ca="1" si="22"/>
        <v>0</v>
      </c>
      <c r="BX27" t="str">
        <f t="shared" ca="1" si="23"/>
        <v/>
      </c>
      <c r="BY27">
        <f t="shared" ca="1" si="24"/>
        <v>0</v>
      </c>
      <c r="BZ27" t="str">
        <f t="shared" ca="1" si="25"/>
        <v/>
      </c>
      <c r="CA27">
        <f t="shared" ca="1" si="26"/>
        <v>0</v>
      </c>
      <c r="CB27" t="str">
        <f t="shared" ca="1" si="27"/>
        <v/>
      </c>
      <c r="CC27">
        <f t="shared" ca="1" si="28"/>
        <v>0</v>
      </c>
    </row>
    <row r="28" spans="2:8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>
        <f t="shared" si="39"/>
        <v>1000</v>
      </c>
      <c r="G28" s="56"/>
      <c r="H28" s="56"/>
      <c r="I28" s="56"/>
      <c r="J28" s="56">
        <f t="shared" ref="J28:J48" si="45">$E28*1000</f>
        <v>1000</v>
      </c>
      <c r="K28" s="56"/>
      <c r="L28" s="56"/>
      <c r="M28" s="56"/>
      <c r="N28" s="56">
        <f t="shared" ref="N28:N48" si="46">$E28*1000</f>
        <v>1000</v>
      </c>
      <c r="O28" s="56"/>
      <c r="P28" s="56"/>
      <c r="Q28" s="56"/>
      <c r="R28" s="56">
        <f>$E28*1000</f>
        <v>1000</v>
      </c>
      <c r="S28" s="56"/>
      <c r="T28" s="56"/>
      <c r="U28" s="56"/>
      <c r="V28" s="56">
        <f t="shared" ref="V28:V33" si="47">$E28*1000</f>
        <v>1000</v>
      </c>
      <c r="W28" s="56"/>
      <c r="X28" s="56"/>
      <c r="Y28" s="56"/>
      <c r="Z28" s="56">
        <f t="shared" ref="Z28:Z33" si="48">$E28*1000</f>
        <v>1000</v>
      </c>
      <c r="AA28" s="56"/>
      <c r="AB28" s="56"/>
      <c r="AC28" s="56"/>
      <c r="AD28" s="56">
        <f>$E28*1000</f>
        <v>1000</v>
      </c>
      <c r="AE28" s="56">
        <v>1000</v>
      </c>
      <c r="AF28" s="56"/>
      <c r="AG28" s="56"/>
      <c r="AH28" s="244"/>
      <c r="AI28" s="56"/>
      <c r="AJ28" s="56"/>
      <c r="AK28" s="56"/>
      <c r="AL28" s="56">
        <f t="shared" si="41"/>
        <v>1000</v>
      </c>
      <c r="AM28" s="56"/>
      <c r="AN28" s="56"/>
      <c r="AO28" s="56">
        <v>50</v>
      </c>
      <c r="AP28" s="56">
        <f t="shared" si="42"/>
        <v>1000</v>
      </c>
      <c r="AQ28" s="56"/>
      <c r="AR28" s="56"/>
      <c r="AS28" s="56"/>
      <c r="AT28" s="56">
        <f t="shared" si="43"/>
        <v>1000</v>
      </c>
      <c r="AU28" s="56"/>
      <c r="AV28" s="56"/>
      <c r="AW28" s="56"/>
      <c r="AX28" s="56">
        <f t="shared" si="44"/>
        <v>1000</v>
      </c>
      <c r="AY28" s="56"/>
      <c r="AZ28" s="56"/>
      <c r="BA28" s="56"/>
      <c r="BB28" s="56">
        <f t="shared" si="3"/>
        <v>12000</v>
      </c>
      <c r="BC28" s="56">
        <f t="shared" si="4"/>
        <v>50</v>
      </c>
      <c r="BE28">
        <f ca="1">'Monthly Collection-2023'!AY28</f>
        <v>0</v>
      </c>
      <c r="BF28" t="str">
        <f t="shared" ca="1" si="5"/>
        <v/>
      </c>
      <c r="BG28">
        <f t="shared" ca="1" si="6"/>
        <v>0</v>
      </c>
      <c r="BH28" t="str">
        <f t="shared" ca="1" si="7"/>
        <v/>
      </c>
      <c r="BI28">
        <f t="shared" ca="1" si="8"/>
        <v>0</v>
      </c>
      <c r="BJ28" t="str">
        <f t="shared" ca="1" si="9"/>
        <v/>
      </c>
      <c r="BK28">
        <f t="shared" ca="1" si="10"/>
        <v>0</v>
      </c>
      <c r="BL28" t="str">
        <f t="shared" ca="1" si="11"/>
        <v/>
      </c>
      <c r="BM28">
        <f t="shared" ca="1" si="12"/>
        <v>0</v>
      </c>
      <c r="BN28" t="str">
        <f t="shared" ca="1" si="13"/>
        <v/>
      </c>
      <c r="BO28">
        <f t="shared" ca="1" si="14"/>
        <v>0</v>
      </c>
      <c r="BP28" t="str">
        <f t="shared" ca="1" si="15"/>
        <v/>
      </c>
      <c r="BQ28">
        <f t="shared" ca="1" si="16"/>
        <v>0</v>
      </c>
      <c r="BR28" t="str">
        <f t="shared" ca="1" si="17"/>
        <v/>
      </c>
      <c r="BS28">
        <f t="shared" ca="1" si="18"/>
        <v>1000</v>
      </c>
      <c r="BT28" t="str">
        <f t="shared" ca="1" si="19"/>
        <v>G</v>
      </c>
      <c r="BU28">
        <f t="shared" ca="1" si="20"/>
        <v>0</v>
      </c>
      <c r="BV28" t="str">
        <f t="shared" ca="1" si="21"/>
        <v/>
      </c>
      <c r="BW28">
        <f t="shared" ca="1" si="22"/>
        <v>0</v>
      </c>
      <c r="BX28" t="str">
        <f t="shared" ca="1" si="23"/>
        <v/>
      </c>
      <c r="BY28">
        <f t="shared" ca="1" si="24"/>
        <v>0</v>
      </c>
      <c r="BZ28" t="str">
        <f t="shared" ca="1" si="25"/>
        <v/>
      </c>
      <c r="CA28">
        <f t="shared" ca="1" si="26"/>
        <v>0</v>
      </c>
      <c r="CB28" t="str">
        <f t="shared" ca="1" si="27"/>
        <v/>
      </c>
      <c r="CC28">
        <f t="shared" ca="1" si="28"/>
        <v>0</v>
      </c>
    </row>
    <row r="29" spans="2:8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>
        <f t="shared" si="39"/>
        <v>3000</v>
      </c>
      <c r="G29" s="52"/>
      <c r="H29" s="52"/>
      <c r="I29" s="52"/>
      <c r="J29" s="52">
        <f t="shared" si="45"/>
        <v>3000</v>
      </c>
      <c r="K29" s="52"/>
      <c r="L29" s="52"/>
      <c r="M29" s="52"/>
      <c r="N29" s="52">
        <f t="shared" si="46"/>
        <v>3000</v>
      </c>
      <c r="O29" s="52"/>
      <c r="P29" s="52"/>
      <c r="Q29" s="52"/>
      <c r="R29" s="52">
        <f>$E29*1000</f>
        <v>3000</v>
      </c>
      <c r="S29" s="52"/>
      <c r="T29" s="52"/>
      <c r="U29" s="52"/>
      <c r="V29" s="52">
        <f t="shared" si="47"/>
        <v>3000</v>
      </c>
      <c r="W29" s="52"/>
      <c r="X29" s="52"/>
      <c r="Y29" s="52"/>
      <c r="Z29" s="52">
        <f t="shared" si="48"/>
        <v>3000</v>
      </c>
      <c r="AA29" s="52"/>
      <c r="AB29" s="52"/>
      <c r="AC29" s="52"/>
      <c r="AD29" s="52">
        <f>$E29*1000</f>
        <v>3000</v>
      </c>
      <c r="AE29" s="52"/>
      <c r="AF29" s="52"/>
      <c r="AG29" s="52"/>
      <c r="AH29" s="52">
        <f>$E29*1000</f>
        <v>3000</v>
      </c>
      <c r="AI29" s="52"/>
      <c r="AJ29" s="52"/>
      <c r="AK29" s="52"/>
      <c r="AL29" s="52">
        <f t="shared" si="41"/>
        <v>3000</v>
      </c>
      <c r="AM29" s="52"/>
      <c r="AN29" s="52"/>
      <c r="AO29" s="52"/>
      <c r="AP29" s="52">
        <f t="shared" si="42"/>
        <v>3000</v>
      </c>
      <c r="AQ29" s="52"/>
      <c r="AR29" s="52"/>
      <c r="AS29" s="52"/>
      <c r="AT29" s="52">
        <f t="shared" si="43"/>
        <v>3000</v>
      </c>
      <c r="AU29" s="52"/>
      <c r="AV29" s="52"/>
      <c r="AW29" s="52"/>
      <c r="AX29" s="52">
        <f t="shared" si="44"/>
        <v>3000</v>
      </c>
      <c r="AY29" s="52"/>
      <c r="AZ29" s="52"/>
      <c r="BA29" s="52"/>
      <c r="BB29" s="52">
        <f t="shared" si="3"/>
        <v>36000</v>
      </c>
      <c r="BC29" s="52">
        <f t="shared" si="4"/>
        <v>0</v>
      </c>
      <c r="BE29">
        <f ca="1">'Monthly Collection-2023'!AY29</f>
        <v>0</v>
      </c>
      <c r="BF29" t="str">
        <f t="shared" ca="1" si="5"/>
        <v/>
      </c>
      <c r="BG29">
        <f t="shared" ca="1" si="6"/>
        <v>0</v>
      </c>
      <c r="BH29" t="str">
        <f t="shared" ca="1" si="7"/>
        <v/>
      </c>
      <c r="BI29">
        <f t="shared" ca="1" si="8"/>
        <v>0</v>
      </c>
      <c r="BJ29" t="str">
        <f t="shared" ca="1" si="9"/>
        <v/>
      </c>
      <c r="BK29">
        <f t="shared" ca="1" si="10"/>
        <v>0</v>
      </c>
      <c r="BL29" t="str">
        <f t="shared" ca="1" si="11"/>
        <v/>
      </c>
      <c r="BM29">
        <f t="shared" ca="1" si="12"/>
        <v>0</v>
      </c>
      <c r="BN29" t="str">
        <f t="shared" ca="1" si="13"/>
        <v/>
      </c>
      <c r="BO29">
        <f t="shared" ca="1" si="14"/>
        <v>0</v>
      </c>
      <c r="BP29" t="str">
        <f t="shared" ca="1" si="15"/>
        <v/>
      </c>
      <c r="BQ29">
        <f t="shared" ca="1" si="16"/>
        <v>0</v>
      </c>
      <c r="BR29" t="str">
        <f t="shared" ca="1" si="17"/>
        <v/>
      </c>
      <c r="BS29">
        <f t="shared" ca="1" si="18"/>
        <v>0</v>
      </c>
      <c r="BT29" t="str">
        <f t="shared" ca="1" si="19"/>
        <v/>
      </c>
      <c r="BU29">
        <f t="shared" ca="1" si="20"/>
        <v>0</v>
      </c>
      <c r="BV29" t="str">
        <f t="shared" ca="1" si="21"/>
        <v/>
      </c>
      <c r="BW29">
        <f t="shared" ca="1" si="22"/>
        <v>0</v>
      </c>
      <c r="BX29" t="str">
        <f t="shared" ca="1" si="23"/>
        <v/>
      </c>
      <c r="BY29">
        <f t="shared" ca="1" si="24"/>
        <v>0</v>
      </c>
      <c r="BZ29" t="str">
        <f t="shared" ca="1" si="25"/>
        <v/>
      </c>
      <c r="CA29">
        <f t="shared" ca="1" si="26"/>
        <v>0</v>
      </c>
      <c r="CB29" t="str">
        <f t="shared" ca="1" si="27"/>
        <v/>
      </c>
      <c r="CC29">
        <f t="shared" ca="1" si="28"/>
        <v>0</v>
      </c>
    </row>
    <row r="30" spans="2:8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>
        <f t="shared" si="39"/>
        <v>1000</v>
      </c>
      <c r="G30" s="56"/>
      <c r="H30" s="56"/>
      <c r="I30" s="56"/>
      <c r="J30" s="56">
        <f t="shared" si="45"/>
        <v>1000</v>
      </c>
      <c r="K30" s="56"/>
      <c r="L30" s="56"/>
      <c r="M30" s="56"/>
      <c r="N30" s="56">
        <f t="shared" si="46"/>
        <v>1000</v>
      </c>
      <c r="O30" s="56"/>
      <c r="P30" s="56"/>
      <c r="Q30" s="56"/>
      <c r="R30" s="241"/>
      <c r="S30" s="56"/>
      <c r="T30" s="56"/>
      <c r="U30" s="56"/>
      <c r="V30" s="56">
        <f t="shared" si="47"/>
        <v>1000</v>
      </c>
      <c r="W30" s="56"/>
      <c r="X30" s="56">
        <v>1000</v>
      </c>
      <c r="Y30" s="56">
        <v>50</v>
      </c>
      <c r="Z30" s="56">
        <f t="shared" si="48"/>
        <v>1000</v>
      </c>
      <c r="AA30" s="56"/>
      <c r="AB30" s="56"/>
      <c r="AC30" s="56"/>
      <c r="AD30" s="56">
        <f>$E30*1000</f>
        <v>1000</v>
      </c>
      <c r="AE30" s="56"/>
      <c r="AF30" s="56"/>
      <c r="AG30" s="56"/>
      <c r="AH30" s="56">
        <f>$E30*1000</f>
        <v>1000</v>
      </c>
      <c r="AI30" s="56"/>
      <c r="AJ30" s="56"/>
      <c r="AK30" s="56"/>
      <c r="AL30" s="56">
        <f t="shared" si="41"/>
        <v>1000</v>
      </c>
      <c r="AM30" s="56"/>
      <c r="AN30" s="56"/>
      <c r="AO30" s="56"/>
      <c r="AP30" s="56">
        <f t="shared" si="42"/>
        <v>1000</v>
      </c>
      <c r="AQ30" s="56"/>
      <c r="AR30" s="56"/>
      <c r="AS30" s="56"/>
      <c r="AT30" s="56">
        <f t="shared" si="43"/>
        <v>1000</v>
      </c>
      <c r="AU30" s="56"/>
      <c r="AV30" s="56"/>
      <c r="AW30" s="56"/>
      <c r="AX30" s="56">
        <f t="shared" si="44"/>
        <v>1000</v>
      </c>
      <c r="AY30" s="56"/>
      <c r="AZ30" s="56"/>
      <c r="BA30" s="56"/>
      <c r="BB30" s="56">
        <f t="shared" si="3"/>
        <v>12000</v>
      </c>
      <c r="BC30" s="56">
        <f t="shared" si="4"/>
        <v>50</v>
      </c>
      <c r="BE30">
        <f ca="1">'Monthly Collection-2023'!AY30</f>
        <v>0</v>
      </c>
      <c r="BF30" t="str">
        <f t="shared" ca="1" si="5"/>
        <v/>
      </c>
      <c r="BG30">
        <f t="shared" ca="1" si="6"/>
        <v>0</v>
      </c>
      <c r="BH30" t="str">
        <f t="shared" ca="1" si="7"/>
        <v/>
      </c>
      <c r="BI30">
        <f t="shared" ca="1" si="8"/>
        <v>0</v>
      </c>
      <c r="BJ30" t="str">
        <f t="shared" ca="1" si="9"/>
        <v/>
      </c>
      <c r="BK30">
        <f t="shared" ca="1" si="10"/>
        <v>0</v>
      </c>
      <c r="BL30" t="str">
        <f t="shared" ca="1" si="11"/>
        <v>R</v>
      </c>
      <c r="BM30">
        <f t="shared" ca="1" si="12"/>
        <v>0</v>
      </c>
      <c r="BN30" t="str">
        <f t="shared" ca="1" si="13"/>
        <v/>
      </c>
      <c r="BO30">
        <f t="shared" ca="1" si="14"/>
        <v>0</v>
      </c>
      <c r="BP30" t="str">
        <f t="shared" ca="1" si="15"/>
        <v/>
      </c>
      <c r="BQ30">
        <f t="shared" ca="1" si="16"/>
        <v>0</v>
      </c>
      <c r="BR30" t="str">
        <f t="shared" ca="1" si="17"/>
        <v/>
      </c>
      <c r="BS30">
        <f t="shared" ca="1" si="18"/>
        <v>0</v>
      </c>
      <c r="BT30" t="str">
        <f t="shared" ca="1" si="19"/>
        <v/>
      </c>
      <c r="BU30">
        <f t="shared" ca="1" si="20"/>
        <v>0</v>
      </c>
      <c r="BV30" t="str">
        <f t="shared" ca="1" si="21"/>
        <v/>
      </c>
      <c r="BW30">
        <f t="shared" ca="1" si="22"/>
        <v>0</v>
      </c>
      <c r="BX30" t="str">
        <f t="shared" ca="1" si="23"/>
        <v/>
      </c>
      <c r="BY30">
        <f t="shared" ca="1" si="24"/>
        <v>0</v>
      </c>
      <c r="BZ30" t="str">
        <f t="shared" ca="1" si="25"/>
        <v/>
      </c>
      <c r="CA30">
        <f t="shared" ca="1" si="26"/>
        <v>0</v>
      </c>
      <c r="CB30" t="str">
        <f t="shared" ca="1" si="27"/>
        <v/>
      </c>
      <c r="CC30">
        <f t="shared" ca="1" si="28"/>
        <v>0</v>
      </c>
    </row>
    <row r="31" spans="2:8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>
        <f t="shared" si="39"/>
        <v>1000</v>
      </c>
      <c r="G31" s="52"/>
      <c r="H31" s="52"/>
      <c r="I31" s="52"/>
      <c r="J31" s="52">
        <f t="shared" si="45"/>
        <v>1000</v>
      </c>
      <c r="K31" s="52"/>
      <c r="L31" s="52"/>
      <c r="M31" s="52"/>
      <c r="N31" s="52">
        <f t="shared" si="46"/>
        <v>1000</v>
      </c>
      <c r="O31" s="52"/>
      <c r="P31" s="52"/>
      <c r="Q31" s="52"/>
      <c r="R31" s="52">
        <f t="shared" ref="R31:R37" si="49">$E31*1000</f>
        <v>1000</v>
      </c>
      <c r="S31" s="52"/>
      <c r="T31" s="52"/>
      <c r="U31" s="52"/>
      <c r="V31" s="52">
        <f t="shared" si="47"/>
        <v>1000</v>
      </c>
      <c r="W31" s="52"/>
      <c r="X31" s="52"/>
      <c r="Y31" s="52"/>
      <c r="Z31" s="52">
        <f t="shared" si="48"/>
        <v>1000</v>
      </c>
      <c r="AA31" s="52"/>
      <c r="AB31" s="52"/>
      <c r="AC31" s="52"/>
      <c r="AD31" s="52">
        <f>$E31*1000</f>
        <v>1000</v>
      </c>
      <c r="AE31" s="52"/>
      <c r="AF31" s="52"/>
      <c r="AG31" s="52"/>
      <c r="AH31" s="52">
        <f>$E31*1000</f>
        <v>1000</v>
      </c>
      <c r="AI31" s="52"/>
      <c r="AJ31" s="52"/>
      <c r="AK31" s="52"/>
      <c r="AL31" s="52">
        <f t="shared" si="41"/>
        <v>1000</v>
      </c>
      <c r="AM31" s="52"/>
      <c r="AN31" s="52"/>
      <c r="AO31" s="52"/>
      <c r="AP31" s="52">
        <f t="shared" si="42"/>
        <v>1000</v>
      </c>
      <c r="AQ31" s="52"/>
      <c r="AR31" s="52"/>
      <c r="AS31" s="52"/>
      <c r="AT31" s="52">
        <f t="shared" si="43"/>
        <v>1000</v>
      </c>
      <c r="AU31" s="52"/>
      <c r="AV31" s="52"/>
      <c r="AW31" s="52"/>
      <c r="AX31" s="52">
        <f t="shared" si="44"/>
        <v>1000</v>
      </c>
      <c r="AY31" s="52"/>
      <c r="AZ31" s="52"/>
      <c r="BA31" s="52"/>
      <c r="BB31" s="52">
        <f t="shared" si="3"/>
        <v>12000</v>
      </c>
      <c r="BC31" s="52">
        <f t="shared" si="4"/>
        <v>0</v>
      </c>
      <c r="BE31">
        <f ca="1">'Monthly Collection-2023'!AY31</f>
        <v>0</v>
      </c>
      <c r="BF31" t="str">
        <f t="shared" ca="1" si="5"/>
        <v/>
      </c>
      <c r="BG31">
        <f t="shared" ca="1" si="6"/>
        <v>0</v>
      </c>
      <c r="BH31" t="str">
        <f t="shared" ca="1" si="7"/>
        <v/>
      </c>
      <c r="BI31">
        <f t="shared" ca="1" si="8"/>
        <v>0</v>
      </c>
      <c r="BJ31" t="str">
        <f t="shared" ca="1" si="9"/>
        <v/>
      </c>
      <c r="BK31">
        <f t="shared" ca="1" si="10"/>
        <v>0</v>
      </c>
      <c r="BL31" t="str">
        <f t="shared" ca="1" si="11"/>
        <v/>
      </c>
      <c r="BM31">
        <f t="shared" ca="1" si="12"/>
        <v>0</v>
      </c>
      <c r="BN31" t="str">
        <f t="shared" ca="1" si="13"/>
        <v/>
      </c>
      <c r="BO31">
        <f t="shared" ca="1" si="14"/>
        <v>0</v>
      </c>
      <c r="BP31" t="str">
        <f t="shared" ca="1" si="15"/>
        <v/>
      </c>
      <c r="BQ31">
        <f t="shared" ca="1" si="16"/>
        <v>0</v>
      </c>
      <c r="BR31" t="str">
        <f t="shared" ca="1" si="17"/>
        <v/>
      </c>
      <c r="BS31">
        <f t="shared" ca="1" si="18"/>
        <v>0</v>
      </c>
      <c r="BT31" t="str">
        <f t="shared" ca="1" si="19"/>
        <v/>
      </c>
      <c r="BU31">
        <f t="shared" ca="1" si="20"/>
        <v>0</v>
      </c>
      <c r="BV31" t="str">
        <f t="shared" ca="1" si="21"/>
        <v/>
      </c>
      <c r="BW31">
        <f t="shared" ca="1" si="22"/>
        <v>0</v>
      </c>
      <c r="BX31" t="str">
        <f t="shared" ca="1" si="23"/>
        <v/>
      </c>
      <c r="BY31">
        <f t="shared" ca="1" si="24"/>
        <v>0</v>
      </c>
      <c r="BZ31" t="str">
        <f t="shared" ca="1" si="25"/>
        <v/>
      </c>
      <c r="CA31">
        <f t="shared" ca="1" si="26"/>
        <v>0</v>
      </c>
      <c r="CB31" t="str">
        <f t="shared" ca="1" si="27"/>
        <v/>
      </c>
      <c r="CC31">
        <f t="shared" ca="1" si="28"/>
        <v>0</v>
      </c>
    </row>
    <row r="32" spans="2:8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>
        <f t="shared" si="39"/>
        <v>1000</v>
      </c>
      <c r="G32" s="56"/>
      <c r="H32" s="56"/>
      <c r="I32" s="56"/>
      <c r="J32" s="56">
        <f t="shared" si="45"/>
        <v>1000</v>
      </c>
      <c r="K32" s="56"/>
      <c r="L32" s="56"/>
      <c r="M32" s="56"/>
      <c r="N32" s="56">
        <f t="shared" si="46"/>
        <v>1000</v>
      </c>
      <c r="O32" s="56"/>
      <c r="P32" s="56"/>
      <c r="Q32" s="56"/>
      <c r="R32" s="56">
        <f t="shared" si="49"/>
        <v>1000</v>
      </c>
      <c r="S32" s="56"/>
      <c r="T32" s="56"/>
      <c r="U32" s="56"/>
      <c r="V32" s="56">
        <f t="shared" si="47"/>
        <v>1000</v>
      </c>
      <c r="W32" s="56"/>
      <c r="X32" s="56"/>
      <c r="Y32" s="56"/>
      <c r="Z32" s="56">
        <f t="shared" si="48"/>
        <v>1000</v>
      </c>
      <c r="AA32" s="56"/>
      <c r="AB32" s="56"/>
      <c r="AC32" s="56"/>
      <c r="AD32" s="56">
        <f>$E32*1000</f>
        <v>1000</v>
      </c>
      <c r="AE32" s="56"/>
      <c r="AF32" s="56"/>
      <c r="AG32" s="56"/>
      <c r="AH32" s="56">
        <f>$E32*1000</f>
        <v>1000</v>
      </c>
      <c r="AI32" s="56"/>
      <c r="AJ32" s="56"/>
      <c r="AK32" s="56"/>
      <c r="AL32" s="56">
        <f t="shared" si="41"/>
        <v>1000</v>
      </c>
      <c r="AM32" s="56"/>
      <c r="AN32" s="56"/>
      <c r="AO32" s="56"/>
      <c r="AP32" s="56">
        <f t="shared" si="42"/>
        <v>1000</v>
      </c>
      <c r="AQ32" s="56"/>
      <c r="AR32" s="56"/>
      <c r="AS32" s="56"/>
      <c r="AT32" s="56">
        <f t="shared" si="43"/>
        <v>1000</v>
      </c>
      <c r="AU32" s="56"/>
      <c r="AV32" s="56"/>
      <c r="AW32" s="56"/>
      <c r="AX32" s="56">
        <f t="shared" si="44"/>
        <v>1000</v>
      </c>
      <c r="AY32" s="56"/>
      <c r="AZ32" s="56"/>
      <c r="BA32" s="56"/>
      <c r="BB32" s="56">
        <f t="shared" si="3"/>
        <v>12000</v>
      </c>
      <c r="BC32" s="56">
        <f t="shared" si="4"/>
        <v>0</v>
      </c>
      <c r="BE32">
        <f ca="1">'Monthly Collection-2023'!AY32</f>
        <v>0</v>
      </c>
      <c r="BF32" t="str">
        <f t="shared" ca="1" si="5"/>
        <v/>
      </c>
      <c r="BG32">
        <f t="shared" ca="1" si="6"/>
        <v>0</v>
      </c>
      <c r="BH32" t="str">
        <f t="shared" ca="1" si="7"/>
        <v/>
      </c>
      <c r="BI32">
        <f t="shared" ca="1" si="8"/>
        <v>0</v>
      </c>
      <c r="BJ32" t="str">
        <f t="shared" ca="1" si="9"/>
        <v/>
      </c>
      <c r="BK32">
        <f t="shared" ca="1" si="10"/>
        <v>0</v>
      </c>
      <c r="BL32" t="str">
        <f t="shared" ca="1" si="11"/>
        <v/>
      </c>
      <c r="BM32">
        <f t="shared" ca="1" si="12"/>
        <v>0</v>
      </c>
      <c r="BN32" t="str">
        <f t="shared" ca="1" si="13"/>
        <v/>
      </c>
      <c r="BO32">
        <f t="shared" ca="1" si="14"/>
        <v>0</v>
      </c>
      <c r="BP32" t="str">
        <f t="shared" ca="1" si="15"/>
        <v/>
      </c>
      <c r="BQ32">
        <f t="shared" ca="1" si="16"/>
        <v>0</v>
      </c>
      <c r="BR32" t="str">
        <f t="shared" ca="1" si="17"/>
        <v/>
      </c>
      <c r="BS32">
        <f t="shared" ca="1" si="18"/>
        <v>0</v>
      </c>
      <c r="BT32" t="str">
        <f t="shared" ca="1" si="19"/>
        <v/>
      </c>
      <c r="BU32">
        <f t="shared" ca="1" si="20"/>
        <v>0</v>
      </c>
      <c r="BV32" t="str">
        <f t="shared" ca="1" si="21"/>
        <v/>
      </c>
      <c r="BW32">
        <f t="shared" ca="1" si="22"/>
        <v>0</v>
      </c>
      <c r="BX32" t="str">
        <f t="shared" ca="1" si="23"/>
        <v/>
      </c>
      <c r="BY32">
        <f t="shared" ca="1" si="24"/>
        <v>0</v>
      </c>
      <c r="BZ32" t="str">
        <f t="shared" ca="1" si="25"/>
        <v/>
      </c>
      <c r="CA32">
        <f t="shared" ca="1" si="26"/>
        <v>0</v>
      </c>
      <c r="CB32" t="str">
        <f t="shared" ca="1" si="27"/>
        <v/>
      </c>
      <c r="CC32">
        <f t="shared" ca="1" si="28"/>
        <v>0</v>
      </c>
    </row>
    <row r="33" spans="2:8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>
        <f t="shared" si="39"/>
        <v>2000</v>
      </c>
      <c r="G33" s="52"/>
      <c r="H33" s="52"/>
      <c r="I33" s="52"/>
      <c r="J33" s="52">
        <f t="shared" si="45"/>
        <v>2000</v>
      </c>
      <c r="K33" s="52"/>
      <c r="L33" s="52"/>
      <c r="M33" s="52"/>
      <c r="N33" s="52">
        <f t="shared" si="46"/>
        <v>2000</v>
      </c>
      <c r="O33" s="52"/>
      <c r="P33" s="52"/>
      <c r="Q33" s="52"/>
      <c r="R33" s="52">
        <f t="shared" si="49"/>
        <v>2000</v>
      </c>
      <c r="S33" s="52"/>
      <c r="T33" s="52"/>
      <c r="U33" s="52"/>
      <c r="V33" s="52">
        <f t="shared" si="47"/>
        <v>2000</v>
      </c>
      <c r="W33" s="52"/>
      <c r="X33" s="52"/>
      <c r="Y33" s="52"/>
      <c r="Z33" s="52">
        <f t="shared" si="48"/>
        <v>2000</v>
      </c>
      <c r="AA33" s="52">
        <v>2000</v>
      </c>
      <c r="AB33" s="52"/>
      <c r="AC33" s="52"/>
      <c r="AD33" s="242"/>
      <c r="AE33" s="52"/>
      <c r="AF33" s="52"/>
      <c r="AG33" s="52"/>
      <c r="AH33" s="243"/>
      <c r="AI33" s="52"/>
      <c r="AJ33" s="52"/>
      <c r="AK33" s="52"/>
      <c r="AL33" s="52">
        <f t="shared" si="41"/>
        <v>2000</v>
      </c>
      <c r="AM33" s="52"/>
      <c r="AN33" s="52">
        <v>2000</v>
      </c>
      <c r="AO33" s="52">
        <v>100</v>
      </c>
      <c r="AP33" s="52">
        <f t="shared" si="42"/>
        <v>2000</v>
      </c>
      <c r="AQ33" s="52"/>
      <c r="AR33" s="52"/>
      <c r="AS33" s="52"/>
      <c r="AT33" s="52">
        <f t="shared" si="43"/>
        <v>2000</v>
      </c>
      <c r="AU33" s="52"/>
      <c r="AV33" s="52"/>
      <c r="AW33" s="52"/>
      <c r="AX33" s="52">
        <f t="shared" si="44"/>
        <v>2000</v>
      </c>
      <c r="AY33" s="52"/>
      <c r="AZ33" s="52"/>
      <c r="BA33" s="52"/>
      <c r="BB33" s="52">
        <f t="shared" si="3"/>
        <v>24000</v>
      </c>
      <c r="BC33" s="52">
        <f t="shared" si="4"/>
        <v>100</v>
      </c>
      <c r="BE33">
        <f ca="1">'Monthly Collection-2023'!AY33</f>
        <v>0</v>
      </c>
      <c r="BF33" t="str">
        <f t="shared" ca="1" si="5"/>
        <v/>
      </c>
      <c r="BG33">
        <f t="shared" ca="1" si="6"/>
        <v>0</v>
      </c>
      <c r="BH33" t="str">
        <f t="shared" ca="1" si="7"/>
        <v/>
      </c>
      <c r="BI33">
        <f t="shared" ca="1" si="8"/>
        <v>0</v>
      </c>
      <c r="BJ33" t="str">
        <f t="shared" ca="1" si="9"/>
        <v/>
      </c>
      <c r="BK33">
        <f t="shared" ca="1" si="10"/>
        <v>0</v>
      </c>
      <c r="BL33" t="str">
        <f t="shared" ca="1" si="11"/>
        <v/>
      </c>
      <c r="BM33">
        <f t="shared" ca="1" si="12"/>
        <v>0</v>
      </c>
      <c r="BN33" t="str">
        <f t="shared" ca="1" si="13"/>
        <v/>
      </c>
      <c r="BO33">
        <f t="shared" ca="1" si="14"/>
        <v>0</v>
      </c>
      <c r="BP33" t="str">
        <f t="shared" ca="1" si="15"/>
        <v/>
      </c>
      <c r="BQ33">
        <f t="shared" ca="1" si="16"/>
        <v>2000</v>
      </c>
      <c r="BR33" t="str">
        <f t="shared" ca="1" si="17"/>
        <v>G</v>
      </c>
      <c r="BS33">
        <f t="shared" ca="1" si="18"/>
        <v>0</v>
      </c>
      <c r="BT33" t="str">
        <f t="shared" ca="1" si="19"/>
        <v>R</v>
      </c>
      <c r="BU33">
        <f t="shared" ca="1" si="20"/>
        <v>0</v>
      </c>
      <c r="BV33" t="str">
        <f t="shared" ca="1" si="21"/>
        <v/>
      </c>
      <c r="BW33">
        <f t="shared" ca="1" si="22"/>
        <v>0</v>
      </c>
      <c r="BX33" t="str">
        <f t="shared" ca="1" si="23"/>
        <v/>
      </c>
      <c r="BY33">
        <f t="shared" ca="1" si="24"/>
        <v>0</v>
      </c>
      <c r="BZ33" t="str">
        <f t="shared" ca="1" si="25"/>
        <v/>
      </c>
      <c r="CA33">
        <f t="shared" ca="1" si="26"/>
        <v>0</v>
      </c>
      <c r="CB33" t="str">
        <f t="shared" ca="1" si="27"/>
        <v/>
      </c>
      <c r="CC33">
        <f t="shared" ca="1" si="28"/>
        <v>0</v>
      </c>
    </row>
    <row r="34" spans="2:8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>
        <f t="shared" si="39"/>
        <v>2000</v>
      </c>
      <c r="G34" s="56"/>
      <c r="H34" s="56"/>
      <c r="I34" s="56"/>
      <c r="J34" s="56">
        <f t="shared" si="45"/>
        <v>2000</v>
      </c>
      <c r="K34" s="56"/>
      <c r="L34" s="56"/>
      <c r="M34" s="56"/>
      <c r="N34" s="56">
        <f t="shared" si="46"/>
        <v>2000</v>
      </c>
      <c r="O34" s="56"/>
      <c r="P34" s="56"/>
      <c r="Q34" s="56"/>
      <c r="R34" s="56">
        <f t="shared" si="49"/>
        <v>2000</v>
      </c>
      <c r="S34" s="56"/>
      <c r="T34" s="56"/>
      <c r="U34" s="56"/>
      <c r="V34" s="56">
        <v>2000</v>
      </c>
      <c r="W34" s="56"/>
      <c r="X34" s="56"/>
      <c r="Y34" s="56"/>
      <c r="Z34" s="56">
        <v>2000</v>
      </c>
      <c r="AA34" s="56"/>
      <c r="AB34" s="56"/>
      <c r="AC34" s="56"/>
      <c r="AD34" s="56">
        <f t="shared" ref="AD34:AD48" si="50">$E34*1000</f>
        <v>2000</v>
      </c>
      <c r="AE34" s="56"/>
      <c r="AF34" s="56"/>
      <c r="AG34" s="56"/>
      <c r="AH34" s="56">
        <f t="shared" ref="AH34:AH48" si="51">$E34*1000</f>
        <v>2000</v>
      </c>
      <c r="AI34" s="56"/>
      <c r="AJ34" s="56"/>
      <c r="AK34" s="56"/>
      <c r="AL34" s="56">
        <v>2000</v>
      </c>
      <c r="AM34" s="56"/>
      <c r="AN34" s="56"/>
      <c r="AO34" s="56"/>
      <c r="AP34" s="56">
        <v>2000</v>
      </c>
      <c r="AQ34" s="56"/>
      <c r="AR34" s="56"/>
      <c r="AS34" s="56"/>
      <c r="AT34" s="56">
        <v>2000</v>
      </c>
      <c r="AU34" s="56"/>
      <c r="AV34" s="56"/>
      <c r="AW34" s="56"/>
      <c r="AX34" s="56">
        <v>2000</v>
      </c>
      <c r="AY34" s="56"/>
      <c r="AZ34" s="56"/>
      <c r="BA34" s="56"/>
      <c r="BB34" s="56">
        <f t="shared" si="3"/>
        <v>24000</v>
      </c>
      <c r="BC34" s="56">
        <f t="shared" si="4"/>
        <v>0</v>
      </c>
      <c r="BE34">
        <f ca="1">'Monthly Collection-2023'!AY34</f>
        <v>0</v>
      </c>
      <c r="BF34" t="str">
        <f t="shared" ca="1" si="5"/>
        <v/>
      </c>
      <c r="BG34">
        <f t="shared" ca="1" si="6"/>
        <v>0</v>
      </c>
      <c r="BH34" t="str">
        <f t="shared" ca="1" si="7"/>
        <v/>
      </c>
      <c r="BI34">
        <f t="shared" ca="1" si="8"/>
        <v>0</v>
      </c>
      <c r="BJ34" t="str">
        <f t="shared" ca="1" si="9"/>
        <v/>
      </c>
      <c r="BK34">
        <f t="shared" ca="1" si="10"/>
        <v>0</v>
      </c>
      <c r="BL34" t="str">
        <f t="shared" ca="1" si="11"/>
        <v/>
      </c>
      <c r="BM34">
        <f t="shared" ca="1" si="12"/>
        <v>0</v>
      </c>
      <c r="BN34" t="str">
        <f t="shared" ca="1" si="13"/>
        <v/>
      </c>
      <c r="BO34">
        <f t="shared" ca="1" si="14"/>
        <v>0</v>
      </c>
      <c r="BP34" t="str">
        <f t="shared" ca="1" si="15"/>
        <v/>
      </c>
      <c r="BQ34">
        <f t="shared" ca="1" si="16"/>
        <v>0</v>
      </c>
      <c r="BR34" t="str">
        <f t="shared" ca="1" si="17"/>
        <v/>
      </c>
      <c r="BS34">
        <f t="shared" ca="1" si="18"/>
        <v>0</v>
      </c>
      <c r="BT34" t="str">
        <f t="shared" ca="1" si="19"/>
        <v/>
      </c>
      <c r="BU34">
        <f t="shared" ca="1" si="20"/>
        <v>0</v>
      </c>
      <c r="BV34" t="str">
        <f t="shared" ca="1" si="21"/>
        <v/>
      </c>
      <c r="BW34">
        <f t="shared" ca="1" si="22"/>
        <v>0</v>
      </c>
      <c r="BX34" t="str">
        <f t="shared" ca="1" si="23"/>
        <v/>
      </c>
      <c r="BY34">
        <f t="shared" ca="1" si="24"/>
        <v>0</v>
      </c>
      <c r="BZ34" t="str">
        <f t="shared" ca="1" si="25"/>
        <v/>
      </c>
      <c r="CA34">
        <f t="shared" ca="1" si="26"/>
        <v>0</v>
      </c>
      <c r="CB34" t="str">
        <f t="shared" ca="1" si="27"/>
        <v/>
      </c>
      <c r="CC34">
        <f t="shared" ca="1" si="28"/>
        <v>0</v>
      </c>
    </row>
    <row r="35" spans="2:8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52">
        <f t="shared" si="39"/>
        <v>2000</v>
      </c>
      <c r="G35" s="52"/>
      <c r="H35" s="52">
        <v>2000</v>
      </c>
      <c r="I35" s="52">
        <v>100</v>
      </c>
      <c r="J35" s="52">
        <f t="shared" si="45"/>
        <v>2000</v>
      </c>
      <c r="K35" s="52"/>
      <c r="L35" s="52"/>
      <c r="M35" s="52"/>
      <c r="N35" s="52">
        <f t="shared" si="46"/>
        <v>2000</v>
      </c>
      <c r="O35" s="52"/>
      <c r="P35" s="52"/>
      <c r="Q35" s="52"/>
      <c r="R35" s="52">
        <f t="shared" si="49"/>
        <v>2000</v>
      </c>
      <c r="S35" s="52"/>
      <c r="T35" s="52"/>
      <c r="U35" s="52"/>
      <c r="V35" s="243"/>
      <c r="W35" s="52"/>
      <c r="X35" s="52"/>
      <c r="Y35" s="52"/>
      <c r="Z35" s="243"/>
      <c r="AA35" s="52"/>
      <c r="AB35" s="52"/>
      <c r="AC35" s="52"/>
      <c r="AD35" s="52">
        <f t="shared" si="50"/>
        <v>2000</v>
      </c>
      <c r="AE35" s="52"/>
      <c r="AF35" s="52">
        <v>4000</v>
      </c>
      <c r="AG35" s="52">
        <v>300</v>
      </c>
      <c r="AH35" s="52">
        <f t="shared" si="51"/>
        <v>2000</v>
      </c>
      <c r="AI35" s="52"/>
      <c r="AJ35" s="52"/>
      <c r="AK35" s="52"/>
      <c r="AL35" s="243"/>
      <c r="AM35" s="52"/>
      <c r="AN35" s="52"/>
      <c r="AO35" s="52"/>
      <c r="AP35" s="243"/>
      <c r="AQ35" s="52"/>
      <c r="AR35" s="52"/>
      <c r="AS35" s="52"/>
      <c r="AT35" s="243"/>
      <c r="AU35" s="52"/>
      <c r="AV35" s="52">
        <v>2000</v>
      </c>
      <c r="AW35" s="52">
        <v>100</v>
      </c>
      <c r="AX35" s="243"/>
      <c r="AY35" s="52"/>
      <c r="AZ35" s="52"/>
      <c r="BA35" s="52"/>
      <c r="BB35" s="52">
        <f t="shared" si="3"/>
        <v>20000</v>
      </c>
      <c r="BC35" s="52">
        <f t="shared" si="4"/>
        <v>500</v>
      </c>
      <c r="BE35">
        <f ca="1">'Monthly Collection-2023'!AY35</f>
        <v>0</v>
      </c>
      <c r="BF35" t="str">
        <f t="shared" ca="1" si="5"/>
        <v/>
      </c>
      <c r="BG35">
        <f t="shared" ca="1" si="6"/>
        <v>0</v>
      </c>
      <c r="BH35" t="str">
        <f t="shared" ca="1" si="7"/>
        <v/>
      </c>
      <c r="BI35">
        <f t="shared" ca="1" si="8"/>
        <v>0</v>
      </c>
      <c r="BJ35" t="str">
        <f t="shared" ca="1" si="9"/>
        <v/>
      </c>
      <c r="BK35">
        <f t="shared" ca="1" si="10"/>
        <v>0</v>
      </c>
      <c r="BL35" t="str">
        <f t="shared" ca="1" si="11"/>
        <v/>
      </c>
      <c r="BM35">
        <f t="shared" ca="1" si="12"/>
        <v>0</v>
      </c>
      <c r="BN35" t="str">
        <f t="shared" ca="1" si="13"/>
        <v>R</v>
      </c>
      <c r="BO35">
        <f t="shared" ca="1" si="14"/>
        <v>0</v>
      </c>
      <c r="BP35" t="str">
        <f t="shared" ca="1" si="15"/>
        <v>R</v>
      </c>
      <c r="BQ35">
        <f t="shared" ca="1" si="16"/>
        <v>0</v>
      </c>
      <c r="BR35" t="str">
        <f t="shared" ca="1" si="17"/>
        <v/>
      </c>
      <c r="BS35">
        <f t="shared" ca="1" si="18"/>
        <v>0</v>
      </c>
      <c r="BT35" t="str">
        <f t="shared" ca="1" si="19"/>
        <v/>
      </c>
      <c r="BU35">
        <f t="shared" ca="1" si="20"/>
        <v>0</v>
      </c>
      <c r="BV35" t="str">
        <f t="shared" ca="1" si="21"/>
        <v>R</v>
      </c>
      <c r="BW35">
        <f t="shared" ca="1" si="22"/>
        <v>0</v>
      </c>
      <c r="BX35" t="str">
        <f t="shared" ca="1" si="23"/>
        <v>R</v>
      </c>
      <c r="BY35">
        <f t="shared" ca="1" si="24"/>
        <v>0</v>
      </c>
      <c r="BZ35" t="str">
        <f t="shared" ca="1" si="25"/>
        <v>R</v>
      </c>
      <c r="CA35">
        <f t="shared" ca="1" si="26"/>
        <v>0</v>
      </c>
      <c r="CB35" t="str">
        <f t="shared" ca="1" si="27"/>
        <v>R</v>
      </c>
      <c r="CC35">
        <f t="shared" ca="1" si="28"/>
        <v>0</v>
      </c>
    </row>
    <row r="36" spans="2:81" ht="14.25" customHeight="1" x14ac:dyDescent="0.3">
      <c r="B36" s="55">
        <f t="shared" ref="B36:B67" si="52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>
        <f t="shared" si="39"/>
        <v>1000</v>
      </c>
      <c r="G36" s="56"/>
      <c r="H36" s="56">
        <v>1000</v>
      </c>
      <c r="I36" s="56">
        <v>50</v>
      </c>
      <c r="J36" s="56">
        <f t="shared" si="45"/>
        <v>1000</v>
      </c>
      <c r="K36" s="56"/>
      <c r="L36" s="56"/>
      <c r="M36" s="56"/>
      <c r="N36" s="56">
        <f t="shared" si="46"/>
        <v>1000</v>
      </c>
      <c r="O36" s="56"/>
      <c r="P36" s="56"/>
      <c r="Q36" s="56"/>
      <c r="R36" s="56">
        <f t="shared" si="49"/>
        <v>1000</v>
      </c>
      <c r="S36" s="56"/>
      <c r="T36" s="56"/>
      <c r="U36" s="56"/>
      <c r="V36" s="241"/>
      <c r="W36" s="56"/>
      <c r="X36" s="56"/>
      <c r="Y36" s="56"/>
      <c r="Z36" s="241"/>
      <c r="AA36" s="56"/>
      <c r="AB36" s="56">
        <v>1000</v>
      </c>
      <c r="AC36" s="56">
        <v>50</v>
      </c>
      <c r="AD36" s="56">
        <f t="shared" si="50"/>
        <v>1000</v>
      </c>
      <c r="AE36" s="56"/>
      <c r="AF36" s="56">
        <v>1000</v>
      </c>
      <c r="AG36" s="56">
        <v>100</v>
      </c>
      <c r="AH36" s="56">
        <f t="shared" si="51"/>
        <v>1000</v>
      </c>
      <c r="AI36" s="56"/>
      <c r="AJ36" s="56"/>
      <c r="AK36" s="56"/>
      <c r="AL36" s="56">
        <f t="shared" ref="AL36:AL43" si="53">$E36*1000</f>
        <v>1000</v>
      </c>
      <c r="AM36" s="56"/>
      <c r="AN36" s="56"/>
      <c r="AO36" s="56"/>
      <c r="AP36" s="56">
        <f t="shared" ref="AP36:AP48" si="54">$E36*1000</f>
        <v>1000</v>
      </c>
      <c r="AQ36" s="56"/>
      <c r="AR36" s="56"/>
      <c r="AS36" s="56"/>
      <c r="AT36" s="56">
        <f t="shared" ref="AT36:AT47" si="55">$E36*1000</f>
        <v>1000</v>
      </c>
      <c r="AU36" s="56"/>
      <c r="AV36" s="56"/>
      <c r="AW36" s="56"/>
      <c r="AX36" s="56">
        <f t="shared" ref="AX36:AX43" si="56">$E36*1000</f>
        <v>1000</v>
      </c>
      <c r="AY36" s="56"/>
      <c r="AZ36" s="56"/>
      <c r="BA36" s="56"/>
      <c r="BB36" s="56">
        <f t="shared" ref="BB36:BB67" si="57">F36+G36+H36+J36+K36+L36+N36+O36+P36+R36+S36+T36+V36+W36+X36+Z36+AA36+AB36+AD36+AE36+AF36+AH36+AI36+AJ36+AL36+AM36+AN36+AP36+AQ36+AR36+AT36+AU36+AV36+AX36+AY36+AZ36</f>
        <v>13000</v>
      </c>
      <c r="BC36" s="56">
        <f t="shared" ref="BC36:BC67" si="58">I36+M36+Q36+U36+Y36+AC36+AG36+AK36+AO36+AS36+AW36+BA36</f>
        <v>200</v>
      </c>
      <c r="BE36">
        <f ca="1">'Monthly Collection-2023'!AY36</f>
        <v>0</v>
      </c>
      <c r="BF36" t="str">
        <f t="shared" ref="BF36:BF67" ca="1" si="59">IF(N(F36)&gt;=$E36*1000,"",IF(AND($E36&gt;0,BE36&gt;=$E36*1000),"G",IF(F$2&lt;=TODAY(),"R","")))</f>
        <v/>
      </c>
      <c r="BG36">
        <f t="shared" ref="BG36:BG67" ca="1" si="60">BE36-IF(BF36="G",$E36*1000,0)+N(G36)</f>
        <v>0</v>
      </c>
      <c r="BH36" t="str">
        <f t="shared" ref="BH36:BH67" ca="1" si="61">IF(N(J36)&gt;=$E36*1000,"",IF(AND($E36&gt;0,BG36&gt;=$E36*1000),"G",IF(J$2&lt;=TODAY(),"R","")))</f>
        <v/>
      </c>
      <c r="BI36">
        <f t="shared" ref="BI36:BI67" ca="1" si="62">BG36-IF(BH36="G",$E36*1000,0)+N(K36)</f>
        <v>0</v>
      </c>
      <c r="BJ36" t="str">
        <f t="shared" ref="BJ36:BJ67" ca="1" si="63">IF(N(N36)&gt;=$E36*1000,"",IF(AND($E36&gt;0,BI36&gt;=$E36*1000),"G",IF(N$2&lt;=TODAY(),"R","")))</f>
        <v/>
      </c>
      <c r="BK36">
        <f t="shared" ref="BK36:BK67" ca="1" si="64">BI36-IF(BJ36="G",$E36*1000,0)+N(O36)</f>
        <v>0</v>
      </c>
      <c r="BL36" t="str">
        <f t="shared" ref="BL36:BL67" ca="1" si="65">IF(N(R36)&gt;=$E36*1000,"",IF(AND($E36&gt;0,BK36&gt;=$E36*1000),"G",IF(R$2&lt;=TODAY(),"R","")))</f>
        <v/>
      </c>
      <c r="BM36">
        <f t="shared" ref="BM36:BM67" ca="1" si="66">BK36-IF(BL36="G",$E36*1000,0)+N(S36)</f>
        <v>0</v>
      </c>
      <c r="BN36" t="str">
        <f t="shared" ref="BN36:BN67" ca="1" si="67">IF(N(V36)&gt;=$E36*1000,"",IF(AND($E36&gt;0,BM36&gt;=$E36*1000),"G",IF(V$2&lt;=TODAY(),"R","")))</f>
        <v>R</v>
      </c>
      <c r="BO36">
        <f t="shared" ref="BO36:BO67" ca="1" si="68">BM36-IF(BN36="G",$E36*1000,0)+N(W36)</f>
        <v>0</v>
      </c>
      <c r="BP36" t="str">
        <f t="shared" ref="BP36:BP67" ca="1" si="69">IF(N(Z36)&gt;=$E36*1000,"",IF(AND($E36&gt;0,BO36&gt;=$E36*1000),"G",IF(Z$2&lt;=TODAY(),"R","")))</f>
        <v>R</v>
      </c>
      <c r="BQ36">
        <f t="shared" ref="BQ36:BQ67" ca="1" si="70">BO36-IF(BP36="G",$E36*1000,0)+N(AA36)</f>
        <v>0</v>
      </c>
      <c r="BR36" t="str">
        <f t="shared" ref="BR36:BR67" ca="1" si="71">IF(N(AD36)&gt;=$E36*1000,"",IF(AND($E36&gt;0,BQ36&gt;=$E36*1000),"G",IF(AD$2&lt;=TODAY(),"R","")))</f>
        <v/>
      </c>
      <c r="BS36">
        <f t="shared" ref="BS36:BS67" ca="1" si="72">BQ36-IF(BR36="G",$E36*1000,0)+N(AE36)</f>
        <v>0</v>
      </c>
      <c r="BT36" t="str">
        <f t="shared" ref="BT36:BT67" ca="1" si="73">IF(N(AH36)&gt;=$E36*1000,"",IF(AND($E36&gt;0,BS36&gt;=$E36*1000),"G",IF(AH$2&lt;=TODAY(),"R","")))</f>
        <v/>
      </c>
      <c r="BU36">
        <f t="shared" ref="BU36:BU67" ca="1" si="74">BS36-IF(BT36="G",$E36*1000,0)+N(AI36)</f>
        <v>0</v>
      </c>
      <c r="BV36" t="str">
        <f t="shared" ref="BV36:BV67" ca="1" si="75">IF(N(AL36)&gt;=$E36*1000,"",IF(AND($E36&gt;0,BU36&gt;=$E36*1000),"G",IF(AL$2&lt;=TODAY(),"R","")))</f>
        <v/>
      </c>
      <c r="BW36">
        <f t="shared" ref="BW36:BW67" ca="1" si="76">BU36-IF(BV36="G",$E36*1000,0)+N(AM36)</f>
        <v>0</v>
      </c>
      <c r="BX36" t="str">
        <f t="shared" ref="BX36:BX67" ca="1" si="77">IF(N(AP36)&gt;=$E36*1000,"",IF(AND($E36&gt;0,BW36&gt;=$E36*1000),"G",IF(AP$2&lt;=TODAY(),"R","")))</f>
        <v/>
      </c>
      <c r="BY36">
        <f t="shared" ref="BY36:BY67" ca="1" si="78">BW36-IF(BX36="G",$E36*1000,0)+N(AQ36)</f>
        <v>0</v>
      </c>
      <c r="BZ36" t="str">
        <f t="shared" ref="BZ36:BZ67" ca="1" si="79">IF(N(AT36)&gt;=$E36*1000,"",IF(AND($E36&gt;0,BY36&gt;=$E36*1000),"G",IF(AT$2&lt;=TODAY(),"R","")))</f>
        <v/>
      </c>
      <c r="CA36">
        <f t="shared" ref="CA36:CA67" ca="1" si="80">BY36-IF(BZ36="G",$E36*1000,0)+N(AU36)</f>
        <v>0</v>
      </c>
      <c r="CB36" t="str">
        <f t="shared" ref="CB36:CB67" ca="1" si="81">IF(N(AX36)&gt;=$E36*1000,"",IF(AND($E36&gt;0,CA36&gt;=$E36*1000),"G",IF(AX$2&lt;=TODAY(),"R","")))</f>
        <v/>
      </c>
      <c r="CC36">
        <f t="shared" ref="CC36:CC67" ca="1" si="82">CA36-IF(CB36="G",$E36*1000,0)+N(AY36)</f>
        <v>0</v>
      </c>
    </row>
    <row r="37" spans="2:81" ht="14.25" customHeight="1" x14ac:dyDescent="0.3">
      <c r="B37" s="51">
        <f t="shared" si="52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>
        <f t="shared" si="39"/>
        <v>1000</v>
      </c>
      <c r="G37" s="52"/>
      <c r="H37" s="52"/>
      <c r="I37" s="52"/>
      <c r="J37" s="52">
        <f t="shared" si="45"/>
        <v>1000</v>
      </c>
      <c r="K37" s="52"/>
      <c r="L37" s="52"/>
      <c r="M37" s="52"/>
      <c r="N37" s="52">
        <f t="shared" si="46"/>
        <v>1000</v>
      </c>
      <c r="O37" s="52"/>
      <c r="P37" s="52"/>
      <c r="Q37" s="52"/>
      <c r="R37" s="52">
        <f t="shared" si="49"/>
        <v>1000</v>
      </c>
      <c r="S37" s="52"/>
      <c r="T37" s="52"/>
      <c r="U37" s="52"/>
      <c r="V37" s="52">
        <f t="shared" ref="V37:V43" si="83">$E37*1000</f>
        <v>1000</v>
      </c>
      <c r="W37" s="52"/>
      <c r="X37" s="52"/>
      <c r="Y37" s="52"/>
      <c r="Z37" s="52">
        <f t="shared" ref="Z37:Z48" si="84">$E37*1000</f>
        <v>1000</v>
      </c>
      <c r="AA37" s="52"/>
      <c r="AB37" s="52"/>
      <c r="AC37" s="52"/>
      <c r="AD37" s="52">
        <f t="shared" si="50"/>
        <v>1000</v>
      </c>
      <c r="AE37" s="52"/>
      <c r="AF37" s="52"/>
      <c r="AG37" s="52"/>
      <c r="AH37" s="52">
        <f t="shared" si="51"/>
        <v>1000</v>
      </c>
      <c r="AI37" s="52"/>
      <c r="AJ37" s="52"/>
      <c r="AK37" s="52"/>
      <c r="AL37" s="52">
        <f t="shared" si="53"/>
        <v>1000</v>
      </c>
      <c r="AM37" s="52"/>
      <c r="AN37" s="52"/>
      <c r="AO37" s="52"/>
      <c r="AP37" s="52">
        <f t="shared" si="54"/>
        <v>1000</v>
      </c>
      <c r="AQ37" s="52"/>
      <c r="AR37" s="52"/>
      <c r="AS37" s="52"/>
      <c r="AT37" s="52">
        <f t="shared" si="55"/>
        <v>1000</v>
      </c>
      <c r="AU37" s="52"/>
      <c r="AV37" s="52"/>
      <c r="AW37" s="52"/>
      <c r="AX37" s="52">
        <f t="shared" si="56"/>
        <v>1000</v>
      </c>
      <c r="AY37" s="52"/>
      <c r="AZ37" s="52"/>
      <c r="BA37" s="52"/>
      <c r="BB37" s="52">
        <f t="shared" si="57"/>
        <v>12000</v>
      </c>
      <c r="BC37" s="52">
        <f t="shared" si="58"/>
        <v>0</v>
      </c>
      <c r="BE37">
        <f ca="1">'Monthly Collection-2023'!AY37</f>
        <v>0</v>
      </c>
      <c r="BF37" t="str">
        <f t="shared" ca="1" si="59"/>
        <v/>
      </c>
      <c r="BG37">
        <f t="shared" ca="1" si="60"/>
        <v>0</v>
      </c>
      <c r="BH37" t="str">
        <f t="shared" ca="1" si="61"/>
        <v/>
      </c>
      <c r="BI37">
        <f t="shared" ca="1" si="62"/>
        <v>0</v>
      </c>
      <c r="BJ37" t="str">
        <f t="shared" ca="1" si="63"/>
        <v/>
      </c>
      <c r="BK37">
        <f t="shared" ca="1" si="64"/>
        <v>0</v>
      </c>
      <c r="BL37" t="str">
        <f t="shared" ca="1" si="65"/>
        <v/>
      </c>
      <c r="BM37">
        <f t="shared" ca="1" si="66"/>
        <v>0</v>
      </c>
      <c r="BN37" t="str">
        <f t="shared" ca="1" si="67"/>
        <v/>
      </c>
      <c r="BO37">
        <f t="shared" ca="1" si="68"/>
        <v>0</v>
      </c>
      <c r="BP37" t="str">
        <f t="shared" ca="1" si="69"/>
        <v/>
      </c>
      <c r="BQ37">
        <f t="shared" ca="1" si="70"/>
        <v>0</v>
      </c>
      <c r="BR37" t="str">
        <f t="shared" ca="1" si="71"/>
        <v/>
      </c>
      <c r="BS37">
        <f t="shared" ca="1" si="72"/>
        <v>0</v>
      </c>
      <c r="BT37" t="str">
        <f t="shared" ca="1" si="73"/>
        <v/>
      </c>
      <c r="BU37">
        <f t="shared" ca="1" si="74"/>
        <v>0</v>
      </c>
      <c r="BV37" t="str">
        <f t="shared" ca="1" si="75"/>
        <v/>
      </c>
      <c r="BW37">
        <f t="shared" ca="1" si="76"/>
        <v>0</v>
      </c>
      <c r="BX37" t="str">
        <f t="shared" ca="1" si="77"/>
        <v/>
      </c>
      <c r="BY37">
        <f t="shared" ca="1" si="78"/>
        <v>0</v>
      </c>
      <c r="BZ37" t="str">
        <f t="shared" ca="1" si="79"/>
        <v/>
      </c>
      <c r="CA37">
        <f t="shared" ca="1" si="80"/>
        <v>0</v>
      </c>
      <c r="CB37" t="str">
        <f t="shared" ca="1" si="81"/>
        <v/>
      </c>
      <c r="CC37">
        <f t="shared" ca="1" si="82"/>
        <v>0</v>
      </c>
    </row>
    <row r="38" spans="2:81" ht="14.25" customHeight="1" x14ac:dyDescent="0.3">
      <c r="B38" s="55">
        <f t="shared" si="52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>
        <f t="shared" si="39"/>
        <v>2000</v>
      </c>
      <c r="G38" s="56"/>
      <c r="H38" s="56"/>
      <c r="I38" s="56"/>
      <c r="J38" s="56">
        <f t="shared" si="45"/>
        <v>2000</v>
      </c>
      <c r="K38" s="56"/>
      <c r="L38" s="56"/>
      <c r="M38" s="56"/>
      <c r="N38" s="56">
        <f t="shared" si="46"/>
        <v>2000</v>
      </c>
      <c r="O38" s="56"/>
      <c r="P38" s="56"/>
      <c r="Q38" s="56"/>
      <c r="R38" s="57">
        <v>2000</v>
      </c>
      <c r="S38" s="56"/>
      <c r="T38" s="56"/>
      <c r="U38" s="56"/>
      <c r="V38" s="56">
        <f t="shared" si="83"/>
        <v>2000</v>
      </c>
      <c r="W38" s="56"/>
      <c r="X38" s="56"/>
      <c r="Y38" s="56"/>
      <c r="Z38" s="56">
        <f t="shared" si="84"/>
        <v>2000</v>
      </c>
      <c r="AA38" s="56"/>
      <c r="AB38" s="56"/>
      <c r="AC38" s="56"/>
      <c r="AD38" s="56">
        <f t="shared" si="50"/>
        <v>2000</v>
      </c>
      <c r="AE38" s="56"/>
      <c r="AF38" s="56"/>
      <c r="AG38" s="56"/>
      <c r="AH38" s="56">
        <f t="shared" si="51"/>
        <v>2000</v>
      </c>
      <c r="AI38" s="56"/>
      <c r="AJ38" s="56"/>
      <c r="AK38" s="56"/>
      <c r="AL38" s="56">
        <f t="shared" si="53"/>
        <v>2000</v>
      </c>
      <c r="AM38" s="56"/>
      <c r="AN38" s="56"/>
      <c r="AO38" s="56"/>
      <c r="AP38" s="56">
        <f t="shared" si="54"/>
        <v>2000</v>
      </c>
      <c r="AQ38" s="56"/>
      <c r="AR38" s="56"/>
      <c r="AS38" s="56"/>
      <c r="AT38" s="56">
        <f t="shared" si="55"/>
        <v>2000</v>
      </c>
      <c r="AU38" s="56"/>
      <c r="AV38" s="56"/>
      <c r="AW38" s="56"/>
      <c r="AX38" s="56">
        <f t="shared" si="56"/>
        <v>2000</v>
      </c>
      <c r="AY38" s="56"/>
      <c r="AZ38" s="56"/>
      <c r="BA38" s="56"/>
      <c r="BB38" s="56">
        <f t="shared" si="57"/>
        <v>24000</v>
      </c>
      <c r="BC38" s="56">
        <f t="shared" si="58"/>
        <v>0</v>
      </c>
      <c r="BE38">
        <f ca="1">'Monthly Collection-2023'!AY38</f>
        <v>0</v>
      </c>
      <c r="BF38" t="str">
        <f t="shared" ca="1" si="59"/>
        <v/>
      </c>
      <c r="BG38">
        <f t="shared" ca="1" si="60"/>
        <v>0</v>
      </c>
      <c r="BH38" t="str">
        <f t="shared" ca="1" si="61"/>
        <v/>
      </c>
      <c r="BI38">
        <f t="shared" ca="1" si="62"/>
        <v>0</v>
      </c>
      <c r="BJ38" t="str">
        <f t="shared" ca="1" si="63"/>
        <v/>
      </c>
      <c r="BK38">
        <f t="shared" ca="1" si="64"/>
        <v>0</v>
      </c>
      <c r="BL38" t="str">
        <f t="shared" ca="1" si="65"/>
        <v/>
      </c>
      <c r="BM38">
        <f t="shared" ca="1" si="66"/>
        <v>0</v>
      </c>
      <c r="BN38" t="str">
        <f t="shared" ca="1" si="67"/>
        <v/>
      </c>
      <c r="BO38">
        <f t="shared" ca="1" si="68"/>
        <v>0</v>
      </c>
      <c r="BP38" t="str">
        <f t="shared" ca="1" si="69"/>
        <v/>
      </c>
      <c r="BQ38">
        <f t="shared" ca="1" si="70"/>
        <v>0</v>
      </c>
      <c r="BR38" t="str">
        <f t="shared" ca="1" si="71"/>
        <v/>
      </c>
      <c r="BS38">
        <f t="shared" ca="1" si="72"/>
        <v>0</v>
      </c>
      <c r="BT38" t="str">
        <f t="shared" ca="1" si="73"/>
        <v/>
      </c>
      <c r="BU38">
        <f t="shared" ca="1" si="74"/>
        <v>0</v>
      </c>
      <c r="BV38" t="str">
        <f t="shared" ca="1" si="75"/>
        <v/>
      </c>
      <c r="BW38">
        <f t="shared" ca="1" si="76"/>
        <v>0</v>
      </c>
      <c r="BX38" t="str">
        <f t="shared" ca="1" si="77"/>
        <v/>
      </c>
      <c r="BY38">
        <f t="shared" ca="1" si="78"/>
        <v>0</v>
      </c>
      <c r="BZ38" t="str">
        <f t="shared" ca="1" si="79"/>
        <v/>
      </c>
      <c r="CA38">
        <f t="shared" ca="1" si="80"/>
        <v>0</v>
      </c>
      <c r="CB38" t="str">
        <f t="shared" ca="1" si="81"/>
        <v/>
      </c>
      <c r="CC38">
        <f t="shared" ca="1" si="82"/>
        <v>0</v>
      </c>
    </row>
    <row r="39" spans="2:81" ht="14.25" customHeight="1" x14ac:dyDescent="0.3">
      <c r="B39" s="51">
        <f t="shared" si="52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>
        <f t="shared" si="39"/>
        <v>1000</v>
      </c>
      <c r="G39" s="52"/>
      <c r="H39" s="52"/>
      <c r="I39" s="52"/>
      <c r="J39" s="52">
        <f t="shared" si="45"/>
        <v>1000</v>
      </c>
      <c r="K39" s="52"/>
      <c r="L39" s="52"/>
      <c r="M39" s="52"/>
      <c r="N39" s="52">
        <f t="shared" si="46"/>
        <v>1000</v>
      </c>
      <c r="O39" s="52"/>
      <c r="P39" s="52"/>
      <c r="Q39" s="52"/>
      <c r="R39" s="52">
        <f t="shared" ref="R39:R48" si="85">$E39*1000</f>
        <v>1000</v>
      </c>
      <c r="S39" s="52"/>
      <c r="T39" s="52"/>
      <c r="U39" s="52"/>
      <c r="V39" s="52">
        <f t="shared" si="83"/>
        <v>1000</v>
      </c>
      <c r="W39" s="52"/>
      <c r="X39" s="52"/>
      <c r="Y39" s="52"/>
      <c r="Z39" s="52">
        <f t="shared" si="84"/>
        <v>1000</v>
      </c>
      <c r="AA39" s="52"/>
      <c r="AB39" s="52"/>
      <c r="AC39" s="52"/>
      <c r="AD39" s="52">
        <f t="shared" si="50"/>
        <v>1000</v>
      </c>
      <c r="AE39" s="52"/>
      <c r="AF39" s="52"/>
      <c r="AG39" s="52"/>
      <c r="AH39" s="52">
        <f t="shared" si="51"/>
        <v>1000</v>
      </c>
      <c r="AI39" s="52"/>
      <c r="AJ39" s="52"/>
      <c r="AK39" s="52"/>
      <c r="AL39" s="52">
        <f t="shared" si="53"/>
        <v>1000</v>
      </c>
      <c r="AM39" s="52"/>
      <c r="AN39" s="52"/>
      <c r="AO39" s="52"/>
      <c r="AP39" s="52">
        <f t="shared" si="54"/>
        <v>1000</v>
      </c>
      <c r="AQ39" s="52"/>
      <c r="AR39" s="52"/>
      <c r="AS39" s="52"/>
      <c r="AT39" s="52">
        <f t="shared" si="55"/>
        <v>1000</v>
      </c>
      <c r="AU39" s="52"/>
      <c r="AV39" s="52"/>
      <c r="AW39" s="52"/>
      <c r="AX39" s="52">
        <f t="shared" si="56"/>
        <v>1000</v>
      </c>
      <c r="AY39" s="52"/>
      <c r="AZ39" s="52"/>
      <c r="BA39" s="52"/>
      <c r="BB39" s="52">
        <f t="shared" si="57"/>
        <v>12000</v>
      </c>
      <c r="BC39" s="52">
        <f t="shared" si="58"/>
        <v>0</v>
      </c>
      <c r="BE39">
        <f ca="1">'Monthly Collection-2023'!AY39</f>
        <v>0</v>
      </c>
      <c r="BF39" t="str">
        <f t="shared" ca="1" si="59"/>
        <v/>
      </c>
      <c r="BG39">
        <f t="shared" ca="1" si="60"/>
        <v>0</v>
      </c>
      <c r="BH39" t="str">
        <f t="shared" ca="1" si="61"/>
        <v/>
      </c>
      <c r="BI39">
        <f t="shared" ca="1" si="62"/>
        <v>0</v>
      </c>
      <c r="BJ39" t="str">
        <f t="shared" ca="1" si="63"/>
        <v/>
      </c>
      <c r="BK39">
        <f t="shared" ca="1" si="64"/>
        <v>0</v>
      </c>
      <c r="BL39" t="str">
        <f t="shared" ca="1" si="65"/>
        <v/>
      </c>
      <c r="BM39">
        <f t="shared" ca="1" si="66"/>
        <v>0</v>
      </c>
      <c r="BN39" t="str">
        <f t="shared" ca="1" si="67"/>
        <v/>
      </c>
      <c r="BO39">
        <f t="shared" ca="1" si="68"/>
        <v>0</v>
      </c>
      <c r="BP39" t="str">
        <f t="shared" ca="1" si="69"/>
        <v/>
      </c>
      <c r="BQ39">
        <f t="shared" ca="1" si="70"/>
        <v>0</v>
      </c>
      <c r="BR39" t="str">
        <f t="shared" ca="1" si="71"/>
        <v/>
      </c>
      <c r="BS39">
        <f t="shared" ca="1" si="72"/>
        <v>0</v>
      </c>
      <c r="BT39" t="str">
        <f t="shared" ca="1" si="73"/>
        <v/>
      </c>
      <c r="BU39">
        <f t="shared" ca="1" si="74"/>
        <v>0</v>
      </c>
      <c r="BV39" t="str">
        <f t="shared" ca="1" si="75"/>
        <v/>
      </c>
      <c r="BW39">
        <f t="shared" ca="1" si="76"/>
        <v>0</v>
      </c>
      <c r="BX39" t="str">
        <f t="shared" ca="1" si="77"/>
        <v/>
      </c>
      <c r="BY39">
        <f t="shared" ca="1" si="78"/>
        <v>0</v>
      </c>
      <c r="BZ39" t="str">
        <f t="shared" ca="1" si="79"/>
        <v/>
      </c>
      <c r="CA39">
        <f t="shared" ca="1" si="80"/>
        <v>0</v>
      </c>
      <c r="CB39" t="str">
        <f t="shared" ca="1" si="81"/>
        <v/>
      </c>
      <c r="CC39">
        <f t="shared" ca="1" si="82"/>
        <v>0</v>
      </c>
    </row>
    <row r="40" spans="2:81" ht="14.25" customHeight="1" x14ac:dyDescent="0.3">
      <c r="B40" s="55">
        <f t="shared" si="52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>
        <f t="shared" si="39"/>
        <v>2000</v>
      </c>
      <c r="G40" s="56"/>
      <c r="H40" s="56"/>
      <c r="I40" s="56"/>
      <c r="J40" s="56">
        <f t="shared" si="45"/>
        <v>2000</v>
      </c>
      <c r="K40" s="56"/>
      <c r="L40" s="56"/>
      <c r="M40" s="56"/>
      <c r="N40" s="56">
        <f t="shared" si="46"/>
        <v>2000</v>
      </c>
      <c r="O40" s="56"/>
      <c r="P40" s="56"/>
      <c r="Q40" s="56"/>
      <c r="R40" s="56">
        <f t="shared" si="85"/>
        <v>2000</v>
      </c>
      <c r="S40" s="56"/>
      <c r="T40" s="56"/>
      <c r="U40" s="56"/>
      <c r="V40" s="56">
        <f t="shared" si="83"/>
        <v>2000</v>
      </c>
      <c r="W40" s="56"/>
      <c r="X40" s="56"/>
      <c r="Y40" s="56"/>
      <c r="Z40" s="56">
        <f t="shared" si="84"/>
        <v>2000</v>
      </c>
      <c r="AA40" s="56"/>
      <c r="AB40" s="56"/>
      <c r="AC40" s="56"/>
      <c r="AD40" s="56">
        <f t="shared" si="50"/>
        <v>2000</v>
      </c>
      <c r="AE40" s="56"/>
      <c r="AF40" s="56"/>
      <c r="AG40" s="56"/>
      <c r="AH40" s="56">
        <f t="shared" si="51"/>
        <v>2000</v>
      </c>
      <c r="AI40" s="56"/>
      <c r="AJ40" s="56"/>
      <c r="AK40" s="56"/>
      <c r="AL40" s="56">
        <f t="shared" si="53"/>
        <v>2000</v>
      </c>
      <c r="AM40" s="56"/>
      <c r="AN40" s="56"/>
      <c r="AO40" s="56"/>
      <c r="AP40" s="56">
        <f t="shared" si="54"/>
        <v>2000</v>
      </c>
      <c r="AQ40" s="56"/>
      <c r="AR40" s="56"/>
      <c r="AS40" s="56"/>
      <c r="AT40" s="56">
        <f t="shared" si="55"/>
        <v>2000</v>
      </c>
      <c r="AU40" s="56"/>
      <c r="AV40" s="56"/>
      <c r="AW40" s="56"/>
      <c r="AX40" s="56">
        <f t="shared" si="56"/>
        <v>2000</v>
      </c>
      <c r="AY40" s="56"/>
      <c r="AZ40" s="56"/>
      <c r="BA40" s="56"/>
      <c r="BB40" s="56">
        <f t="shared" si="57"/>
        <v>24000</v>
      </c>
      <c r="BC40" s="56">
        <f t="shared" si="58"/>
        <v>0</v>
      </c>
      <c r="BE40">
        <f ca="1">'Monthly Collection-2023'!AY40</f>
        <v>0</v>
      </c>
      <c r="BF40" t="str">
        <f t="shared" ca="1" si="59"/>
        <v/>
      </c>
      <c r="BG40">
        <f t="shared" ca="1" si="60"/>
        <v>0</v>
      </c>
      <c r="BH40" t="str">
        <f t="shared" ca="1" si="61"/>
        <v/>
      </c>
      <c r="BI40">
        <f t="shared" ca="1" si="62"/>
        <v>0</v>
      </c>
      <c r="BJ40" t="str">
        <f t="shared" ca="1" si="63"/>
        <v/>
      </c>
      <c r="BK40">
        <f t="shared" ca="1" si="64"/>
        <v>0</v>
      </c>
      <c r="BL40" t="str">
        <f t="shared" ca="1" si="65"/>
        <v/>
      </c>
      <c r="BM40">
        <f t="shared" ca="1" si="66"/>
        <v>0</v>
      </c>
      <c r="BN40" t="str">
        <f t="shared" ca="1" si="67"/>
        <v/>
      </c>
      <c r="BO40">
        <f t="shared" ca="1" si="68"/>
        <v>0</v>
      </c>
      <c r="BP40" t="str">
        <f t="shared" ca="1" si="69"/>
        <v/>
      </c>
      <c r="BQ40">
        <f t="shared" ca="1" si="70"/>
        <v>0</v>
      </c>
      <c r="BR40" t="str">
        <f t="shared" ca="1" si="71"/>
        <v/>
      </c>
      <c r="BS40">
        <f t="shared" ca="1" si="72"/>
        <v>0</v>
      </c>
      <c r="BT40" t="str">
        <f t="shared" ca="1" si="73"/>
        <v/>
      </c>
      <c r="BU40">
        <f t="shared" ca="1" si="74"/>
        <v>0</v>
      </c>
      <c r="BV40" t="str">
        <f t="shared" ca="1" si="75"/>
        <v/>
      </c>
      <c r="BW40">
        <f t="shared" ca="1" si="76"/>
        <v>0</v>
      </c>
      <c r="BX40" t="str">
        <f t="shared" ca="1" si="77"/>
        <v/>
      </c>
      <c r="BY40">
        <f t="shared" ca="1" si="78"/>
        <v>0</v>
      </c>
      <c r="BZ40" t="str">
        <f t="shared" ca="1" si="79"/>
        <v/>
      </c>
      <c r="CA40">
        <f t="shared" ca="1" si="80"/>
        <v>0</v>
      </c>
      <c r="CB40" t="str">
        <f t="shared" ca="1" si="81"/>
        <v/>
      </c>
      <c r="CC40">
        <f t="shared" ca="1" si="82"/>
        <v>0</v>
      </c>
    </row>
    <row r="41" spans="2:81" ht="14.25" customHeight="1" x14ac:dyDescent="0.3">
      <c r="B41" s="51">
        <f t="shared" si="52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>
        <f t="shared" si="39"/>
        <v>2000</v>
      </c>
      <c r="G41" s="52"/>
      <c r="H41" s="52"/>
      <c r="I41" s="52"/>
      <c r="J41" s="52">
        <f t="shared" si="45"/>
        <v>2000</v>
      </c>
      <c r="K41" s="52"/>
      <c r="L41" s="52"/>
      <c r="M41" s="52"/>
      <c r="N41" s="52">
        <f t="shared" si="46"/>
        <v>2000</v>
      </c>
      <c r="O41" s="52"/>
      <c r="P41" s="52"/>
      <c r="Q41" s="52"/>
      <c r="R41" s="52">
        <f t="shared" si="85"/>
        <v>2000</v>
      </c>
      <c r="S41" s="52"/>
      <c r="T41" s="52"/>
      <c r="U41" s="52"/>
      <c r="V41" s="52">
        <f t="shared" si="83"/>
        <v>2000</v>
      </c>
      <c r="W41" s="52"/>
      <c r="X41" s="52"/>
      <c r="Y41" s="52"/>
      <c r="Z41" s="52">
        <f t="shared" si="84"/>
        <v>2000</v>
      </c>
      <c r="AA41" s="52"/>
      <c r="AB41" s="52"/>
      <c r="AC41" s="52"/>
      <c r="AD41" s="52">
        <f t="shared" si="50"/>
        <v>2000</v>
      </c>
      <c r="AE41" s="52"/>
      <c r="AF41" s="52"/>
      <c r="AG41" s="52"/>
      <c r="AH41" s="52">
        <f t="shared" si="51"/>
        <v>2000</v>
      </c>
      <c r="AI41" s="52"/>
      <c r="AJ41" s="52"/>
      <c r="AK41" s="52"/>
      <c r="AL41" s="52">
        <f t="shared" si="53"/>
        <v>2000</v>
      </c>
      <c r="AM41" s="52"/>
      <c r="AN41" s="52"/>
      <c r="AO41" s="52"/>
      <c r="AP41" s="52">
        <f t="shared" si="54"/>
        <v>2000</v>
      </c>
      <c r="AQ41" s="52"/>
      <c r="AR41" s="52"/>
      <c r="AS41" s="52"/>
      <c r="AT41" s="52">
        <f t="shared" si="55"/>
        <v>2000</v>
      </c>
      <c r="AU41" s="52"/>
      <c r="AV41" s="52"/>
      <c r="AW41" s="52"/>
      <c r="AX41" s="52">
        <f t="shared" si="56"/>
        <v>2000</v>
      </c>
      <c r="AY41" s="52"/>
      <c r="AZ41" s="52"/>
      <c r="BA41" s="52"/>
      <c r="BB41" s="52">
        <f t="shared" si="57"/>
        <v>24000</v>
      </c>
      <c r="BC41" s="52">
        <f t="shared" si="58"/>
        <v>0</v>
      </c>
      <c r="BE41">
        <f ca="1">'Monthly Collection-2023'!AY41</f>
        <v>0</v>
      </c>
      <c r="BF41" t="str">
        <f t="shared" ca="1" si="59"/>
        <v/>
      </c>
      <c r="BG41">
        <f t="shared" ca="1" si="60"/>
        <v>0</v>
      </c>
      <c r="BH41" t="str">
        <f t="shared" ca="1" si="61"/>
        <v/>
      </c>
      <c r="BI41">
        <f t="shared" ca="1" si="62"/>
        <v>0</v>
      </c>
      <c r="BJ41" t="str">
        <f t="shared" ca="1" si="63"/>
        <v/>
      </c>
      <c r="BK41">
        <f t="shared" ca="1" si="64"/>
        <v>0</v>
      </c>
      <c r="BL41" t="str">
        <f t="shared" ca="1" si="65"/>
        <v/>
      </c>
      <c r="BM41">
        <f t="shared" ca="1" si="66"/>
        <v>0</v>
      </c>
      <c r="BN41" t="str">
        <f t="shared" ca="1" si="67"/>
        <v/>
      </c>
      <c r="BO41">
        <f t="shared" ca="1" si="68"/>
        <v>0</v>
      </c>
      <c r="BP41" t="str">
        <f t="shared" ca="1" si="69"/>
        <v/>
      </c>
      <c r="BQ41">
        <f t="shared" ca="1" si="70"/>
        <v>0</v>
      </c>
      <c r="BR41" t="str">
        <f t="shared" ca="1" si="71"/>
        <v/>
      </c>
      <c r="BS41">
        <f t="shared" ca="1" si="72"/>
        <v>0</v>
      </c>
      <c r="BT41" t="str">
        <f t="shared" ca="1" si="73"/>
        <v/>
      </c>
      <c r="BU41">
        <f t="shared" ca="1" si="74"/>
        <v>0</v>
      </c>
      <c r="BV41" t="str">
        <f t="shared" ca="1" si="75"/>
        <v/>
      </c>
      <c r="BW41">
        <f t="shared" ca="1" si="76"/>
        <v>0</v>
      </c>
      <c r="BX41" t="str">
        <f t="shared" ca="1" si="77"/>
        <v/>
      </c>
      <c r="BY41">
        <f t="shared" ca="1" si="78"/>
        <v>0</v>
      </c>
      <c r="BZ41" t="str">
        <f t="shared" ca="1" si="79"/>
        <v/>
      </c>
      <c r="CA41">
        <f t="shared" ca="1" si="80"/>
        <v>0</v>
      </c>
      <c r="CB41" t="str">
        <f t="shared" ca="1" si="81"/>
        <v/>
      </c>
      <c r="CC41">
        <f t="shared" ca="1" si="82"/>
        <v>0</v>
      </c>
    </row>
    <row r="42" spans="2:81" ht="14.25" customHeight="1" x14ac:dyDescent="0.3">
      <c r="B42" s="55">
        <f t="shared" si="52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>
        <f t="shared" si="39"/>
        <v>2000</v>
      </c>
      <c r="G42" s="56"/>
      <c r="H42" s="56"/>
      <c r="I42" s="56"/>
      <c r="J42" s="56">
        <f t="shared" si="45"/>
        <v>2000</v>
      </c>
      <c r="K42" s="56"/>
      <c r="L42" s="56"/>
      <c r="M42" s="56"/>
      <c r="N42" s="56">
        <f t="shared" si="46"/>
        <v>2000</v>
      </c>
      <c r="O42" s="56"/>
      <c r="P42" s="56"/>
      <c r="Q42" s="56"/>
      <c r="R42" s="245"/>
      <c r="S42" s="56"/>
      <c r="T42" s="56"/>
      <c r="U42" s="56"/>
      <c r="V42" s="56">
        <f t="shared" si="83"/>
        <v>2000</v>
      </c>
      <c r="W42" s="56"/>
      <c r="X42" s="56">
        <v>2000</v>
      </c>
      <c r="Y42" s="56">
        <v>100</v>
      </c>
      <c r="Z42" s="56">
        <f t="shared" si="84"/>
        <v>2000</v>
      </c>
      <c r="AA42" s="56"/>
      <c r="AB42" s="56"/>
      <c r="AC42" s="56"/>
      <c r="AD42" s="56">
        <f t="shared" si="50"/>
        <v>2000</v>
      </c>
      <c r="AE42" s="56"/>
      <c r="AF42" s="56"/>
      <c r="AG42" s="56"/>
      <c r="AH42" s="56">
        <f t="shared" si="51"/>
        <v>2000</v>
      </c>
      <c r="AI42" s="56"/>
      <c r="AJ42" s="56"/>
      <c r="AK42" s="56"/>
      <c r="AL42" s="56">
        <f t="shared" si="53"/>
        <v>2000</v>
      </c>
      <c r="AM42" s="56"/>
      <c r="AN42" s="56"/>
      <c r="AO42" s="56"/>
      <c r="AP42" s="56">
        <f t="shared" si="54"/>
        <v>2000</v>
      </c>
      <c r="AQ42" s="56"/>
      <c r="AR42" s="56"/>
      <c r="AS42" s="56"/>
      <c r="AT42" s="56">
        <f t="shared" si="55"/>
        <v>2000</v>
      </c>
      <c r="AU42" s="56"/>
      <c r="AV42" s="56"/>
      <c r="AW42" s="56"/>
      <c r="AX42" s="56">
        <f t="shared" si="56"/>
        <v>2000</v>
      </c>
      <c r="AY42" s="56"/>
      <c r="AZ42" s="56"/>
      <c r="BA42" s="56"/>
      <c r="BB42" s="56">
        <f t="shared" si="57"/>
        <v>24000</v>
      </c>
      <c r="BC42" s="56">
        <f t="shared" si="58"/>
        <v>100</v>
      </c>
      <c r="BE42">
        <f ca="1">'Monthly Collection-2023'!AY42</f>
        <v>0</v>
      </c>
      <c r="BF42" t="str">
        <f t="shared" ca="1" si="59"/>
        <v/>
      </c>
      <c r="BG42">
        <f t="shared" ca="1" si="60"/>
        <v>0</v>
      </c>
      <c r="BH42" t="str">
        <f t="shared" ca="1" si="61"/>
        <v/>
      </c>
      <c r="BI42">
        <f t="shared" ca="1" si="62"/>
        <v>0</v>
      </c>
      <c r="BJ42" t="str">
        <f t="shared" ca="1" si="63"/>
        <v/>
      </c>
      <c r="BK42">
        <f t="shared" ca="1" si="64"/>
        <v>0</v>
      </c>
      <c r="BL42" t="str">
        <f t="shared" ca="1" si="65"/>
        <v>R</v>
      </c>
      <c r="BM42">
        <f t="shared" ca="1" si="66"/>
        <v>0</v>
      </c>
      <c r="BN42" t="str">
        <f t="shared" ca="1" si="67"/>
        <v/>
      </c>
      <c r="BO42">
        <f t="shared" ca="1" si="68"/>
        <v>0</v>
      </c>
      <c r="BP42" t="str">
        <f t="shared" ca="1" si="69"/>
        <v/>
      </c>
      <c r="BQ42">
        <f t="shared" ca="1" si="70"/>
        <v>0</v>
      </c>
      <c r="BR42" t="str">
        <f t="shared" ca="1" si="71"/>
        <v/>
      </c>
      <c r="BS42">
        <f t="shared" ca="1" si="72"/>
        <v>0</v>
      </c>
      <c r="BT42" t="str">
        <f t="shared" ca="1" si="73"/>
        <v/>
      </c>
      <c r="BU42">
        <f t="shared" ca="1" si="74"/>
        <v>0</v>
      </c>
      <c r="BV42" t="str">
        <f t="shared" ca="1" si="75"/>
        <v/>
      </c>
      <c r="BW42">
        <f t="shared" ca="1" si="76"/>
        <v>0</v>
      </c>
      <c r="BX42" t="str">
        <f t="shared" ca="1" si="77"/>
        <v/>
      </c>
      <c r="BY42">
        <f t="shared" ca="1" si="78"/>
        <v>0</v>
      </c>
      <c r="BZ42" t="str">
        <f t="shared" ca="1" si="79"/>
        <v/>
      </c>
      <c r="CA42">
        <f t="shared" ca="1" si="80"/>
        <v>0</v>
      </c>
      <c r="CB42" t="str">
        <f t="shared" ca="1" si="81"/>
        <v/>
      </c>
      <c r="CC42">
        <f t="shared" ca="1" si="82"/>
        <v>0</v>
      </c>
    </row>
    <row r="43" spans="2:81" ht="14.25" customHeight="1" x14ac:dyDescent="0.3">
      <c r="B43" s="51">
        <f t="shared" si="52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>
        <f t="shared" si="39"/>
        <v>2000</v>
      </c>
      <c r="G43" s="52"/>
      <c r="H43" s="52"/>
      <c r="I43" s="52"/>
      <c r="J43" s="52">
        <f t="shared" si="45"/>
        <v>2000</v>
      </c>
      <c r="K43" s="52"/>
      <c r="L43" s="52"/>
      <c r="M43" s="52"/>
      <c r="N43" s="52">
        <f t="shared" si="46"/>
        <v>2000</v>
      </c>
      <c r="O43" s="52"/>
      <c r="P43" s="52"/>
      <c r="Q43" s="52"/>
      <c r="R43" s="52">
        <f t="shared" si="85"/>
        <v>2000</v>
      </c>
      <c r="S43" s="52"/>
      <c r="T43" s="52"/>
      <c r="U43" s="52"/>
      <c r="V43" s="52">
        <f t="shared" si="83"/>
        <v>2000</v>
      </c>
      <c r="W43" s="52"/>
      <c r="X43" s="52"/>
      <c r="Y43" s="52"/>
      <c r="Z43" s="52">
        <f t="shared" si="84"/>
        <v>2000</v>
      </c>
      <c r="AA43" s="52"/>
      <c r="AB43" s="52"/>
      <c r="AC43" s="52"/>
      <c r="AD43" s="52">
        <f t="shared" si="50"/>
        <v>2000</v>
      </c>
      <c r="AE43" s="52"/>
      <c r="AF43" s="52"/>
      <c r="AG43" s="52"/>
      <c r="AH43" s="52">
        <f t="shared" si="51"/>
        <v>2000</v>
      </c>
      <c r="AI43" s="52"/>
      <c r="AJ43" s="52"/>
      <c r="AK43" s="52"/>
      <c r="AL43" s="52">
        <f t="shared" si="53"/>
        <v>2000</v>
      </c>
      <c r="AM43" s="52"/>
      <c r="AN43" s="52"/>
      <c r="AO43" s="52"/>
      <c r="AP43" s="52">
        <f t="shared" si="54"/>
        <v>2000</v>
      </c>
      <c r="AQ43" s="52"/>
      <c r="AR43" s="52"/>
      <c r="AS43" s="52"/>
      <c r="AT43" s="52">
        <f t="shared" si="55"/>
        <v>2000</v>
      </c>
      <c r="AU43" s="52"/>
      <c r="AV43" s="52"/>
      <c r="AW43" s="52"/>
      <c r="AX43" s="52">
        <f t="shared" si="56"/>
        <v>2000</v>
      </c>
      <c r="AY43" s="52"/>
      <c r="AZ43" s="52"/>
      <c r="BA43" s="52"/>
      <c r="BB43" s="52">
        <f t="shared" si="57"/>
        <v>24000</v>
      </c>
      <c r="BC43" s="52">
        <f t="shared" si="58"/>
        <v>0</v>
      </c>
      <c r="BE43">
        <f ca="1">'Monthly Collection-2023'!AY43</f>
        <v>0</v>
      </c>
      <c r="BF43" t="str">
        <f t="shared" ca="1" si="59"/>
        <v/>
      </c>
      <c r="BG43">
        <f t="shared" ca="1" si="60"/>
        <v>0</v>
      </c>
      <c r="BH43" t="str">
        <f t="shared" ca="1" si="61"/>
        <v/>
      </c>
      <c r="BI43">
        <f t="shared" ca="1" si="62"/>
        <v>0</v>
      </c>
      <c r="BJ43" t="str">
        <f t="shared" ca="1" si="63"/>
        <v/>
      </c>
      <c r="BK43">
        <f t="shared" ca="1" si="64"/>
        <v>0</v>
      </c>
      <c r="BL43" t="str">
        <f t="shared" ca="1" si="65"/>
        <v/>
      </c>
      <c r="BM43">
        <f t="shared" ca="1" si="66"/>
        <v>0</v>
      </c>
      <c r="BN43" t="str">
        <f t="shared" ca="1" si="67"/>
        <v/>
      </c>
      <c r="BO43">
        <f t="shared" ca="1" si="68"/>
        <v>0</v>
      </c>
      <c r="BP43" t="str">
        <f t="shared" ca="1" si="69"/>
        <v/>
      </c>
      <c r="BQ43">
        <f t="shared" ca="1" si="70"/>
        <v>0</v>
      </c>
      <c r="BR43" t="str">
        <f t="shared" ca="1" si="71"/>
        <v/>
      </c>
      <c r="BS43">
        <f t="shared" ca="1" si="72"/>
        <v>0</v>
      </c>
      <c r="BT43" t="str">
        <f t="shared" ca="1" si="73"/>
        <v/>
      </c>
      <c r="BU43">
        <f t="shared" ca="1" si="74"/>
        <v>0</v>
      </c>
      <c r="BV43" t="str">
        <f t="shared" ca="1" si="75"/>
        <v/>
      </c>
      <c r="BW43">
        <f t="shared" ca="1" si="76"/>
        <v>0</v>
      </c>
      <c r="BX43" t="str">
        <f t="shared" ca="1" si="77"/>
        <v/>
      </c>
      <c r="BY43">
        <f t="shared" ca="1" si="78"/>
        <v>0</v>
      </c>
      <c r="BZ43" t="str">
        <f t="shared" ca="1" si="79"/>
        <v/>
      </c>
      <c r="CA43">
        <f t="shared" ca="1" si="80"/>
        <v>0</v>
      </c>
      <c r="CB43" t="str">
        <f t="shared" ca="1" si="81"/>
        <v/>
      </c>
      <c r="CC43">
        <f t="shared" ca="1" si="82"/>
        <v>0</v>
      </c>
    </row>
    <row r="44" spans="2:81" ht="14.25" customHeight="1" x14ac:dyDescent="0.3">
      <c r="B44" s="55">
        <f t="shared" si="52"/>
        <v>41</v>
      </c>
      <c r="C44" s="56" t="s">
        <v>111</v>
      </c>
      <c r="D44" s="12">
        <f>'Member Wise Deposit Summary'!D44</f>
        <v>1830621990</v>
      </c>
      <c r="E44" s="56">
        <v>2</v>
      </c>
      <c r="F44" s="56">
        <f t="shared" si="39"/>
        <v>2000</v>
      </c>
      <c r="G44" s="56"/>
      <c r="H44" s="56"/>
      <c r="I44" s="56"/>
      <c r="J44" s="56">
        <f t="shared" si="45"/>
        <v>2000</v>
      </c>
      <c r="K44" s="56"/>
      <c r="L44" s="56"/>
      <c r="M44" s="56"/>
      <c r="N44" s="56">
        <f t="shared" si="46"/>
        <v>2000</v>
      </c>
      <c r="O44" s="56"/>
      <c r="P44" s="56"/>
      <c r="Q44" s="56"/>
      <c r="R44" s="56">
        <f t="shared" si="85"/>
        <v>2000</v>
      </c>
      <c r="S44" s="56"/>
      <c r="T44" s="56"/>
      <c r="U44" s="56"/>
      <c r="V44" s="241"/>
      <c r="W44" s="56"/>
      <c r="X44" s="56"/>
      <c r="Y44" s="56"/>
      <c r="Z44" s="56">
        <f t="shared" si="84"/>
        <v>2000</v>
      </c>
      <c r="AA44" s="56"/>
      <c r="AB44" s="56">
        <v>2000</v>
      </c>
      <c r="AC44" s="56">
        <v>100</v>
      </c>
      <c r="AD44" s="56">
        <f t="shared" si="50"/>
        <v>2000</v>
      </c>
      <c r="AE44" s="56"/>
      <c r="AF44" s="56"/>
      <c r="AG44" s="56"/>
      <c r="AH44" s="56">
        <f t="shared" si="51"/>
        <v>2000</v>
      </c>
      <c r="AI44" s="56"/>
      <c r="AJ44" s="56"/>
      <c r="AK44" s="56"/>
      <c r="AL44" s="241"/>
      <c r="AM44" s="56"/>
      <c r="AN44" s="56"/>
      <c r="AO44" s="56"/>
      <c r="AP44" s="56">
        <f t="shared" si="54"/>
        <v>2000</v>
      </c>
      <c r="AQ44" s="56"/>
      <c r="AR44" s="56">
        <v>2000</v>
      </c>
      <c r="AS44" s="56">
        <v>100</v>
      </c>
      <c r="AT44" s="56">
        <f t="shared" si="55"/>
        <v>2000</v>
      </c>
      <c r="AU44" s="56"/>
      <c r="AV44" s="56"/>
      <c r="AW44" s="56"/>
      <c r="AX44" s="241"/>
      <c r="AY44" s="56"/>
      <c r="AZ44" s="56"/>
      <c r="BA44" s="56"/>
      <c r="BB44" s="56">
        <f t="shared" si="57"/>
        <v>22000</v>
      </c>
      <c r="BC44" s="56">
        <f t="shared" si="58"/>
        <v>200</v>
      </c>
      <c r="BE44">
        <f ca="1">'Monthly Collection-2023'!AY44</f>
        <v>0</v>
      </c>
      <c r="BF44" t="str">
        <f t="shared" ca="1" si="59"/>
        <v/>
      </c>
      <c r="BG44">
        <f t="shared" ca="1" si="60"/>
        <v>0</v>
      </c>
      <c r="BH44" t="str">
        <f t="shared" ca="1" si="61"/>
        <v/>
      </c>
      <c r="BI44">
        <f t="shared" ca="1" si="62"/>
        <v>0</v>
      </c>
      <c r="BJ44" t="str">
        <f t="shared" ca="1" si="63"/>
        <v/>
      </c>
      <c r="BK44">
        <f t="shared" ca="1" si="64"/>
        <v>0</v>
      </c>
      <c r="BL44" t="str">
        <f t="shared" ca="1" si="65"/>
        <v/>
      </c>
      <c r="BM44">
        <f t="shared" ca="1" si="66"/>
        <v>0</v>
      </c>
      <c r="BN44" t="str">
        <f t="shared" ca="1" si="67"/>
        <v>R</v>
      </c>
      <c r="BO44">
        <f t="shared" ca="1" si="68"/>
        <v>0</v>
      </c>
      <c r="BP44" t="str">
        <f t="shared" ca="1" si="69"/>
        <v/>
      </c>
      <c r="BQ44">
        <f t="shared" ca="1" si="70"/>
        <v>0</v>
      </c>
      <c r="BR44" t="str">
        <f t="shared" ca="1" si="71"/>
        <v/>
      </c>
      <c r="BS44">
        <f t="shared" ca="1" si="72"/>
        <v>0</v>
      </c>
      <c r="BT44" t="str">
        <f t="shared" ca="1" si="73"/>
        <v/>
      </c>
      <c r="BU44">
        <f t="shared" ca="1" si="74"/>
        <v>0</v>
      </c>
      <c r="BV44" t="str">
        <f t="shared" ca="1" si="75"/>
        <v>R</v>
      </c>
      <c r="BW44">
        <f t="shared" ca="1" si="76"/>
        <v>0</v>
      </c>
      <c r="BX44" t="str">
        <f t="shared" ca="1" si="77"/>
        <v/>
      </c>
      <c r="BY44">
        <f t="shared" ca="1" si="78"/>
        <v>0</v>
      </c>
      <c r="BZ44" t="str">
        <f t="shared" ca="1" si="79"/>
        <v/>
      </c>
      <c r="CA44">
        <f t="shared" ca="1" si="80"/>
        <v>0</v>
      </c>
      <c r="CB44" t="str">
        <f t="shared" ca="1" si="81"/>
        <v>R</v>
      </c>
      <c r="CC44">
        <f t="shared" ca="1" si="82"/>
        <v>0</v>
      </c>
    </row>
    <row r="45" spans="2:81" ht="14.25" customHeight="1" x14ac:dyDescent="0.3">
      <c r="B45" s="51">
        <f t="shared" si="52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>
        <f t="shared" si="39"/>
        <v>6000</v>
      </c>
      <c r="G45" s="52"/>
      <c r="H45" s="52"/>
      <c r="I45" s="52"/>
      <c r="J45" s="52">
        <f t="shared" si="45"/>
        <v>6000</v>
      </c>
      <c r="K45" s="52"/>
      <c r="L45" s="52"/>
      <c r="M45" s="52"/>
      <c r="N45" s="52">
        <f t="shared" si="46"/>
        <v>6000</v>
      </c>
      <c r="O45" s="52"/>
      <c r="P45" s="52"/>
      <c r="Q45" s="52"/>
      <c r="R45" s="52">
        <f t="shared" si="85"/>
        <v>6000</v>
      </c>
      <c r="S45" s="52"/>
      <c r="T45" s="52"/>
      <c r="U45" s="52"/>
      <c r="V45" s="52">
        <f>$E45*1000</f>
        <v>6000</v>
      </c>
      <c r="W45" s="52"/>
      <c r="X45" s="52"/>
      <c r="Y45" s="52"/>
      <c r="Z45" s="52">
        <f t="shared" si="84"/>
        <v>6000</v>
      </c>
      <c r="AA45" s="52"/>
      <c r="AB45" s="52"/>
      <c r="AC45" s="52"/>
      <c r="AD45" s="52">
        <f t="shared" si="50"/>
        <v>6000</v>
      </c>
      <c r="AE45" s="52"/>
      <c r="AF45" s="52"/>
      <c r="AG45" s="52"/>
      <c r="AH45" s="52">
        <f t="shared" si="51"/>
        <v>6000</v>
      </c>
      <c r="AI45" s="52"/>
      <c r="AJ45" s="52"/>
      <c r="AK45" s="52"/>
      <c r="AL45" s="52">
        <f>$E45*1000</f>
        <v>6000</v>
      </c>
      <c r="AM45" s="52"/>
      <c r="AN45" s="52"/>
      <c r="AO45" s="52"/>
      <c r="AP45" s="52">
        <f t="shared" si="54"/>
        <v>6000</v>
      </c>
      <c r="AQ45" s="52"/>
      <c r="AR45" s="52"/>
      <c r="AS45" s="52"/>
      <c r="AT45" s="52">
        <f t="shared" si="55"/>
        <v>6000</v>
      </c>
      <c r="AU45" s="52"/>
      <c r="AV45" s="52"/>
      <c r="AW45" s="52"/>
      <c r="AX45" s="52">
        <f>$E45*1000</f>
        <v>6000</v>
      </c>
      <c r="AY45" s="52"/>
      <c r="AZ45" s="52"/>
      <c r="BA45" s="52"/>
      <c r="BB45" s="52">
        <f t="shared" si="57"/>
        <v>72000</v>
      </c>
      <c r="BC45" s="52">
        <f t="shared" si="58"/>
        <v>0</v>
      </c>
      <c r="BE45">
        <f ca="1">'Monthly Collection-2023'!AY45</f>
        <v>0</v>
      </c>
      <c r="BF45" t="str">
        <f t="shared" ca="1" si="59"/>
        <v/>
      </c>
      <c r="BG45">
        <f t="shared" ca="1" si="60"/>
        <v>0</v>
      </c>
      <c r="BH45" t="str">
        <f t="shared" ca="1" si="61"/>
        <v/>
      </c>
      <c r="BI45">
        <f t="shared" ca="1" si="62"/>
        <v>0</v>
      </c>
      <c r="BJ45" t="str">
        <f t="shared" ca="1" si="63"/>
        <v/>
      </c>
      <c r="BK45">
        <f t="shared" ca="1" si="64"/>
        <v>0</v>
      </c>
      <c r="BL45" t="str">
        <f t="shared" ca="1" si="65"/>
        <v/>
      </c>
      <c r="BM45">
        <f t="shared" ca="1" si="66"/>
        <v>0</v>
      </c>
      <c r="BN45" t="str">
        <f t="shared" ca="1" si="67"/>
        <v/>
      </c>
      <c r="BO45">
        <f t="shared" ca="1" si="68"/>
        <v>0</v>
      </c>
      <c r="BP45" t="str">
        <f t="shared" ca="1" si="69"/>
        <v/>
      </c>
      <c r="BQ45">
        <f t="shared" ca="1" si="70"/>
        <v>0</v>
      </c>
      <c r="BR45" t="str">
        <f t="shared" ca="1" si="71"/>
        <v/>
      </c>
      <c r="BS45">
        <f t="shared" ca="1" si="72"/>
        <v>0</v>
      </c>
      <c r="BT45" t="str">
        <f t="shared" ca="1" si="73"/>
        <v/>
      </c>
      <c r="BU45">
        <f t="shared" ca="1" si="74"/>
        <v>0</v>
      </c>
      <c r="BV45" t="str">
        <f t="shared" ca="1" si="75"/>
        <v/>
      </c>
      <c r="BW45">
        <f t="shared" ca="1" si="76"/>
        <v>0</v>
      </c>
      <c r="BX45" t="str">
        <f t="shared" ca="1" si="77"/>
        <v/>
      </c>
      <c r="BY45">
        <f t="shared" ca="1" si="78"/>
        <v>0</v>
      </c>
      <c r="BZ45" t="str">
        <f t="shared" ca="1" si="79"/>
        <v/>
      </c>
      <c r="CA45">
        <f t="shared" ca="1" si="80"/>
        <v>0</v>
      </c>
      <c r="CB45" t="str">
        <f t="shared" ca="1" si="81"/>
        <v/>
      </c>
      <c r="CC45">
        <f t="shared" ca="1" si="82"/>
        <v>0</v>
      </c>
    </row>
    <row r="46" spans="2:81" ht="14.25" customHeight="1" x14ac:dyDescent="0.3">
      <c r="B46" s="55">
        <f t="shared" si="52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>
        <f t="shared" si="39"/>
        <v>2000</v>
      </c>
      <c r="G46" s="56"/>
      <c r="H46" s="56">
        <v>2000</v>
      </c>
      <c r="I46" s="56">
        <v>100</v>
      </c>
      <c r="J46" s="56">
        <f t="shared" si="45"/>
        <v>2000</v>
      </c>
      <c r="K46" s="56"/>
      <c r="L46" s="56"/>
      <c r="M46" s="56"/>
      <c r="N46" s="56">
        <f t="shared" si="46"/>
        <v>2000</v>
      </c>
      <c r="O46" s="56"/>
      <c r="P46" s="56"/>
      <c r="Q46" s="56"/>
      <c r="R46" s="56">
        <f t="shared" si="85"/>
        <v>2000</v>
      </c>
      <c r="S46" s="56"/>
      <c r="T46" s="56"/>
      <c r="U46" s="56"/>
      <c r="V46" s="241"/>
      <c r="W46" s="56"/>
      <c r="X46" s="56"/>
      <c r="Y46" s="56"/>
      <c r="Z46" s="56">
        <f t="shared" si="84"/>
        <v>2000</v>
      </c>
      <c r="AA46" s="56"/>
      <c r="AB46" s="56">
        <v>2000</v>
      </c>
      <c r="AC46" s="56">
        <v>100</v>
      </c>
      <c r="AD46" s="56">
        <f t="shared" si="50"/>
        <v>2000</v>
      </c>
      <c r="AE46" s="56"/>
      <c r="AF46" s="56"/>
      <c r="AG46" s="56"/>
      <c r="AH46" s="56">
        <f t="shared" si="51"/>
        <v>2000</v>
      </c>
      <c r="AI46" s="56"/>
      <c r="AJ46" s="56"/>
      <c r="AK46" s="56"/>
      <c r="AL46" s="56">
        <f>$E46*1000</f>
        <v>2000</v>
      </c>
      <c r="AM46" s="56"/>
      <c r="AN46" s="56"/>
      <c r="AO46" s="56"/>
      <c r="AP46" s="56">
        <f t="shared" si="54"/>
        <v>2000</v>
      </c>
      <c r="AQ46" s="56"/>
      <c r="AR46" s="56"/>
      <c r="AS46" s="56"/>
      <c r="AT46" s="56">
        <f t="shared" si="55"/>
        <v>2000</v>
      </c>
      <c r="AU46" s="56"/>
      <c r="AV46" s="56"/>
      <c r="AW46" s="56"/>
      <c r="AX46" s="56">
        <f>$E46*1000</f>
        <v>2000</v>
      </c>
      <c r="AY46" s="56"/>
      <c r="AZ46" s="56"/>
      <c r="BA46" s="56"/>
      <c r="BB46" s="56">
        <f t="shared" si="57"/>
        <v>26000</v>
      </c>
      <c r="BC46" s="56">
        <f t="shared" si="58"/>
        <v>200</v>
      </c>
      <c r="BE46">
        <f ca="1">'Monthly Collection-2023'!AY46</f>
        <v>0</v>
      </c>
      <c r="BF46" t="str">
        <f t="shared" ca="1" si="59"/>
        <v/>
      </c>
      <c r="BG46">
        <f t="shared" ca="1" si="60"/>
        <v>0</v>
      </c>
      <c r="BH46" t="str">
        <f t="shared" ca="1" si="61"/>
        <v/>
      </c>
      <c r="BI46">
        <f t="shared" ca="1" si="62"/>
        <v>0</v>
      </c>
      <c r="BJ46" t="str">
        <f t="shared" ca="1" si="63"/>
        <v/>
      </c>
      <c r="BK46">
        <f t="shared" ca="1" si="64"/>
        <v>0</v>
      </c>
      <c r="BL46" t="str">
        <f t="shared" ca="1" si="65"/>
        <v/>
      </c>
      <c r="BM46">
        <f t="shared" ca="1" si="66"/>
        <v>0</v>
      </c>
      <c r="BN46" t="str">
        <f t="shared" ca="1" si="67"/>
        <v>R</v>
      </c>
      <c r="BO46">
        <f t="shared" ca="1" si="68"/>
        <v>0</v>
      </c>
      <c r="BP46" t="str">
        <f t="shared" ca="1" si="69"/>
        <v/>
      </c>
      <c r="BQ46">
        <f t="shared" ca="1" si="70"/>
        <v>0</v>
      </c>
      <c r="BR46" t="str">
        <f t="shared" ca="1" si="71"/>
        <v/>
      </c>
      <c r="BS46">
        <f t="shared" ca="1" si="72"/>
        <v>0</v>
      </c>
      <c r="BT46" t="str">
        <f t="shared" ca="1" si="73"/>
        <v/>
      </c>
      <c r="BU46">
        <f t="shared" ca="1" si="74"/>
        <v>0</v>
      </c>
      <c r="BV46" t="str">
        <f t="shared" ca="1" si="75"/>
        <v/>
      </c>
      <c r="BW46">
        <f t="shared" ca="1" si="76"/>
        <v>0</v>
      </c>
      <c r="BX46" t="str">
        <f t="shared" ca="1" si="77"/>
        <v/>
      </c>
      <c r="BY46">
        <f t="shared" ca="1" si="78"/>
        <v>0</v>
      </c>
      <c r="BZ46" t="str">
        <f t="shared" ca="1" si="79"/>
        <v/>
      </c>
      <c r="CA46">
        <f t="shared" ca="1" si="80"/>
        <v>0</v>
      </c>
      <c r="CB46" t="str">
        <f t="shared" ca="1" si="81"/>
        <v/>
      </c>
      <c r="CC46">
        <f t="shared" ca="1" si="82"/>
        <v>0</v>
      </c>
    </row>
    <row r="47" spans="2:81" ht="14.25" customHeight="1" x14ac:dyDescent="0.3">
      <c r="B47" s="51">
        <f t="shared" si="52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>
        <f t="shared" si="39"/>
        <v>2000</v>
      </c>
      <c r="G47" s="52"/>
      <c r="H47" s="52">
        <v>2000</v>
      </c>
      <c r="I47" s="52">
        <v>100</v>
      </c>
      <c r="J47" s="52">
        <f t="shared" si="45"/>
        <v>2000</v>
      </c>
      <c r="K47" s="52"/>
      <c r="L47" s="52"/>
      <c r="M47" s="52"/>
      <c r="N47" s="52">
        <f t="shared" si="46"/>
        <v>2000</v>
      </c>
      <c r="O47" s="52"/>
      <c r="P47" s="52"/>
      <c r="Q47" s="52"/>
      <c r="R47" s="52">
        <f t="shared" si="85"/>
        <v>2000</v>
      </c>
      <c r="S47" s="52"/>
      <c r="T47" s="52"/>
      <c r="U47" s="52"/>
      <c r="V47" s="243"/>
      <c r="W47" s="52"/>
      <c r="X47" s="52"/>
      <c r="Y47" s="52"/>
      <c r="Z47" s="52">
        <f t="shared" si="84"/>
        <v>2000</v>
      </c>
      <c r="AA47" s="52"/>
      <c r="AB47" s="52">
        <v>2000</v>
      </c>
      <c r="AC47" s="52">
        <v>100</v>
      </c>
      <c r="AD47" s="52">
        <f t="shared" si="50"/>
        <v>2000</v>
      </c>
      <c r="AE47" s="52"/>
      <c r="AF47" s="52"/>
      <c r="AG47" s="52"/>
      <c r="AH47" s="52">
        <f t="shared" si="51"/>
        <v>2000</v>
      </c>
      <c r="AI47" s="52"/>
      <c r="AJ47" s="52"/>
      <c r="AK47" s="52"/>
      <c r="AL47" s="52">
        <f>$E47*1000</f>
        <v>2000</v>
      </c>
      <c r="AM47" s="52"/>
      <c r="AN47" s="52"/>
      <c r="AO47" s="52"/>
      <c r="AP47" s="52">
        <f t="shared" si="54"/>
        <v>2000</v>
      </c>
      <c r="AQ47" s="52"/>
      <c r="AR47" s="52"/>
      <c r="AS47" s="52"/>
      <c r="AT47" s="52">
        <f t="shared" si="55"/>
        <v>2000</v>
      </c>
      <c r="AU47" s="52"/>
      <c r="AV47" s="52"/>
      <c r="AW47" s="52"/>
      <c r="AX47" s="52">
        <f>$E47*1000</f>
        <v>2000</v>
      </c>
      <c r="AY47" s="52"/>
      <c r="AZ47" s="52"/>
      <c r="BA47" s="52"/>
      <c r="BB47" s="52">
        <f t="shared" si="57"/>
        <v>26000</v>
      </c>
      <c r="BC47" s="52">
        <f t="shared" si="58"/>
        <v>200</v>
      </c>
      <c r="BE47">
        <f ca="1">'Monthly Collection-2023'!AY47</f>
        <v>0</v>
      </c>
      <c r="BF47" t="str">
        <f t="shared" ca="1" si="59"/>
        <v/>
      </c>
      <c r="BG47">
        <f t="shared" ca="1" si="60"/>
        <v>0</v>
      </c>
      <c r="BH47" t="str">
        <f t="shared" ca="1" si="61"/>
        <v/>
      </c>
      <c r="BI47">
        <f t="shared" ca="1" si="62"/>
        <v>0</v>
      </c>
      <c r="BJ47" t="str">
        <f t="shared" ca="1" si="63"/>
        <v/>
      </c>
      <c r="BK47">
        <f t="shared" ca="1" si="64"/>
        <v>0</v>
      </c>
      <c r="BL47" t="str">
        <f t="shared" ca="1" si="65"/>
        <v/>
      </c>
      <c r="BM47">
        <f t="shared" ca="1" si="66"/>
        <v>0</v>
      </c>
      <c r="BN47" t="str">
        <f t="shared" ca="1" si="67"/>
        <v>R</v>
      </c>
      <c r="BO47">
        <f t="shared" ca="1" si="68"/>
        <v>0</v>
      </c>
      <c r="BP47" t="str">
        <f t="shared" ca="1" si="69"/>
        <v/>
      </c>
      <c r="BQ47">
        <f t="shared" ca="1" si="70"/>
        <v>0</v>
      </c>
      <c r="BR47" t="str">
        <f t="shared" ca="1" si="71"/>
        <v/>
      </c>
      <c r="BS47">
        <f t="shared" ca="1" si="72"/>
        <v>0</v>
      </c>
      <c r="BT47" t="str">
        <f t="shared" ca="1" si="73"/>
        <v/>
      </c>
      <c r="BU47">
        <f t="shared" ca="1" si="74"/>
        <v>0</v>
      </c>
      <c r="BV47" t="str">
        <f t="shared" ca="1" si="75"/>
        <v/>
      </c>
      <c r="BW47">
        <f t="shared" ca="1" si="76"/>
        <v>0</v>
      </c>
      <c r="BX47" t="str">
        <f t="shared" ca="1" si="77"/>
        <v/>
      </c>
      <c r="BY47">
        <f t="shared" ca="1" si="78"/>
        <v>0</v>
      </c>
      <c r="BZ47" t="str">
        <f t="shared" ca="1" si="79"/>
        <v/>
      </c>
      <c r="CA47">
        <f t="shared" ca="1" si="80"/>
        <v>0</v>
      </c>
      <c r="CB47" t="str">
        <f t="shared" ca="1" si="81"/>
        <v/>
      </c>
      <c r="CC47">
        <f t="shared" ca="1" si="82"/>
        <v>0</v>
      </c>
    </row>
    <row r="48" spans="2:81" ht="14.25" customHeight="1" x14ac:dyDescent="0.3">
      <c r="B48" s="55">
        <f t="shared" si="52"/>
        <v>45</v>
      </c>
      <c r="C48" s="56" t="s">
        <v>101</v>
      </c>
      <c r="D48" s="12">
        <f>'Member Wise Deposit Summary'!D48</f>
        <v>1840409753</v>
      </c>
      <c r="E48" s="56">
        <v>1</v>
      </c>
      <c r="F48" s="56">
        <f t="shared" si="39"/>
        <v>1000</v>
      </c>
      <c r="G48" s="56"/>
      <c r="H48" s="56">
        <v>1000</v>
      </c>
      <c r="I48" s="56">
        <v>50</v>
      </c>
      <c r="J48" s="56">
        <f t="shared" si="45"/>
        <v>1000</v>
      </c>
      <c r="K48" s="56"/>
      <c r="L48" s="56"/>
      <c r="M48" s="56"/>
      <c r="N48" s="56">
        <f t="shared" si="46"/>
        <v>1000</v>
      </c>
      <c r="O48" s="56"/>
      <c r="P48" s="56"/>
      <c r="Q48" s="56"/>
      <c r="R48" s="56">
        <f t="shared" si="85"/>
        <v>1000</v>
      </c>
      <c r="S48" s="56"/>
      <c r="T48" s="56"/>
      <c r="U48" s="56"/>
      <c r="V48" s="241"/>
      <c r="W48" s="56"/>
      <c r="X48" s="56"/>
      <c r="Y48" s="56"/>
      <c r="Z48" s="56">
        <f t="shared" si="84"/>
        <v>1000</v>
      </c>
      <c r="AA48" s="56"/>
      <c r="AB48" s="56">
        <v>1000</v>
      </c>
      <c r="AC48" s="56">
        <v>50</v>
      </c>
      <c r="AD48" s="56">
        <f t="shared" si="50"/>
        <v>1000</v>
      </c>
      <c r="AE48" s="56"/>
      <c r="AF48" s="56"/>
      <c r="AG48" s="56"/>
      <c r="AH48" s="56">
        <f t="shared" si="51"/>
        <v>1000</v>
      </c>
      <c r="AI48" s="56"/>
      <c r="AJ48" s="56"/>
      <c r="AK48" s="56"/>
      <c r="AL48" s="56">
        <f>$E48*1000</f>
        <v>1000</v>
      </c>
      <c r="AM48" s="56"/>
      <c r="AN48" s="56"/>
      <c r="AO48" s="56"/>
      <c r="AP48" s="56">
        <f t="shared" si="54"/>
        <v>1000</v>
      </c>
      <c r="AQ48" s="56"/>
      <c r="AR48" s="56"/>
      <c r="AS48" s="56"/>
      <c r="AT48" s="241"/>
      <c r="AU48" s="56"/>
      <c r="AV48" s="56"/>
      <c r="AW48" s="56"/>
      <c r="AX48" s="241"/>
      <c r="AY48" s="56"/>
      <c r="AZ48" s="56"/>
      <c r="BA48" s="56"/>
      <c r="BB48" s="56">
        <f t="shared" si="57"/>
        <v>11000</v>
      </c>
      <c r="BC48" s="56">
        <f t="shared" si="58"/>
        <v>100</v>
      </c>
      <c r="BE48">
        <f ca="1">'Monthly Collection-2023'!AY48</f>
        <v>0</v>
      </c>
      <c r="BF48" t="str">
        <f t="shared" ca="1" si="59"/>
        <v/>
      </c>
      <c r="BG48">
        <f t="shared" ca="1" si="60"/>
        <v>0</v>
      </c>
      <c r="BH48" t="str">
        <f t="shared" ca="1" si="61"/>
        <v/>
      </c>
      <c r="BI48">
        <f t="shared" ca="1" si="62"/>
        <v>0</v>
      </c>
      <c r="BJ48" t="str">
        <f t="shared" ca="1" si="63"/>
        <v/>
      </c>
      <c r="BK48">
        <f t="shared" ca="1" si="64"/>
        <v>0</v>
      </c>
      <c r="BL48" t="str">
        <f t="shared" ca="1" si="65"/>
        <v/>
      </c>
      <c r="BM48">
        <f t="shared" ca="1" si="66"/>
        <v>0</v>
      </c>
      <c r="BN48" t="str">
        <f t="shared" ca="1" si="67"/>
        <v>R</v>
      </c>
      <c r="BO48">
        <f t="shared" ca="1" si="68"/>
        <v>0</v>
      </c>
      <c r="BP48" t="str">
        <f t="shared" ca="1" si="69"/>
        <v/>
      </c>
      <c r="BQ48">
        <f t="shared" ca="1" si="70"/>
        <v>0</v>
      </c>
      <c r="BR48" t="str">
        <f t="shared" ca="1" si="71"/>
        <v/>
      </c>
      <c r="BS48">
        <f t="shared" ca="1" si="72"/>
        <v>0</v>
      </c>
      <c r="BT48" t="str">
        <f t="shared" ca="1" si="73"/>
        <v/>
      </c>
      <c r="BU48">
        <f t="shared" ca="1" si="74"/>
        <v>0</v>
      </c>
      <c r="BV48" t="str">
        <f t="shared" ca="1" si="75"/>
        <v/>
      </c>
      <c r="BW48">
        <f t="shared" ca="1" si="76"/>
        <v>0</v>
      </c>
      <c r="BX48" t="str">
        <f t="shared" ca="1" si="77"/>
        <v/>
      </c>
      <c r="BY48">
        <f t="shared" ca="1" si="78"/>
        <v>0</v>
      </c>
      <c r="BZ48" t="str">
        <f t="shared" ca="1" si="79"/>
        <v>R</v>
      </c>
      <c r="CA48">
        <f t="shared" ca="1" si="80"/>
        <v>0</v>
      </c>
      <c r="CB48" t="str">
        <f t="shared" ca="1" si="81"/>
        <v>R</v>
      </c>
      <c r="CC48">
        <f t="shared" ca="1" si="82"/>
        <v>0</v>
      </c>
    </row>
    <row r="49" spans="2:81" ht="14.25" customHeight="1" x14ac:dyDescent="0.3">
      <c r="B49" s="51">
        <f t="shared" si="52"/>
        <v>46</v>
      </c>
      <c r="C49" s="52" t="s">
        <v>115</v>
      </c>
      <c r="D49" s="16">
        <f>'Member Wise Deposit Summary'!D49</f>
        <v>1871081769</v>
      </c>
      <c r="E49" s="52">
        <v>1</v>
      </c>
      <c r="F49" s="243"/>
      <c r="G49" s="52"/>
      <c r="H49" s="52"/>
      <c r="I49" s="52"/>
      <c r="J49" s="243"/>
      <c r="K49" s="52"/>
      <c r="L49" s="52"/>
      <c r="M49" s="52"/>
      <c r="N49" s="243"/>
      <c r="O49" s="52"/>
      <c r="P49" s="52">
        <v>2000</v>
      </c>
      <c r="Q49" s="52">
        <v>100</v>
      </c>
      <c r="R49" s="243"/>
      <c r="S49" s="52"/>
      <c r="T49" s="52">
        <v>2000</v>
      </c>
      <c r="U49" s="52">
        <v>100</v>
      </c>
      <c r="V49" s="243"/>
      <c r="W49" s="52"/>
      <c r="X49" s="52">
        <v>1000</v>
      </c>
      <c r="Y49" s="52">
        <v>50</v>
      </c>
      <c r="Z49" s="243"/>
      <c r="AA49" s="52"/>
      <c r="AB49" s="52"/>
      <c r="AC49" s="52"/>
      <c r="AD49" s="243"/>
      <c r="AE49" s="52"/>
      <c r="AF49" s="52">
        <v>2000</v>
      </c>
      <c r="AG49" s="52">
        <v>100</v>
      </c>
      <c r="AH49" s="243"/>
      <c r="AI49" s="52"/>
      <c r="AJ49" s="52"/>
      <c r="AK49" s="52"/>
      <c r="AL49" s="243"/>
      <c r="AM49" s="52"/>
      <c r="AN49" s="52"/>
      <c r="AO49" s="52"/>
      <c r="AP49" s="243"/>
      <c r="AQ49" s="52"/>
      <c r="AR49" s="52"/>
      <c r="AS49" s="52"/>
      <c r="AT49" s="243"/>
      <c r="AU49" s="52"/>
      <c r="AV49" s="52">
        <v>2000</v>
      </c>
      <c r="AW49" s="52">
        <v>100</v>
      </c>
      <c r="AX49" s="243"/>
      <c r="AY49" s="52"/>
      <c r="AZ49" s="52">
        <v>1000</v>
      </c>
      <c r="BA49" s="52">
        <v>50</v>
      </c>
      <c r="BB49" s="52">
        <f t="shared" si="57"/>
        <v>10000</v>
      </c>
      <c r="BC49" s="52">
        <f t="shared" si="58"/>
        <v>500</v>
      </c>
      <c r="BE49">
        <f ca="1">'Monthly Collection-2023'!AY49</f>
        <v>0</v>
      </c>
      <c r="BF49" t="str">
        <f t="shared" ca="1" si="59"/>
        <v>R</v>
      </c>
      <c r="BG49">
        <f t="shared" ca="1" si="60"/>
        <v>0</v>
      </c>
      <c r="BH49" t="str">
        <f t="shared" ca="1" si="61"/>
        <v>R</v>
      </c>
      <c r="BI49">
        <f t="shared" ca="1" si="62"/>
        <v>0</v>
      </c>
      <c r="BJ49" t="str">
        <f t="shared" ca="1" si="63"/>
        <v>R</v>
      </c>
      <c r="BK49">
        <f t="shared" ca="1" si="64"/>
        <v>0</v>
      </c>
      <c r="BL49" t="str">
        <f t="shared" ca="1" si="65"/>
        <v>R</v>
      </c>
      <c r="BM49">
        <f t="shared" ca="1" si="66"/>
        <v>0</v>
      </c>
      <c r="BN49" t="str">
        <f t="shared" ca="1" si="67"/>
        <v>R</v>
      </c>
      <c r="BO49">
        <f t="shared" ca="1" si="68"/>
        <v>0</v>
      </c>
      <c r="BP49" t="str">
        <f t="shared" ca="1" si="69"/>
        <v>R</v>
      </c>
      <c r="BQ49">
        <f t="shared" ca="1" si="70"/>
        <v>0</v>
      </c>
      <c r="BR49" t="str">
        <f t="shared" ca="1" si="71"/>
        <v>R</v>
      </c>
      <c r="BS49">
        <f t="shared" ca="1" si="72"/>
        <v>0</v>
      </c>
      <c r="BT49" t="str">
        <f t="shared" ca="1" si="73"/>
        <v>R</v>
      </c>
      <c r="BU49">
        <f t="shared" ca="1" si="74"/>
        <v>0</v>
      </c>
      <c r="BV49" t="str">
        <f t="shared" ca="1" si="75"/>
        <v>R</v>
      </c>
      <c r="BW49">
        <f t="shared" ca="1" si="76"/>
        <v>0</v>
      </c>
      <c r="BX49" t="str">
        <f t="shared" ca="1" si="77"/>
        <v>R</v>
      </c>
      <c r="BY49">
        <f t="shared" ca="1" si="78"/>
        <v>0</v>
      </c>
      <c r="BZ49" t="str">
        <f t="shared" ca="1" si="79"/>
        <v>R</v>
      </c>
      <c r="CA49">
        <f t="shared" ca="1" si="80"/>
        <v>0</v>
      </c>
      <c r="CB49" t="str">
        <f t="shared" ca="1" si="81"/>
        <v>R</v>
      </c>
      <c r="CC49">
        <f t="shared" ca="1" si="82"/>
        <v>0</v>
      </c>
    </row>
    <row r="50" spans="2:81" ht="14.25" customHeight="1" x14ac:dyDescent="0.3">
      <c r="B50" s="55">
        <f t="shared" si="52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>
        <f t="shared" ref="F50:F57" si="86">$E50*1000</f>
        <v>1000</v>
      </c>
      <c r="G50" s="56"/>
      <c r="H50" s="56"/>
      <c r="I50" s="56"/>
      <c r="J50" s="56">
        <f t="shared" ref="J50:J57" si="87">$E50*1000</f>
        <v>1000</v>
      </c>
      <c r="K50" s="56"/>
      <c r="L50" s="56"/>
      <c r="M50" s="56"/>
      <c r="N50" s="56">
        <f t="shared" ref="N50:N57" si="88">$E50*1000</f>
        <v>1000</v>
      </c>
      <c r="O50" s="56"/>
      <c r="P50" s="56"/>
      <c r="Q50" s="56"/>
      <c r="R50" s="56">
        <f>$E50*1000</f>
        <v>1000</v>
      </c>
      <c r="S50" s="56"/>
      <c r="T50" s="56"/>
      <c r="U50" s="56"/>
      <c r="V50" s="56">
        <f t="shared" ref="V50:V64" si="89">$E50*1000</f>
        <v>1000</v>
      </c>
      <c r="W50" s="56"/>
      <c r="X50" s="56"/>
      <c r="Y50" s="56"/>
      <c r="Z50" s="56">
        <f t="shared" ref="Z50:Z69" si="90">$E50*1000</f>
        <v>1000</v>
      </c>
      <c r="AA50" s="56"/>
      <c r="AB50" s="56"/>
      <c r="AC50" s="56"/>
      <c r="AD50" s="56">
        <f t="shared" ref="AD50:AD59" si="91">$E50*1000</f>
        <v>1000</v>
      </c>
      <c r="AE50" s="56"/>
      <c r="AF50" s="56"/>
      <c r="AG50" s="56"/>
      <c r="AH50" s="56">
        <f t="shared" ref="AH50:AH57" si="92">$E50*1000</f>
        <v>1000</v>
      </c>
      <c r="AI50" s="56"/>
      <c r="AJ50" s="56"/>
      <c r="AK50" s="56"/>
      <c r="AL50" s="56">
        <f>$E50*1000</f>
        <v>1000</v>
      </c>
      <c r="AM50" s="56"/>
      <c r="AN50" s="56"/>
      <c r="AO50" s="56"/>
      <c r="AP50" s="56">
        <f>$E50*1000</f>
        <v>1000</v>
      </c>
      <c r="AQ50" s="56"/>
      <c r="AR50" s="56"/>
      <c r="AS50" s="56"/>
      <c r="AT50" s="56">
        <f>$E50*1000</f>
        <v>1000</v>
      </c>
      <c r="AU50" s="56"/>
      <c r="AV50" s="56"/>
      <c r="AW50" s="56"/>
      <c r="AX50" s="56">
        <f t="shared" ref="AX50:AX59" si="93">$E50*1000</f>
        <v>1000</v>
      </c>
      <c r="AY50" s="56"/>
      <c r="AZ50" s="56"/>
      <c r="BA50" s="56"/>
      <c r="BB50" s="56">
        <f t="shared" si="57"/>
        <v>12000</v>
      </c>
      <c r="BC50" s="56">
        <f t="shared" si="58"/>
        <v>0</v>
      </c>
      <c r="BE50">
        <f ca="1">'Monthly Collection-2023'!AY50</f>
        <v>0</v>
      </c>
      <c r="BF50" t="str">
        <f t="shared" ca="1" si="59"/>
        <v/>
      </c>
      <c r="BG50">
        <f t="shared" ca="1" si="60"/>
        <v>0</v>
      </c>
      <c r="BH50" t="str">
        <f t="shared" ca="1" si="61"/>
        <v/>
      </c>
      <c r="BI50">
        <f t="shared" ca="1" si="62"/>
        <v>0</v>
      </c>
      <c r="BJ50" t="str">
        <f t="shared" ca="1" si="63"/>
        <v/>
      </c>
      <c r="BK50">
        <f t="shared" ca="1" si="64"/>
        <v>0</v>
      </c>
      <c r="BL50" t="str">
        <f t="shared" ca="1" si="65"/>
        <v/>
      </c>
      <c r="BM50">
        <f t="shared" ca="1" si="66"/>
        <v>0</v>
      </c>
      <c r="BN50" t="str">
        <f t="shared" ca="1" si="67"/>
        <v/>
      </c>
      <c r="BO50">
        <f t="shared" ca="1" si="68"/>
        <v>0</v>
      </c>
      <c r="BP50" t="str">
        <f t="shared" ca="1" si="69"/>
        <v/>
      </c>
      <c r="BQ50">
        <f t="shared" ca="1" si="70"/>
        <v>0</v>
      </c>
      <c r="BR50" t="str">
        <f t="shared" ca="1" si="71"/>
        <v/>
      </c>
      <c r="BS50">
        <f t="shared" ca="1" si="72"/>
        <v>0</v>
      </c>
      <c r="BT50" t="str">
        <f t="shared" ca="1" si="73"/>
        <v/>
      </c>
      <c r="BU50">
        <f t="shared" ca="1" si="74"/>
        <v>0</v>
      </c>
      <c r="BV50" t="str">
        <f t="shared" ca="1" si="75"/>
        <v/>
      </c>
      <c r="BW50">
        <f t="shared" ca="1" si="76"/>
        <v>0</v>
      </c>
      <c r="BX50" t="str">
        <f t="shared" ca="1" si="77"/>
        <v/>
      </c>
      <c r="BY50">
        <f t="shared" ca="1" si="78"/>
        <v>0</v>
      </c>
      <c r="BZ50" t="str">
        <f t="shared" ca="1" si="79"/>
        <v/>
      </c>
      <c r="CA50">
        <f t="shared" ca="1" si="80"/>
        <v>0</v>
      </c>
      <c r="CB50" t="str">
        <f t="shared" ca="1" si="81"/>
        <v/>
      </c>
      <c r="CC50">
        <f t="shared" ca="1" si="82"/>
        <v>0</v>
      </c>
    </row>
    <row r="51" spans="2:81" ht="14.25" customHeight="1" x14ac:dyDescent="0.3">
      <c r="B51" s="51">
        <f t="shared" si="52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>
        <f t="shared" si="86"/>
        <v>2000</v>
      </c>
      <c r="G51" s="52"/>
      <c r="H51" s="52"/>
      <c r="I51" s="52"/>
      <c r="J51" s="52">
        <f t="shared" si="87"/>
        <v>2000</v>
      </c>
      <c r="K51" s="52"/>
      <c r="L51" s="52"/>
      <c r="M51" s="52"/>
      <c r="N51" s="52">
        <f t="shared" si="88"/>
        <v>2000</v>
      </c>
      <c r="O51" s="52"/>
      <c r="P51" s="52"/>
      <c r="Q51" s="52"/>
      <c r="R51" s="52">
        <f>$E51*1000</f>
        <v>2000</v>
      </c>
      <c r="S51" s="52"/>
      <c r="T51" s="52"/>
      <c r="U51" s="52"/>
      <c r="V51" s="52">
        <f t="shared" si="89"/>
        <v>2000</v>
      </c>
      <c r="W51" s="52"/>
      <c r="X51" s="52"/>
      <c r="Y51" s="52"/>
      <c r="Z51" s="52">
        <f t="shared" si="90"/>
        <v>2000</v>
      </c>
      <c r="AA51" s="52"/>
      <c r="AB51" s="52"/>
      <c r="AC51" s="52"/>
      <c r="AD51" s="52">
        <f t="shared" si="91"/>
        <v>2000</v>
      </c>
      <c r="AE51" s="52"/>
      <c r="AF51" s="52"/>
      <c r="AG51" s="52"/>
      <c r="AH51" s="52">
        <f t="shared" si="92"/>
        <v>2000</v>
      </c>
      <c r="AI51" s="52"/>
      <c r="AJ51" s="52"/>
      <c r="AK51" s="52"/>
      <c r="AL51" s="52">
        <f>$E51*1000</f>
        <v>2000</v>
      </c>
      <c r="AM51" s="52"/>
      <c r="AN51" s="52"/>
      <c r="AO51" s="52"/>
      <c r="AP51" s="52">
        <f>$E51*1000</f>
        <v>2000</v>
      </c>
      <c r="AQ51" s="52"/>
      <c r="AR51" s="52"/>
      <c r="AS51" s="52"/>
      <c r="AT51" s="52">
        <f>$E51*1000</f>
        <v>2000</v>
      </c>
      <c r="AU51" s="52"/>
      <c r="AV51" s="52"/>
      <c r="AW51" s="52"/>
      <c r="AX51" s="52">
        <f t="shared" si="93"/>
        <v>2000</v>
      </c>
      <c r="AY51" s="52"/>
      <c r="AZ51" s="52"/>
      <c r="BA51" s="52"/>
      <c r="BB51" s="52">
        <f t="shared" si="57"/>
        <v>24000</v>
      </c>
      <c r="BC51" s="52">
        <f t="shared" si="58"/>
        <v>0</v>
      </c>
      <c r="BE51">
        <f ca="1">'Monthly Collection-2023'!AY51</f>
        <v>0</v>
      </c>
      <c r="BF51" t="str">
        <f t="shared" ca="1" si="59"/>
        <v/>
      </c>
      <c r="BG51">
        <f t="shared" ca="1" si="60"/>
        <v>0</v>
      </c>
      <c r="BH51" t="str">
        <f t="shared" ca="1" si="61"/>
        <v/>
      </c>
      <c r="BI51">
        <f t="shared" ca="1" si="62"/>
        <v>0</v>
      </c>
      <c r="BJ51" t="str">
        <f t="shared" ca="1" si="63"/>
        <v/>
      </c>
      <c r="BK51">
        <f t="shared" ca="1" si="64"/>
        <v>0</v>
      </c>
      <c r="BL51" t="str">
        <f t="shared" ca="1" si="65"/>
        <v/>
      </c>
      <c r="BM51">
        <f t="shared" ca="1" si="66"/>
        <v>0</v>
      </c>
      <c r="BN51" t="str">
        <f t="shared" ca="1" si="67"/>
        <v/>
      </c>
      <c r="BO51">
        <f t="shared" ca="1" si="68"/>
        <v>0</v>
      </c>
      <c r="BP51" t="str">
        <f t="shared" ca="1" si="69"/>
        <v/>
      </c>
      <c r="BQ51">
        <f t="shared" ca="1" si="70"/>
        <v>0</v>
      </c>
      <c r="BR51" t="str">
        <f t="shared" ca="1" si="71"/>
        <v/>
      </c>
      <c r="BS51">
        <f t="shared" ca="1" si="72"/>
        <v>0</v>
      </c>
      <c r="BT51" t="str">
        <f t="shared" ca="1" si="73"/>
        <v/>
      </c>
      <c r="BU51">
        <f t="shared" ca="1" si="74"/>
        <v>0</v>
      </c>
      <c r="BV51" t="str">
        <f t="shared" ca="1" si="75"/>
        <v/>
      </c>
      <c r="BW51">
        <f t="shared" ca="1" si="76"/>
        <v>0</v>
      </c>
      <c r="BX51" t="str">
        <f t="shared" ca="1" si="77"/>
        <v/>
      </c>
      <c r="BY51">
        <f t="shared" ca="1" si="78"/>
        <v>0</v>
      </c>
      <c r="BZ51" t="str">
        <f t="shared" ca="1" si="79"/>
        <v/>
      </c>
      <c r="CA51">
        <f t="shared" ca="1" si="80"/>
        <v>0</v>
      </c>
      <c r="CB51" t="str">
        <f t="shared" ca="1" si="81"/>
        <v/>
      </c>
      <c r="CC51">
        <f t="shared" ca="1" si="82"/>
        <v>0</v>
      </c>
    </row>
    <row r="52" spans="2:81" ht="14.25" customHeight="1" x14ac:dyDescent="0.3">
      <c r="B52" s="55">
        <f t="shared" si="52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>
        <f t="shared" si="86"/>
        <v>1000</v>
      </c>
      <c r="G52" s="56"/>
      <c r="H52" s="56"/>
      <c r="I52" s="56"/>
      <c r="J52" s="56">
        <f t="shared" si="87"/>
        <v>1000</v>
      </c>
      <c r="K52" s="56"/>
      <c r="L52" s="56"/>
      <c r="M52" s="56"/>
      <c r="N52" s="56">
        <f t="shared" si="88"/>
        <v>1000</v>
      </c>
      <c r="O52" s="56"/>
      <c r="P52" s="56"/>
      <c r="Q52" s="56"/>
      <c r="R52" s="56">
        <f>$E52*1000</f>
        <v>1000</v>
      </c>
      <c r="S52" s="56"/>
      <c r="T52" s="56"/>
      <c r="U52" s="56">
        <v>50</v>
      </c>
      <c r="V52" s="56">
        <f t="shared" si="89"/>
        <v>1000</v>
      </c>
      <c r="W52" s="56"/>
      <c r="X52" s="56"/>
      <c r="Y52" s="56"/>
      <c r="Z52" s="56">
        <f t="shared" si="90"/>
        <v>1000</v>
      </c>
      <c r="AA52" s="56"/>
      <c r="AB52" s="56"/>
      <c r="AC52" s="56"/>
      <c r="AD52" s="56">
        <f t="shared" si="91"/>
        <v>1000</v>
      </c>
      <c r="AE52" s="56"/>
      <c r="AF52" s="56"/>
      <c r="AG52" s="56"/>
      <c r="AH52" s="56">
        <f t="shared" si="92"/>
        <v>1000</v>
      </c>
      <c r="AI52" s="56"/>
      <c r="AJ52" s="56"/>
      <c r="AK52" s="56"/>
      <c r="AL52" s="56">
        <f>$E52*1000</f>
        <v>1000</v>
      </c>
      <c r="AM52" s="56"/>
      <c r="AN52" s="56"/>
      <c r="AO52" s="56"/>
      <c r="AP52" s="56">
        <f>$E52*1000</f>
        <v>1000</v>
      </c>
      <c r="AQ52" s="56"/>
      <c r="AR52" s="56"/>
      <c r="AS52" s="56"/>
      <c r="AT52" s="56">
        <f>$E52*1000</f>
        <v>1000</v>
      </c>
      <c r="AU52" s="56"/>
      <c r="AV52" s="56"/>
      <c r="AW52" s="56"/>
      <c r="AX52" s="56">
        <f t="shared" si="93"/>
        <v>1000</v>
      </c>
      <c r="AY52" s="56"/>
      <c r="AZ52" s="56"/>
      <c r="BA52" s="56"/>
      <c r="BB52" s="56">
        <f t="shared" si="57"/>
        <v>12000</v>
      </c>
      <c r="BC52" s="56">
        <f t="shared" si="58"/>
        <v>50</v>
      </c>
      <c r="BE52">
        <f ca="1">'Monthly Collection-2023'!AY52</f>
        <v>0</v>
      </c>
      <c r="BF52" t="str">
        <f t="shared" ca="1" si="59"/>
        <v/>
      </c>
      <c r="BG52">
        <f t="shared" ca="1" si="60"/>
        <v>0</v>
      </c>
      <c r="BH52" t="str">
        <f t="shared" ca="1" si="61"/>
        <v/>
      </c>
      <c r="BI52">
        <f t="shared" ca="1" si="62"/>
        <v>0</v>
      </c>
      <c r="BJ52" t="str">
        <f t="shared" ca="1" si="63"/>
        <v/>
      </c>
      <c r="BK52">
        <f t="shared" ca="1" si="64"/>
        <v>0</v>
      </c>
      <c r="BL52" t="str">
        <f t="shared" ca="1" si="65"/>
        <v/>
      </c>
      <c r="BM52">
        <f t="shared" ca="1" si="66"/>
        <v>0</v>
      </c>
      <c r="BN52" t="str">
        <f t="shared" ca="1" si="67"/>
        <v/>
      </c>
      <c r="BO52">
        <f t="shared" ca="1" si="68"/>
        <v>0</v>
      </c>
      <c r="BP52" t="str">
        <f t="shared" ca="1" si="69"/>
        <v/>
      </c>
      <c r="BQ52">
        <f t="shared" ca="1" si="70"/>
        <v>0</v>
      </c>
      <c r="BR52" t="str">
        <f t="shared" ca="1" si="71"/>
        <v/>
      </c>
      <c r="BS52">
        <f t="shared" ca="1" si="72"/>
        <v>0</v>
      </c>
      <c r="BT52" t="str">
        <f t="shared" ca="1" si="73"/>
        <v/>
      </c>
      <c r="BU52">
        <f t="shared" ca="1" si="74"/>
        <v>0</v>
      </c>
      <c r="BV52" t="str">
        <f t="shared" ca="1" si="75"/>
        <v/>
      </c>
      <c r="BW52">
        <f t="shared" ca="1" si="76"/>
        <v>0</v>
      </c>
      <c r="BX52" t="str">
        <f t="shared" ca="1" si="77"/>
        <v/>
      </c>
      <c r="BY52">
        <f t="shared" ca="1" si="78"/>
        <v>0</v>
      </c>
      <c r="BZ52" t="str">
        <f t="shared" ca="1" si="79"/>
        <v/>
      </c>
      <c r="CA52">
        <f t="shared" ca="1" si="80"/>
        <v>0</v>
      </c>
      <c r="CB52" t="str">
        <f t="shared" ca="1" si="81"/>
        <v/>
      </c>
      <c r="CC52">
        <f t="shared" ca="1" si="82"/>
        <v>0</v>
      </c>
    </row>
    <row r="53" spans="2:81" ht="14.25" customHeight="1" x14ac:dyDescent="0.3">
      <c r="B53" s="51">
        <f t="shared" si="52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>
        <f t="shared" si="86"/>
        <v>1000</v>
      </c>
      <c r="G53" s="52"/>
      <c r="H53" s="52"/>
      <c r="I53" s="52"/>
      <c r="J53" s="52">
        <f t="shared" si="87"/>
        <v>1000</v>
      </c>
      <c r="K53" s="52"/>
      <c r="L53" s="52"/>
      <c r="M53" s="52"/>
      <c r="N53" s="52">
        <f t="shared" si="88"/>
        <v>1000</v>
      </c>
      <c r="O53" s="52"/>
      <c r="P53" s="52"/>
      <c r="Q53" s="52"/>
      <c r="R53" s="52">
        <f>$E53*1000</f>
        <v>1000</v>
      </c>
      <c r="S53" s="52"/>
      <c r="T53" s="52"/>
      <c r="U53" s="52"/>
      <c r="V53" s="52">
        <f t="shared" si="89"/>
        <v>1000</v>
      </c>
      <c r="W53" s="52"/>
      <c r="X53" s="52"/>
      <c r="Y53" s="52"/>
      <c r="Z53" s="52">
        <f t="shared" si="90"/>
        <v>1000</v>
      </c>
      <c r="AA53" s="52"/>
      <c r="AB53" s="52"/>
      <c r="AC53" s="52"/>
      <c r="AD53" s="52">
        <f t="shared" si="91"/>
        <v>1000</v>
      </c>
      <c r="AE53" s="52"/>
      <c r="AF53" s="52"/>
      <c r="AG53" s="52"/>
      <c r="AH53" s="52">
        <f t="shared" si="92"/>
        <v>1000</v>
      </c>
      <c r="AI53" s="52"/>
      <c r="AJ53" s="52"/>
      <c r="AK53" s="52"/>
      <c r="AL53" s="52">
        <f>$E53*1000</f>
        <v>1000</v>
      </c>
      <c r="AM53" s="52"/>
      <c r="AN53" s="52"/>
      <c r="AO53" s="52"/>
      <c r="AP53" s="52">
        <f>$E53*1000</f>
        <v>1000</v>
      </c>
      <c r="AQ53" s="52"/>
      <c r="AR53" s="52"/>
      <c r="AS53" s="52"/>
      <c r="AT53" s="52">
        <f>$E53*1000</f>
        <v>1000</v>
      </c>
      <c r="AU53" s="52"/>
      <c r="AV53" s="52"/>
      <c r="AW53" s="52"/>
      <c r="AX53" s="52">
        <f t="shared" si="93"/>
        <v>1000</v>
      </c>
      <c r="AY53" s="52"/>
      <c r="AZ53" s="52"/>
      <c r="BA53" s="52"/>
      <c r="BB53" s="52">
        <f t="shared" si="57"/>
        <v>12000</v>
      </c>
      <c r="BC53" s="52">
        <f t="shared" si="58"/>
        <v>0</v>
      </c>
      <c r="BE53">
        <f ca="1">'Monthly Collection-2023'!AY53</f>
        <v>0</v>
      </c>
      <c r="BF53" t="str">
        <f t="shared" ca="1" si="59"/>
        <v/>
      </c>
      <c r="BG53">
        <f t="shared" ca="1" si="60"/>
        <v>0</v>
      </c>
      <c r="BH53" t="str">
        <f t="shared" ca="1" si="61"/>
        <v/>
      </c>
      <c r="BI53">
        <f t="shared" ca="1" si="62"/>
        <v>0</v>
      </c>
      <c r="BJ53" t="str">
        <f t="shared" ca="1" si="63"/>
        <v/>
      </c>
      <c r="BK53">
        <f t="shared" ca="1" si="64"/>
        <v>0</v>
      </c>
      <c r="BL53" t="str">
        <f t="shared" ca="1" si="65"/>
        <v/>
      </c>
      <c r="BM53">
        <f t="shared" ca="1" si="66"/>
        <v>0</v>
      </c>
      <c r="BN53" t="str">
        <f t="shared" ca="1" si="67"/>
        <v/>
      </c>
      <c r="BO53">
        <f t="shared" ca="1" si="68"/>
        <v>0</v>
      </c>
      <c r="BP53" t="str">
        <f t="shared" ca="1" si="69"/>
        <v/>
      </c>
      <c r="BQ53">
        <f t="shared" ca="1" si="70"/>
        <v>0</v>
      </c>
      <c r="BR53" t="str">
        <f t="shared" ca="1" si="71"/>
        <v/>
      </c>
      <c r="BS53">
        <f t="shared" ca="1" si="72"/>
        <v>0</v>
      </c>
      <c r="BT53" t="str">
        <f t="shared" ca="1" si="73"/>
        <v/>
      </c>
      <c r="BU53">
        <f t="shared" ca="1" si="74"/>
        <v>0</v>
      </c>
      <c r="BV53" t="str">
        <f t="shared" ca="1" si="75"/>
        <v/>
      </c>
      <c r="BW53">
        <f t="shared" ca="1" si="76"/>
        <v>0</v>
      </c>
      <c r="BX53" t="str">
        <f t="shared" ca="1" si="77"/>
        <v/>
      </c>
      <c r="BY53">
        <f t="shared" ca="1" si="78"/>
        <v>0</v>
      </c>
      <c r="BZ53" t="str">
        <f t="shared" ca="1" si="79"/>
        <v/>
      </c>
      <c r="CA53">
        <f t="shared" ca="1" si="80"/>
        <v>0</v>
      </c>
      <c r="CB53" t="str">
        <f t="shared" ca="1" si="81"/>
        <v/>
      </c>
      <c r="CC53">
        <f t="shared" ca="1" si="82"/>
        <v>0</v>
      </c>
    </row>
    <row r="54" spans="2:81" ht="14.25" customHeight="1" x14ac:dyDescent="0.3">
      <c r="B54" s="55">
        <f t="shared" si="52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>
        <f t="shared" si="86"/>
        <v>3000</v>
      </c>
      <c r="G54" s="56"/>
      <c r="H54" s="56"/>
      <c r="I54" s="56"/>
      <c r="J54" s="56">
        <f t="shared" si="87"/>
        <v>3000</v>
      </c>
      <c r="K54" s="56"/>
      <c r="L54" s="56"/>
      <c r="M54" s="56"/>
      <c r="N54" s="56">
        <f t="shared" si="88"/>
        <v>3000</v>
      </c>
      <c r="O54" s="56"/>
      <c r="P54" s="56"/>
      <c r="Q54" s="56"/>
      <c r="R54" s="56">
        <f>$E54*1000</f>
        <v>3000</v>
      </c>
      <c r="S54" s="56"/>
      <c r="T54" s="56"/>
      <c r="U54" s="56"/>
      <c r="V54" s="56">
        <f t="shared" si="89"/>
        <v>3000</v>
      </c>
      <c r="W54" s="56"/>
      <c r="X54" s="56"/>
      <c r="Y54" s="56"/>
      <c r="Z54" s="56">
        <f t="shared" si="90"/>
        <v>3000</v>
      </c>
      <c r="AA54" s="56"/>
      <c r="AB54" s="56"/>
      <c r="AC54" s="56"/>
      <c r="AD54" s="56">
        <f t="shared" si="91"/>
        <v>3000</v>
      </c>
      <c r="AE54" s="56"/>
      <c r="AF54" s="56"/>
      <c r="AG54" s="56"/>
      <c r="AH54" s="56">
        <f t="shared" si="92"/>
        <v>3000</v>
      </c>
      <c r="AI54" s="56"/>
      <c r="AJ54" s="56"/>
      <c r="AK54" s="56"/>
      <c r="AL54" s="56">
        <f>$E54*1000</f>
        <v>3000</v>
      </c>
      <c r="AM54" s="56"/>
      <c r="AN54" s="56"/>
      <c r="AO54" s="56"/>
      <c r="AP54" s="56">
        <f>$E54*1000</f>
        <v>3000</v>
      </c>
      <c r="AQ54" s="56"/>
      <c r="AR54" s="56"/>
      <c r="AS54" s="56"/>
      <c r="AT54" s="56">
        <f>$E54*1000</f>
        <v>3000</v>
      </c>
      <c r="AU54" s="56"/>
      <c r="AV54" s="56"/>
      <c r="AW54" s="56"/>
      <c r="AX54" s="56">
        <f t="shared" si="93"/>
        <v>3000</v>
      </c>
      <c r="AY54" s="56"/>
      <c r="AZ54" s="56"/>
      <c r="BA54" s="56"/>
      <c r="BB54" s="56">
        <f t="shared" si="57"/>
        <v>36000</v>
      </c>
      <c r="BC54" s="56">
        <f t="shared" si="58"/>
        <v>0</v>
      </c>
      <c r="BE54">
        <f ca="1">'Monthly Collection-2023'!AY54</f>
        <v>0</v>
      </c>
      <c r="BF54" t="str">
        <f t="shared" ca="1" si="59"/>
        <v/>
      </c>
      <c r="BG54">
        <f t="shared" ca="1" si="60"/>
        <v>0</v>
      </c>
      <c r="BH54" t="str">
        <f t="shared" ca="1" si="61"/>
        <v/>
      </c>
      <c r="BI54">
        <f t="shared" ca="1" si="62"/>
        <v>0</v>
      </c>
      <c r="BJ54" t="str">
        <f t="shared" ca="1" si="63"/>
        <v/>
      </c>
      <c r="BK54">
        <f t="shared" ca="1" si="64"/>
        <v>0</v>
      </c>
      <c r="BL54" t="str">
        <f t="shared" ca="1" si="65"/>
        <v/>
      </c>
      <c r="BM54">
        <f t="shared" ca="1" si="66"/>
        <v>0</v>
      </c>
      <c r="BN54" t="str">
        <f t="shared" ca="1" si="67"/>
        <v/>
      </c>
      <c r="BO54">
        <f t="shared" ca="1" si="68"/>
        <v>0</v>
      </c>
      <c r="BP54" t="str">
        <f t="shared" ca="1" si="69"/>
        <v/>
      </c>
      <c r="BQ54">
        <f t="shared" ca="1" si="70"/>
        <v>0</v>
      </c>
      <c r="BR54" t="str">
        <f t="shared" ca="1" si="71"/>
        <v/>
      </c>
      <c r="BS54">
        <f t="shared" ca="1" si="72"/>
        <v>0</v>
      </c>
      <c r="BT54" t="str">
        <f t="shared" ca="1" si="73"/>
        <v/>
      </c>
      <c r="BU54">
        <f t="shared" ca="1" si="74"/>
        <v>0</v>
      </c>
      <c r="BV54" t="str">
        <f t="shared" ca="1" si="75"/>
        <v/>
      </c>
      <c r="BW54">
        <f t="shared" ca="1" si="76"/>
        <v>0</v>
      </c>
      <c r="BX54" t="str">
        <f t="shared" ca="1" si="77"/>
        <v/>
      </c>
      <c r="BY54">
        <f t="shared" ca="1" si="78"/>
        <v>0</v>
      </c>
      <c r="BZ54" t="str">
        <f t="shared" ca="1" si="79"/>
        <v/>
      </c>
      <c r="CA54">
        <f t="shared" ca="1" si="80"/>
        <v>0</v>
      </c>
      <c r="CB54" t="str">
        <f t="shared" ca="1" si="81"/>
        <v/>
      </c>
      <c r="CC54">
        <f t="shared" ca="1" si="82"/>
        <v>0</v>
      </c>
    </row>
    <row r="55" spans="2:81" ht="14.25" customHeight="1" x14ac:dyDescent="0.3">
      <c r="B55" s="51">
        <f t="shared" si="52"/>
        <v>52</v>
      </c>
      <c r="C55" s="52" t="s">
        <v>121</v>
      </c>
      <c r="D55" s="16">
        <f>'Member Wise Deposit Summary'!D55</f>
        <v>1833903155</v>
      </c>
      <c r="E55" s="52">
        <v>1</v>
      </c>
      <c r="F55" s="52">
        <f t="shared" si="86"/>
        <v>1000</v>
      </c>
      <c r="G55" s="52"/>
      <c r="H55" s="52"/>
      <c r="I55" s="52"/>
      <c r="J55" s="52">
        <f t="shared" si="87"/>
        <v>1000</v>
      </c>
      <c r="K55" s="52"/>
      <c r="L55" s="52"/>
      <c r="M55" s="52"/>
      <c r="N55" s="52">
        <f t="shared" si="88"/>
        <v>1000</v>
      </c>
      <c r="O55" s="52"/>
      <c r="P55" s="52"/>
      <c r="Q55" s="52"/>
      <c r="R55" s="243"/>
      <c r="S55" s="52"/>
      <c r="T55" s="52"/>
      <c r="U55" s="52"/>
      <c r="V55" s="52">
        <f t="shared" si="89"/>
        <v>1000</v>
      </c>
      <c r="W55" s="52"/>
      <c r="X55" s="52">
        <v>1000</v>
      </c>
      <c r="Y55" s="52">
        <v>50</v>
      </c>
      <c r="Z55" s="52">
        <f t="shared" si="90"/>
        <v>1000</v>
      </c>
      <c r="AA55" s="52"/>
      <c r="AB55" s="52"/>
      <c r="AC55" s="52"/>
      <c r="AD55" s="52">
        <f t="shared" si="91"/>
        <v>1000</v>
      </c>
      <c r="AE55" s="52"/>
      <c r="AF55" s="52"/>
      <c r="AG55" s="52"/>
      <c r="AH55" s="52">
        <f t="shared" si="92"/>
        <v>1000</v>
      </c>
      <c r="AI55" s="52"/>
      <c r="AJ55" s="52"/>
      <c r="AK55" s="52"/>
      <c r="AL55" s="243"/>
      <c r="AM55" s="52"/>
      <c r="AN55" s="52"/>
      <c r="AO55" s="52"/>
      <c r="AP55" s="243"/>
      <c r="AQ55" s="52"/>
      <c r="AR55" s="52"/>
      <c r="AS55" s="52"/>
      <c r="AT55" s="243"/>
      <c r="AU55" s="52"/>
      <c r="AV55" s="52"/>
      <c r="AW55" s="52"/>
      <c r="AX55" s="52">
        <f t="shared" si="93"/>
        <v>1000</v>
      </c>
      <c r="AY55" s="52"/>
      <c r="AZ55" s="52">
        <v>3000</v>
      </c>
      <c r="BA55" s="52">
        <v>150</v>
      </c>
      <c r="BB55" s="52">
        <f t="shared" si="57"/>
        <v>12000</v>
      </c>
      <c r="BC55" s="52">
        <f t="shared" si="58"/>
        <v>200</v>
      </c>
      <c r="BE55">
        <f ca="1">'Monthly Collection-2023'!AY55</f>
        <v>0</v>
      </c>
      <c r="BF55" t="str">
        <f t="shared" ca="1" si="59"/>
        <v/>
      </c>
      <c r="BG55">
        <f t="shared" ca="1" si="60"/>
        <v>0</v>
      </c>
      <c r="BH55" t="str">
        <f t="shared" ca="1" si="61"/>
        <v/>
      </c>
      <c r="BI55">
        <f t="shared" ca="1" si="62"/>
        <v>0</v>
      </c>
      <c r="BJ55" t="str">
        <f t="shared" ca="1" si="63"/>
        <v/>
      </c>
      <c r="BK55">
        <f t="shared" ca="1" si="64"/>
        <v>0</v>
      </c>
      <c r="BL55" t="str">
        <f t="shared" ca="1" si="65"/>
        <v>R</v>
      </c>
      <c r="BM55">
        <f t="shared" ca="1" si="66"/>
        <v>0</v>
      </c>
      <c r="BN55" t="str">
        <f t="shared" ca="1" si="67"/>
        <v/>
      </c>
      <c r="BO55">
        <f t="shared" ca="1" si="68"/>
        <v>0</v>
      </c>
      <c r="BP55" t="str">
        <f t="shared" ca="1" si="69"/>
        <v/>
      </c>
      <c r="BQ55">
        <f t="shared" ca="1" si="70"/>
        <v>0</v>
      </c>
      <c r="BR55" t="str">
        <f t="shared" ca="1" si="71"/>
        <v/>
      </c>
      <c r="BS55">
        <f t="shared" ca="1" si="72"/>
        <v>0</v>
      </c>
      <c r="BT55" t="str">
        <f t="shared" ca="1" si="73"/>
        <v/>
      </c>
      <c r="BU55">
        <f t="shared" ca="1" si="74"/>
        <v>0</v>
      </c>
      <c r="BV55" t="str">
        <f t="shared" ca="1" si="75"/>
        <v>R</v>
      </c>
      <c r="BW55">
        <f t="shared" ca="1" si="76"/>
        <v>0</v>
      </c>
      <c r="BX55" t="str">
        <f t="shared" ca="1" si="77"/>
        <v>R</v>
      </c>
      <c r="BY55">
        <f t="shared" ca="1" si="78"/>
        <v>0</v>
      </c>
      <c r="BZ55" t="str">
        <f t="shared" ca="1" si="79"/>
        <v>R</v>
      </c>
      <c r="CA55">
        <f t="shared" ca="1" si="80"/>
        <v>0</v>
      </c>
      <c r="CB55" t="str">
        <f t="shared" ca="1" si="81"/>
        <v/>
      </c>
      <c r="CC55">
        <f t="shared" ca="1" si="82"/>
        <v>0</v>
      </c>
    </row>
    <row r="56" spans="2:81" ht="14.25" customHeight="1" x14ac:dyDescent="0.3">
      <c r="B56" s="55">
        <f t="shared" si="52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>
        <f t="shared" si="86"/>
        <v>1000</v>
      </c>
      <c r="G56" s="56"/>
      <c r="H56" s="56"/>
      <c r="I56" s="56"/>
      <c r="J56" s="56">
        <f t="shared" si="87"/>
        <v>1000</v>
      </c>
      <c r="K56" s="56"/>
      <c r="L56" s="56"/>
      <c r="M56" s="56"/>
      <c r="N56" s="56">
        <f t="shared" si="88"/>
        <v>1000</v>
      </c>
      <c r="O56" s="56"/>
      <c r="P56" s="56"/>
      <c r="Q56" s="56"/>
      <c r="R56" s="241"/>
      <c r="S56" s="56"/>
      <c r="T56" s="56"/>
      <c r="U56" s="56"/>
      <c r="V56" s="56">
        <f t="shared" si="89"/>
        <v>1000</v>
      </c>
      <c r="W56" s="56"/>
      <c r="X56" s="56">
        <v>1000</v>
      </c>
      <c r="Y56" s="56">
        <v>50</v>
      </c>
      <c r="Z56" s="56">
        <f t="shared" si="90"/>
        <v>1000</v>
      </c>
      <c r="AA56" s="56"/>
      <c r="AB56" s="56"/>
      <c r="AC56" s="56"/>
      <c r="AD56" s="56">
        <f t="shared" si="91"/>
        <v>1000</v>
      </c>
      <c r="AE56" s="56"/>
      <c r="AF56" s="56"/>
      <c r="AG56" s="56"/>
      <c r="AH56" s="56">
        <f t="shared" si="92"/>
        <v>1000</v>
      </c>
      <c r="AI56" s="56"/>
      <c r="AJ56" s="56"/>
      <c r="AK56" s="56"/>
      <c r="AL56" s="56">
        <f>$E56*1000</f>
        <v>1000</v>
      </c>
      <c r="AM56" s="56"/>
      <c r="AN56" s="56"/>
      <c r="AO56" s="56"/>
      <c r="AP56" s="56">
        <f>$E56*1000</f>
        <v>1000</v>
      </c>
      <c r="AQ56" s="56"/>
      <c r="AR56" s="56"/>
      <c r="AS56" s="56"/>
      <c r="AT56" s="56">
        <f>$E56*1000</f>
        <v>1000</v>
      </c>
      <c r="AU56" s="56"/>
      <c r="AV56" s="56"/>
      <c r="AW56" s="56"/>
      <c r="AX56" s="56">
        <f t="shared" si="93"/>
        <v>1000</v>
      </c>
      <c r="AY56" s="56"/>
      <c r="AZ56" s="56"/>
      <c r="BA56" s="56"/>
      <c r="BB56" s="56">
        <f t="shared" si="57"/>
        <v>12000</v>
      </c>
      <c r="BC56" s="56">
        <f t="shared" si="58"/>
        <v>50</v>
      </c>
      <c r="BE56">
        <f ca="1">'Monthly Collection-2023'!AY56</f>
        <v>0</v>
      </c>
      <c r="BF56" t="str">
        <f t="shared" ca="1" si="59"/>
        <v/>
      </c>
      <c r="BG56">
        <f t="shared" ca="1" si="60"/>
        <v>0</v>
      </c>
      <c r="BH56" t="str">
        <f t="shared" ca="1" si="61"/>
        <v/>
      </c>
      <c r="BI56">
        <f t="shared" ca="1" si="62"/>
        <v>0</v>
      </c>
      <c r="BJ56" t="str">
        <f t="shared" ca="1" si="63"/>
        <v/>
      </c>
      <c r="BK56">
        <f t="shared" ca="1" si="64"/>
        <v>0</v>
      </c>
      <c r="BL56" t="str">
        <f t="shared" ca="1" si="65"/>
        <v>R</v>
      </c>
      <c r="BM56">
        <f t="shared" ca="1" si="66"/>
        <v>0</v>
      </c>
      <c r="BN56" t="str">
        <f t="shared" ca="1" si="67"/>
        <v/>
      </c>
      <c r="BO56">
        <f t="shared" ca="1" si="68"/>
        <v>0</v>
      </c>
      <c r="BP56" t="str">
        <f t="shared" ca="1" si="69"/>
        <v/>
      </c>
      <c r="BQ56">
        <f t="shared" ca="1" si="70"/>
        <v>0</v>
      </c>
      <c r="BR56" t="str">
        <f t="shared" ca="1" si="71"/>
        <v/>
      </c>
      <c r="BS56">
        <f t="shared" ca="1" si="72"/>
        <v>0</v>
      </c>
      <c r="BT56" t="str">
        <f t="shared" ca="1" si="73"/>
        <v/>
      </c>
      <c r="BU56">
        <f t="shared" ca="1" si="74"/>
        <v>0</v>
      </c>
      <c r="BV56" t="str">
        <f t="shared" ca="1" si="75"/>
        <v/>
      </c>
      <c r="BW56">
        <f t="shared" ca="1" si="76"/>
        <v>0</v>
      </c>
      <c r="BX56" t="str">
        <f t="shared" ca="1" si="77"/>
        <v/>
      </c>
      <c r="BY56">
        <f t="shared" ca="1" si="78"/>
        <v>0</v>
      </c>
      <c r="BZ56" t="str">
        <f t="shared" ca="1" si="79"/>
        <v/>
      </c>
      <c r="CA56">
        <f t="shared" ca="1" si="80"/>
        <v>0</v>
      </c>
      <c r="CB56" t="str">
        <f t="shared" ca="1" si="81"/>
        <v/>
      </c>
      <c r="CC56">
        <f t="shared" ca="1" si="82"/>
        <v>0</v>
      </c>
    </row>
    <row r="57" spans="2:81" ht="14.25" customHeight="1" x14ac:dyDescent="0.3">
      <c r="B57" s="51">
        <f t="shared" si="52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>
        <f t="shared" si="86"/>
        <v>1000</v>
      </c>
      <c r="G57" s="52"/>
      <c r="H57" s="52"/>
      <c r="I57" s="52"/>
      <c r="J57" s="52">
        <f t="shared" si="87"/>
        <v>1000</v>
      </c>
      <c r="K57" s="52"/>
      <c r="L57" s="52"/>
      <c r="M57" s="52"/>
      <c r="N57" s="52">
        <f t="shared" si="88"/>
        <v>1000</v>
      </c>
      <c r="O57" s="52"/>
      <c r="P57" s="52"/>
      <c r="Q57" s="52"/>
      <c r="R57" s="52">
        <f>$E57*1000</f>
        <v>1000</v>
      </c>
      <c r="S57" s="52"/>
      <c r="T57" s="52"/>
      <c r="U57" s="52">
        <v>50</v>
      </c>
      <c r="V57" s="52">
        <f t="shared" si="89"/>
        <v>1000</v>
      </c>
      <c r="W57" s="52"/>
      <c r="X57" s="52"/>
      <c r="Y57" s="52"/>
      <c r="Z57" s="52">
        <f t="shared" si="90"/>
        <v>1000</v>
      </c>
      <c r="AA57" s="52"/>
      <c r="AB57" s="52"/>
      <c r="AC57" s="52"/>
      <c r="AD57" s="52">
        <f t="shared" si="91"/>
        <v>1000</v>
      </c>
      <c r="AE57" s="52"/>
      <c r="AF57" s="52"/>
      <c r="AG57" s="52"/>
      <c r="AH57" s="52">
        <f t="shared" si="92"/>
        <v>1000</v>
      </c>
      <c r="AI57" s="52"/>
      <c r="AJ57" s="52"/>
      <c r="AK57" s="52"/>
      <c r="AL57" s="52">
        <f>$E57*1000</f>
        <v>1000</v>
      </c>
      <c r="AM57" s="52"/>
      <c r="AN57" s="52"/>
      <c r="AO57" s="52"/>
      <c r="AP57" s="52">
        <f>$E57*1000</f>
        <v>1000</v>
      </c>
      <c r="AQ57" s="52"/>
      <c r="AR57" s="52"/>
      <c r="AS57" s="52"/>
      <c r="AT57" s="52">
        <f>$E57*1000</f>
        <v>1000</v>
      </c>
      <c r="AU57" s="52"/>
      <c r="AV57" s="52"/>
      <c r="AW57" s="52"/>
      <c r="AX57" s="52">
        <f t="shared" si="93"/>
        <v>1000</v>
      </c>
      <c r="AY57" s="52"/>
      <c r="AZ57" s="52"/>
      <c r="BA57" s="52"/>
      <c r="BB57" s="52">
        <f t="shared" si="57"/>
        <v>12000</v>
      </c>
      <c r="BC57" s="52">
        <f t="shared" si="58"/>
        <v>50</v>
      </c>
      <c r="BE57">
        <f ca="1">'Monthly Collection-2023'!AY57</f>
        <v>0</v>
      </c>
      <c r="BF57" t="str">
        <f t="shared" ca="1" si="59"/>
        <v/>
      </c>
      <c r="BG57">
        <f t="shared" ca="1" si="60"/>
        <v>0</v>
      </c>
      <c r="BH57" t="str">
        <f t="shared" ca="1" si="61"/>
        <v/>
      </c>
      <c r="BI57">
        <f t="shared" ca="1" si="62"/>
        <v>0</v>
      </c>
      <c r="BJ57" t="str">
        <f t="shared" ca="1" si="63"/>
        <v/>
      </c>
      <c r="BK57">
        <f t="shared" ca="1" si="64"/>
        <v>0</v>
      </c>
      <c r="BL57" t="str">
        <f t="shared" ca="1" si="65"/>
        <v/>
      </c>
      <c r="BM57">
        <f t="shared" ca="1" si="66"/>
        <v>0</v>
      </c>
      <c r="BN57" t="str">
        <f t="shared" ca="1" si="67"/>
        <v/>
      </c>
      <c r="BO57">
        <f t="shared" ca="1" si="68"/>
        <v>0</v>
      </c>
      <c r="BP57" t="str">
        <f t="shared" ca="1" si="69"/>
        <v/>
      </c>
      <c r="BQ57">
        <f t="shared" ca="1" si="70"/>
        <v>0</v>
      </c>
      <c r="BR57" t="str">
        <f t="shared" ca="1" si="71"/>
        <v/>
      </c>
      <c r="BS57">
        <f t="shared" ca="1" si="72"/>
        <v>0</v>
      </c>
      <c r="BT57" t="str">
        <f t="shared" ca="1" si="73"/>
        <v/>
      </c>
      <c r="BU57">
        <f t="shared" ca="1" si="74"/>
        <v>0</v>
      </c>
      <c r="BV57" t="str">
        <f t="shared" ca="1" si="75"/>
        <v/>
      </c>
      <c r="BW57">
        <f t="shared" ca="1" si="76"/>
        <v>0</v>
      </c>
      <c r="BX57" t="str">
        <f t="shared" ca="1" si="77"/>
        <v/>
      </c>
      <c r="BY57">
        <f t="shared" ca="1" si="78"/>
        <v>0</v>
      </c>
      <c r="BZ57" t="str">
        <f t="shared" ca="1" si="79"/>
        <v/>
      </c>
      <c r="CA57">
        <f t="shared" ca="1" si="80"/>
        <v>0</v>
      </c>
      <c r="CB57" t="str">
        <f t="shared" ca="1" si="81"/>
        <v/>
      </c>
      <c r="CC57">
        <f t="shared" ca="1" si="82"/>
        <v>0</v>
      </c>
    </row>
    <row r="58" spans="2:81" ht="14.25" customHeight="1" x14ac:dyDescent="0.3">
      <c r="B58" s="55">
        <f t="shared" si="52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241"/>
      <c r="G58" s="56"/>
      <c r="H58" s="56"/>
      <c r="I58" s="56"/>
      <c r="J58" s="241"/>
      <c r="K58" s="56"/>
      <c r="L58" s="56"/>
      <c r="M58" s="56"/>
      <c r="N58" s="241"/>
      <c r="O58" s="56"/>
      <c r="P58" s="56"/>
      <c r="Q58" s="56"/>
      <c r="R58" s="241"/>
      <c r="S58" s="56"/>
      <c r="T58" s="56"/>
      <c r="U58" s="56"/>
      <c r="V58" s="56">
        <f t="shared" si="89"/>
        <v>2000</v>
      </c>
      <c r="W58" s="56"/>
      <c r="X58" s="56">
        <v>14000</v>
      </c>
      <c r="Y58" s="56">
        <v>1800</v>
      </c>
      <c r="Z58" s="56">
        <f t="shared" si="90"/>
        <v>2000</v>
      </c>
      <c r="AA58" s="56"/>
      <c r="AB58" s="56"/>
      <c r="AC58" s="56"/>
      <c r="AD58" s="56">
        <f t="shared" si="91"/>
        <v>2000</v>
      </c>
      <c r="AE58" s="56">
        <v>8000</v>
      </c>
      <c r="AF58" s="56"/>
      <c r="AG58" s="56"/>
      <c r="AH58" s="244"/>
      <c r="AI58" s="56"/>
      <c r="AJ58" s="56"/>
      <c r="AK58" s="56"/>
      <c r="AL58" s="244"/>
      <c r="AM58" s="56"/>
      <c r="AN58" s="56"/>
      <c r="AO58" s="56"/>
      <c r="AP58" s="244"/>
      <c r="AQ58" s="56"/>
      <c r="AR58" s="56"/>
      <c r="AS58" s="56"/>
      <c r="AT58" s="244"/>
      <c r="AU58" s="56"/>
      <c r="AV58" s="56"/>
      <c r="AW58" s="56"/>
      <c r="AX58" s="56">
        <f t="shared" si="93"/>
        <v>2000</v>
      </c>
      <c r="AY58" s="56">
        <v>8000</v>
      </c>
      <c r="AZ58" s="56"/>
      <c r="BA58" s="56"/>
      <c r="BB58" s="56">
        <f t="shared" si="57"/>
        <v>38000</v>
      </c>
      <c r="BC58" s="56">
        <f t="shared" si="58"/>
        <v>1800</v>
      </c>
      <c r="BE58">
        <f ca="1">'Monthly Collection-2023'!AY58</f>
        <v>0</v>
      </c>
      <c r="BF58" t="str">
        <f t="shared" ca="1" si="59"/>
        <v>R</v>
      </c>
      <c r="BG58">
        <f t="shared" ca="1" si="60"/>
        <v>0</v>
      </c>
      <c r="BH58" t="str">
        <f t="shared" ca="1" si="61"/>
        <v>R</v>
      </c>
      <c r="BI58">
        <f t="shared" ca="1" si="62"/>
        <v>0</v>
      </c>
      <c r="BJ58" t="str">
        <f t="shared" ca="1" si="63"/>
        <v>R</v>
      </c>
      <c r="BK58">
        <f t="shared" ca="1" si="64"/>
        <v>0</v>
      </c>
      <c r="BL58" t="str">
        <f t="shared" ca="1" si="65"/>
        <v>R</v>
      </c>
      <c r="BM58">
        <f t="shared" ca="1" si="66"/>
        <v>0</v>
      </c>
      <c r="BN58" t="str">
        <f t="shared" ca="1" si="67"/>
        <v/>
      </c>
      <c r="BO58">
        <f t="shared" ca="1" si="68"/>
        <v>0</v>
      </c>
      <c r="BP58" t="str">
        <f t="shared" ca="1" si="69"/>
        <v/>
      </c>
      <c r="BQ58">
        <f t="shared" ca="1" si="70"/>
        <v>0</v>
      </c>
      <c r="BR58" t="str">
        <f t="shared" ca="1" si="71"/>
        <v/>
      </c>
      <c r="BS58">
        <f t="shared" ca="1" si="72"/>
        <v>8000</v>
      </c>
      <c r="BT58" t="str">
        <f t="shared" ca="1" si="73"/>
        <v>G</v>
      </c>
      <c r="BU58">
        <f t="shared" ca="1" si="74"/>
        <v>6000</v>
      </c>
      <c r="BV58" t="str">
        <f t="shared" ca="1" si="75"/>
        <v>G</v>
      </c>
      <c r="BW58">
        <f t="shared" ca="1" si="76"/>
        <v>4000</v>
      </c>
      <c r="BX58" t="str">
        <f t="shared" ca="1" si="77"/>
        <v>G</v>
      </c>
      <c r="BY58">
        <f t="shared" ca="1" si="78"/>
        <v>2000</v>
      </c>
      <c r="BZ58" t="str">
        <f t="shared" ca="1" si="79"/>
        <v>G</v>
      </c>
      <c r="CA58">
        <f t="shared" ca="1" si="80"/>
        <v>0</v>
      </c>
      <c r="CB58" t="str">
        <f t="shared" ca="1" si="81"/>
        <v/>
      </c>
      <c r="CC58">
        <f t="shared" ca="1" si="82"/>
        <v>8000</v>
      </c>
    </row>
    <row r="59" spans="2:81" ht="14.25" customHeight="1" x14ac:dyDescent="0.3">
      <c r="B59" s="51">
        <f t="shared" si="52"/>
        <v>56</v>
      </c>
      <c r="C59" s="52" t="s">
        <v>125</v>
      </c>
      <c r="D59" s="16" t="str">
        <f>'Member Wise Deposit Summary'!D59</f>
        <v>01585430658</v>
      </c>
      <c r="E59" s="52">
        <v>1</v>
      </c>
      <c r="F59" s="52">
        <f t="shared" ref="F59:F69" si="94">$E59*1000</f>
        <v>1000</v>
      </c>
      <c r="G59" s="52"/>
      <c r="H59" s="52"/>
      <c r="I59" s="52"/>
      <c r="J59" s="52">
        <f t="shared" ref="J59:J64" si="95">$E59*1000</f>
        <v>1000</v>
      </c>
      <c r="K59" s="52"/>
      <c r="L59" s="52"/>
      <c r="M59" s="52"/>
      <c r="N59" s="52">
        <f t="shared" ref="N59:N76" si="96">$E59*1000</f>
        <v>1000</v>
      </c>
      <c r="O59" s="52"/>
      <c r="P59" s="52"/>
      <c r="Q59" s="52">
        <v>50</v>
      </c>
      <c r="R59" s="52">
        <f>$E59*1000</f>
        <v>1000</v>
      </c>
      <c r="S59" s="52"/>
      <c r="T59" s="52"/>
      <c r="U59" s="52"/>
      <c r="V59" s="52">
        <f t="shared" si="89"/>
        <v>1000</v>
      </c>
      <c r="W59" s="52"/>
      <c r="X59" s="52"/>
      <c r="Y59" s="52">
        <v>600</v>
      </c>
      <c r="Z59" s="52">
        <f t="shared" si="90"/>
        <v>1000</v>
      </c>
      <c r="AA59" s="52"/>
      <c r="AB59" s="52"/>
      <c r="AC59" s="52"/>
      <c r="AD59" s="52">
        <f t="shared" si="91"/>
        <v>1000</v>
      </c>
      <c r="AE59" s="52"/>
      <c r="AF59" s="52"/>
      <c r="AG59" s="52"/>
      <c r="AH59" s="52">
        <f>$E59*1000</f>
        <v>1000</v>
      </c>
      <c r="AI59" s="52"/>
      <c r="AJ59" s="52"/>
      <c r="AK59" s="52"/>
      <c r="AL59" s="52">
        <f>$E59*1000</f>
        <v>1000</v>
      </c>
      <c r="AM59" s="52"/>
      <c r="AN59" s="52"/>
      <c r="AO59" s="52"/>
      <c r="AP59" s="52">
        <f>$E59*1000</f>
        <v>1000</v>
      </c>
      <c r="AQ59" s="52"/>
      <c r="AR59" s="52"/>
      <c r="AS59" s="52"/>
      <c r="AT59" s="52">
        <f t="shared" ref="AT59:AT64" si="97">$E59*1000</f>
        <v>1000</v>
      </c>
      <c r="AU59" s="52"/>
      <c r="AV59" s="52"/>
      <c r="AW59" s="52"/>
      <c r="AX59" s="52">
        <f t="shared" si="93"/>
        <v>1000</v>
      </c>
      <c r="AY59" s="52"/>
      <c r="AZ59" s="52"/>
      <c r="BA59" s="52"/>
      <c r="BB59" s="52">
        <f t="shared" si="57"/>
        <v>12000</v>
      </c>
      <c r="BC59" s="52">
        <f t="shared" si="58"/>
        <v>650</v>
      </c>
      <c r="BE59">
        <f ca="1">'Monthly Collection-2023'!AY59</f>
        <v>0</v>
      </c>
      <c r="BF59" t="str">
        <f t="shared" ca="1" si="59"/>
        <v/>
      </c>
      <c r="BG59">
        <f t="shared" ca="1" si="60"/>
        <v>0</v>
      </c>
      <c r="BH59" t="str">
        <f t="shared" ca="1" si="61"/>
        <v/>
      </c>
      <c r="BI59">
        <f t="shared" ca="1" si="62"/>
        <v>0</v>
      </c>
      <c r="BJ59" t="str">
        <f t="shared" ca="1" si="63"/>
        <v/>
      </c>
      <c r="BK59">
        <f t="shared" ca="1" si="64"/>
        <v>0</v>
      </c>
      <c r="BL59" t="str">
        <f t="shared" ca="1" si="65"/>
        <v/>
      </c>
      <c r="BM59">
        <f t="shared" ca="1" si="66"/>
        <v>0</v>
      </c>
      <c r="BN59" t="str">
        <f t="shared" ca="1" si="67"/>
        <v/>
      </c>
      <c r="BO59">
        <f t="shared" ca="1" si="68"/>
        <v>0</v>
      </c>
      <c r="BP59" t="str">
        <f t="shared" ca="1" si="69"/>
        <v/>
      </c>
      <c r="BQ59">
        <f t="shared" ca="1" si="70"/>
        <v>0</v>
      </c>
      <c r="BR59" t="str">
        <f t="shared" ca="1" si="71"/>
        <v/>
      </c>
      <c r="BS59">
        <f t="shared" ca="1" si="72"/>
        <v>0</v>
      </c>
      <c r="BT59" t="str">
        <f t="shared" ca="1" si="73"/>
        <v/>
      </c>
      <c r="BU59">
        <f t="shared" ca="1" si="74"/>
        <v>0</v>
      </c>
      <c r="BV59" t="str">
        <f t="shared" ca="1" si="75"/>
        <v/>
      </c>
      <c r="BW59">
        <f t="shared" ca="1" si="76"/>
        <v>0</v>
      </c>
      <c r="BX59" t="str">
        <f t="shared" ca="1" si="77"/>
        <v/>
      </c>
      <c r="BY59">
        <f t="shared" ca="1" si="78"/>
        <v>0</v>
      </c>
      <c r="BZ59" t="str">
        <f t="shared" ca="1" si="79"/>
        <v/>
      </c>
      <c r="CA59">
        <f t="shared" ca="1" si="80"/>
        <v>0</v>
      </c>
      <c r="CB59" t="str">
        <f t="shared" ca="1" si="81"/>
        <v/>
      </c>
      <c r="CC59">
        <f t="shared" ca="1" si="82"/>
        <v>0</v>
      </c>
    </row>
    <row r="60" spans="2:81" ht="14.25" customHeight="1" x14ac:dyDescent="0.3">
      <c r="B60" s="55">
        <f t="shared" si="52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56">
        <f t="shared" si="94"/>
        <v>1000</v>
      </c>
      <c r="G60" s="56"/>
      <c r="H60" s="56"/>
      <c r="I60" s="56"/>
      <c r="J60" s="56">
        <f t="shared" si="95"/>
        <v>1000</v>
      </c>
      <c r="K60" s="56"/>
      <c r="L60" s="56"/>
      <c r="M60" s="56"/>
      <c r="N60" s="56">
        <f t="shared" si="96"/>
        <v>1000</v>
      </c>
      <c r="O60" s="56"/>
      <c r="P60" s="56"/>
      <c r="Q60" s="56"/>
      <c r="R60" s="241"/>
      <c r="S60" s="56"/>
      <c r="T60" s="56"/>
      <c r="U60" s="56"/>
      <c r="V60" s="56">
        <f t="shared" si="89"/>
        <v>1000</v>
      </c>
      <c r="W60" s="56"/>
      <c r="X60" s="56">
        <v>1000</v>
      </c>
      <c r="Y60" s="56">
        <v>50</v>
      </c>
      <c r="Z60" s="56">
        <f t="shared" si="90"/>
        <v>1000</v>
      </c>
      <c r="AA60" s="56"/>
      <c r="AB60" s="56"/>
      <c r="AC60" s="56"/>
      <c r="AD60" s="241"/>
      <c r="AE60" s="56"/>
      <c r="AF60" s="56"/>
      <c r="AG60" s="56"/>
      <c r="AH60" s="241"/>
      <c r="AI60" s="56"/>
      <c r="AJ60" s="56"/>
      <c r="AK60" s="56"/>
      <c r="AL60" s="241"/>
      <c r="AM60" s="56"/>
      <c r="AN60" s="56"/>
      <c r="AO60" s="56"/>
      <c r="AP60" s="241"/>
      <c r="AQ60" s="56"/>
      <c r="AR60" s="56"/>
      <c r="AS60" s="56"/>
      <c r="AT60" s="56">
        <f t="shared" si="97"/>
        <v>1000</v>
      </c>
      <c r="AU60" s="56"/>
      <c r="AV60" s="56">
        <v>4000</v>
      </c>
      <c r="AW60" s="56">
        <v>200</v>
      </c>
      <c r="AX60" s="241"/>
      <c r="AY60" s="56"/>
      <c r="AZ60" s="56"/>
      <c r="BA60" s="56"/>
      <c r="BB60" s="56">
        <f t="shared" si="57"/>
        <v>11000</v>
      </c>
      <c r="BC60" s="56">
        <f t="shared" si="58"/>
        <v>250</v>
      </c>
      <c r="BE60">
        <f ca="1">'Monthly Collection-2023'!AY60</f>
        <v>0</v>
      </c>
      <c r="BF60" t="str">
        <f t="shared" ca="1" si="59"/>
        <v/>
      </c>
      <c r="BG60">
        <f t="shared" ca="1" si="60"/>
        <v>0</v>
      </c>
      <c r="BH60" t="str">
        <f t="shared" ca="1" si="61"/>
        <v/>
      </c>
      <c r="BI60">
        <f t="shared" ca="1" si="62"/>
        <v>0</v>
      </c>
      <c r="BJ60" t="str">
        <f t="shared" ca="1" si="63"/>
        <v/>
      </c>
      <c r="BK60">
        <f t="shared" ca="1" si="64"/>
        <v>0</v>
      </c>
      <c r="BL60" t="str">
        <f t="shared" ca="1" si="65"/>
        <v>R</v>
      </c>
      <c r="BM60">
        <f t="shared" ca="1" si="66"/>
        <v>0</v>
      </c>
      <c r="BN60" t="str">
        <f t="shared" ca="1" si="67"/>
        <v/>
      </c>
      <c r="BO60">
        <f t="shared" ca="1" si="68"/>
        <v>0</v>
      </c>
      <c r="BP60" t="str">
        <f t="shared" ca="1" si="69"/>
        <v/>
      </c>
      <c r="BQ60">
        <f t="shared" ca="1" si="70"/>
        <v>0</v>
      </c>
      <c r="BR60" t="str">
        <f t="shared" ca="1" si="71"/>
        <v>R</v>
      </c>
      <c r="BS60">
        <f t="shared" ca="1" si="72"/>
        <v>0</v>
      </c>
      <c r="BT60" t="str">
        <f t="shared" ca="1" si="73"/>
        <v>R</v>
      </c>
      <c r="BU60">
        <f t="shared" ca="1" si="74"/>
        <v>0</v>
      </c>
      <c r="BV60" t="str">
        <f t="shared" ca="1" si="75"/>
        <v>R</v>
      </c>
      <c r="BW60">
        <f t="shared" ca="1" si="76"/>
        <v>0</v>
      </c>
      <c r="BX60" t="str">
        <f t="shared" ca="1" si="77"/>
        <v>R</v>
      </c>
      <c r="BY60">
        <f t="shared" ca="1" si="78"/>
        <v>0</v>
      </c>
      <c r="BZ60" t="str">
        <f t="shared" ca="1" si="79"/>
        <v/>
      </c>
      <c r="CA60">
        <f t="shared" ca="1" si="80"/>
        <v>0</v>
      </c>
      <c r="CB60" t="str">
        <f t="shared" ca="1" si="81"/>
        <v>R</v>
      </c>
      <c r="CC60">
        <f t="shared" ca="1" si="82"/>
        <v>0</v>
      </c>
    </row>
    <row r="61" spans="2:81" ht="14.25" customHeight="1" x14ac:dyDescent="0.3">
      <c r="B61" s="51">
        <f t="shared" si="52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>
        <f t="shared" si="94"/>
        <v>1000</v>
      </c>
      <c r="G61" s="52"/>
      <c r="H61" s="52"/>
      <c r="I61" s="52"/>
      <c r="J61" s="52">
        <f t="shared" si="95"/>
        <v>1000</v>
      </c>
      <c r="K61" s="52"/>
      <c r="L61" s="52"/>
      <c r="M61" s="52"/>
      <c r="N61" s="52">
        <f t="shared" si="96"/>
        <v>1000</v>
      </c>
      <c r="O61" s="52"/>
      <c r="P61" s="52"/>
      <c r="Q61" s="52"/>
      <c r="R61" s="52">
        <f t="shared" ref="R61:R76" si="98">$E61*1000</f>
        <v>1000</v>
      </c>
      <c r="S61" s="52"/>
      <c r="T61" s="52"/>
      <c r="U61" s="52"/>
      <c r="V61" s="52">
        <f t="shared" si="89"/>
        <v>1000</v>
      </c>
      <c r="W61" s="52"/>
      <c r="X61" s="52"/>
      <c r="Y61" s="52"/>
      <c r="Z61" s="52">
        <f t="shared" si="90"/>
        <v>1000</v>
      </c>
      <c r="AA61" s="52"/>
      <c r="AB61" s="52"/>
      <c r="AC61" s="52"/>
      <c r="AD61" s="52">
        <f t="shared" ref="AD61:AD69" si="99">$E61*1000</f>
        <v>1000</v>
      </c>
      <c r="AE61" s="52"/>
      <c r="AF61" s="52"/>
      <c r="AG61" s="52"/>
      <c r="AH61" s="52">
        <f>$E61*1000</f>
        <v>1000</v>
      </c>
      <c r="AI61" s="52"/>
      <c r="AJ61" s="52"/>
      <c r="AK61" s="52"/>
      <c r="AL61" s="52">
        <f t="shared" ref="AL61:AL66" si="100">$E61*1000</f>
        <v>1000</v>
      </c>
      <c r="AM61" s="52"/>
      <c r="AN61" s="52"/>
      <c r="AO61" s="52"/>
      <c r="AP61" s="52">
        <f>$E61*1000</f>
        <v>1000</v>
      </c>
      <c r="AQ61" s="52"/>
      <c r="AR61" s="52"/>
      <c r="AS61" s="52"/>
      <c r="AT61" s="52">
        <f t="shared" si="97"/>
        <v>1000</v>
      </c>
      <c r="AU61" s="52"/>
      <c r="AV61" s="52"/>
      <c r="AW61" s="52"/>
      <c r="AX61" s="52">
        <f>$E61*1000</f>
        <v>1000</v>
      </c>
      <c r="AY61" s="52"/>
      <c r="AZ61" s="52"/>
      <c r="BA61" s="52"/>
      <c r="BB61" s="52">
        <f t="shared" si="57"/>
        <v>12000</v>
      </c>
      <c r="BC61" s="52">
        <f t="shared" si="58"/>
        <v>0</v>
      </c>
      <c r="BE61">
        <f ca="1">'Monthly Collection-2023'!AY61</f>
        <v>0</v>
      </c>
      <c r="BF61" t="str">
        <f t="shared" ca="1" si="59"/>
        <v/>
      </c>
      <c r="BG61">
        <f t="shared" ca="1" si="60"/>
        <v>0</v>
      </c>
      <c r="BH61" t="str">
        <f t="shared" ca="1" si="61"/>
        <v/>
      </c>
      <c r="BI61">
        <f t="shared" ca="1" si="62"/>
        <v>0</v>
      </c>
      <c r="BJ61" t="str">
        <f t="shared" ca="1" si="63"/>
        <v/>
      </c>
      <c r="BK61">
        <f t="shared" ca="1" si="64"/>
        <v>0</v>
      </c>
      <c r="BL61" t="str">
        <f t="shared" ca="1" si="65"/>
        <v/>
      </c>
      <c r="BM61">
        <f t="shared" ca="1" si="66"/>
        <v>0</v>
      </c>
      <c r="BN61" t="str">
        <f t="shared" ca="1" si="67"/>
        <v/>
      </c>
      <c r="BO61">
        <f t="shared" ca="1" si="68"/>
        <v>0</v>
      </c>
      <c r="BP61" t="str">
        <f t="shared" ca="1" si="69"/>
        <v/>
      </c>
      <c r="BQ61">
        <f t="shared" ca="1" si="70"/>
        <v>0</v>
      </c>
      <c r="BR61" t="str">
        <f t="shared" ca="1" si="71"/>
        <v/>
      </c>
      <c r="BS61">
        <f t="shared" ca="1" si="72"/>
        <v>0</v>
      </c>
      <c r="BT61" t="str">
        <f t="shared" ca="1" si="73"/>
        <v/>
      </c>
      <c r="BU61">
        <f t="shared" ca="1" si="74"/>
        <v>0</v>
      </c>
      <c r="BV61" t="str">
        <f t="shared" ca="1" si="75"/>
        <v/>
      </c>
      <c r="BW61">
        <f t="shared" ca="1" si="76"/>
        <v>0</v>
      </c>
      <c r="BX61" t="str">
        <f t="shared" ca="1" si="77"/>
        <v/>
      </c>
      <c r="BY61">
        <f t="shared" ca="1" si="78"/>
        <v>0</v>
      </c>
      <c r="BZ61" t="str">
        <f t="shared" ca="1" si="79"/>
        <v/>
      </c>
      <c r="CA61">
        <f t="shared" ca="1" si="80"/>
        <v>0</v>
      </c>
      <c r="CB61" t="str">
        <f t="shared" ca="1" si="81"/>
        <v/>
      </c>
      <c r="CC61">
        <f t="shared" ca="1" si="82"/>
        <v>0</v>
      </c>
    </row>
    <row r="62" spans="2:81" ht="14.25" customHeight="1" x14ac:dyDescent="0.3">
      <c r="B62" s="55">
        <f t="shared" si="52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>
        <f t="shared" si="94"/>
        <v>1000</v>
      </c>
      <c r="G62" s="56"/>
      <c r="H62" s="56"/>
      <c r="I62" s="56"/>
      <c r="J62" s="56">
        <f t="shared" si="95"/>
        <v>1000</v>
      </c>
      <c r="K62" s="56"/>
      <c r="L62" s="56"/>
      <c r="M62" s="56"/>
      <c r="N62" s="56">
        <f t="shared" si="96"/>
        <v>1000</v>
      </c>
      <c r="O62" s="56"/>
      <c r="P62" s="56"/>
      <c r="Q62" s="56"/>
      <c r="R62" s="56">
        <f t="shared" si="98"/>
        <v>1000</v>
      </c>
      <c r="S62" s="56"/>
      <c r="T62" s="56"/>
      <c r="U62" s="56"/>
      <c r="V62" s="56">
        <f t="shared" si="89"/>
        <v>1000</v>
      </c>
      <c r="W62" s="56"/>
      <c r="X62" s="56"/>
      <c r="Y62" s="56"/>
      <c r="Z62" s="56">
        <f t="shared" si="90"/>
        <v>1000</v>
      </c>
      <c r="AA62" s="56"/>
      <c r="AB62" s="56"/>
      <c r="AC62" s="56"/>
      <c r="AD62" s="56">
        <f t="shared" si="99"/>
        <v>1000</v>
      </c>
      <c r="AE62" s="56"/>
      <c r="AF62" s="56"/>
      <c r="AG62" s="56"/>
      <c r="AH62" s="56">
        <f>$E62*1000</f>
        <v>1000</v>
      </c>
      <c r="AI62" s="56"/>
      <c r="AJ62" s="56"/>
      <c r="AK62" s="56"/>
      <c r="AL62" s="56">
        <f t="shared" si="100"/>
        <v>1000</v>
      </c>
      <c r="AM62" s="56"/>
      <c r="AN62" s="56"/>
      <c r="AO62" s="56"/>
      <c r="AP62" s="56">
        <f>$E62*1000</f>
        <v>1000</v>
      </c>
      <c r="AQ62" s="56"/>
      <c r="AR62" s="56"/>
      <c r="AS62" s="56"/>
      <c r="AT62" s="56">
        <f t="shared" si="97"/>
        <v>1000</v>
      </c>
      <c r="AU62" s="56"/>
      <c r="AV62" s="56"/>
      <c r="AW62" s="56"/>
      <c r="AX62" s="56">
        <f>$E62*1000</f>
        <v>1000</v>
      </c>
      <c r="AY62" s="56"/>
      <c r="AZ62" s="56"/>
      <c r="BA62" s="56"/>
      <c r="BB62" s="56">
        <f t="shared" si="57"/>
        <v>12000</v>
      </c>
      <c r="BC62" s="56">
        <f t="shared" si="58"/>
        <v>0</v>
      </c>
      <c r="BE62">
        <f ca="1">'Monthly Collection-2023'!AY62</f>
        <v>0</v>
      </c>
      <c r="BF62" t="str">
        <f t="shared" ca="1" si="59"/>
        <v/>
      </c>
      <c r="BG62">
        <f t="shared" ca="1" si="60"/>
        <v>0</v>
      </c>
      <c r="BH62" t="str">
        <f t="shared" ca="1" si="61"/>
        <v/>
      </c>
      <c r="BI62">
        <f t="shared" ca="1" si="62"/>
        <v>0</v>
      </c>
      <c r="BJ62" t="str">
        <f t="shared" ca="1" si="63"/>
        <v/>
      </c>
      <c r="BK62">
        <f t="shared" ca="1" si="64"/>
        <v>0</v>
      </c>
      <c r="BL62" t="str">
        <f t="shared" ca="1" si="65"/>
        <v/>
      </c>
      <c r="BM62">
        <f t="shared" ca="1" si="66"/>
        <v>0</v>
      </c>
      <c r="BN62" t="str">
        <f t="shared" ca="1" si="67"/>
        <v/>
      </c>
      <c r="BO62">
        <f t="shared" ca="1" si="68"/>
        <v>0</v>
      </c>
      <c r="BP62" t="str">
        <f t="shared" ca="1" si="69"/>
        <v/>
      </c>
      <c r="BQ62">
        <f t="shared" ca="1" si="70"/>
        <v>0</v>
      </c>
      <c r="BR62" t="str">
        <f t="shared" ca="1" si="71"/>
        <v/>
      </c>
      <c r="BS62">
        <f t="shared" ca="1" si="72"/>
        <v>0</v>
      </c>
      <c r="BT62" t="str">
        <f t="shared" ca="1" si="73"/>
        <v/>
      </c>
      <c r="BU62">
        <f t="shared" ca="1" si="74"/>
        <v>0</v>
      </c>
      <c r="BV62" t="str">
        <f t="shared" ca="1" si="75"/>
        <v/>
      </c>
      <c r="BW62">
        <f t="shared" ca="1" si="76"/>
        <v>0</v>
      </c>
      <c r="BX62" t="str">
        <f t="shared" ca="1" si="77"/>
        <v/>
      </c>
      <c r="BY62">
        <f t="shared" ca="1" si="78"/>
        <v>0</v>
      </c>
      <c r="BZ62" t="str">
        <f t="shared" ca="1" si="79"/>
        <v/>
      </c>
      <c r="CA62">
        <f t="shared" ca="1" si="80"/>
        <v>0</v>
      </c>
      <c r="CB62" t="str">
        <f t="shared" ca="1" si="81"/>
        <v/>
      </c>
      <c r="CC62">
        <f t="shared" ca="1" si="82"/>
        <v>0</v>
      </c>
    </row>
    <row r="63" spans="2:81" ht="14.25" customHeight="1" x14ac:dyDescent="0.3">
      <c r="B63" s="51">
        <f t="shared" si="52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>
        <f t="shared" si="94"/>
        <v>2000</v>
      </c>
      <c r="G63" s="52"/>
      <c r="H63" s="52"/>
      <c r="I63" s="52"/>
      <c r="J63" s="52">
        <f t="shared" si="95"/>
        <v>2000</v>
      </c>
      <c r="K63" s="52"/>
      <c r="L63" s="52"/>
      <c r="M63" s="52"/>
      <c r="N63" s="52">
        <f t="shared" si="96"/>
        <v>2000</v>
      </c>
      <c r="O63" s="52"/>
      <c r="P63" s="52"/>
      <c r="Q63" s="52"/>
      <c r="R63" s="52">
        <f t="shared" si="98"/>
        <v>2000</v>
      </c>
      <c r="S63" s="52"/>
      <c r="T63" s="52"/>
      <c r="U63" s="52"/>
      <c r="V63" s="52">
        <f t="shared" si="89"/>
        <v>2000</v>
      </c>
      <c r="W63" s="52"/>
      <c r="X63" s="52"/>
      <c r="Y63" s="52"/>
      <c r="Z63" s="52">
        <f t="shared" si="90"/>
        <v>2000</v>
      </c>
      <c r="AA63" s="52"/>
      <c r="AB63" s="52"/>
      <c r="AC63" s="52"/>
      <c r="AD63" s="52">
        <f t="shared" si="99"/>
        <v>2000</v>
      </c>
      <c r="AE63" s="52"/>
      <c r="AF63" s="52"/>
      <c r="AG63" s="52"/>
      <c r="AH63" s="52">
        <f>$E63*1000</f>
        <v>2000</v>
      </c>
      <c r="AI63" s="52"/>
      <c r="AJ63" s="52"/>
      <c r="AK63" s="52"/>
      <c r="AL63" s="52">
        <f t="shared" si="100"/>
        <v>2000</v>
      </c>
      <c r="AM63" s="52"/>
      <c r="AN63" s="52"/>
      <c r="AO63" s="52"/>
      <c r="AP63" s="52">
        <f>$E63*1000</f>
        <v>2000</v>
      </c>
      <c r="AQ63" s="52"/>
      <c r="AR63" s="52"/>
      <c r="AS63" s="52"/>
      <c r="AT63" s="52">
        <f t="shared" si="97"/>
        <v>2000</v>
      </c>
      <c r="AU63" s="52"/>
      <c r="AV63" s="52"/>
      <c r="AW63" s="52"/>
      <c r="AX63" s="52">
        <f>$E63*1000</f>
        <v>2000</v>
      </c>
      <c r="AY63" s="52"/>
      <c r="AZ63" s="52"/>
      <c r="BA63" s="52"/>
      <c r="BB63" s="52">
        <f t="shared" si="57"/>
        <v>24000</v>
      </c>
      <c r="BC63" s="52">
        <f t="shared" si="58"/>
        <v>0</v>
      </c>
      <c r="BE63">
        <f ca="1">'Monthly Collection-2023'!AY63</f>
        <v>0</v>
      </c>
      <c r="BF63" t="str">
        <f t="shared" ca="1" si="59"/>
        <v/>
      </c>
      <c r="BG63">
        <f t="shared" ca="1" si="60"/>
        <v>0</v>
      </c>
      <c r="BH63" t="str">
        <f t="shared" ca="1" si="61"/>
        <v/>
      </c>
      <c r="BI63">
        <f t="shared" ca="1" si="62"/>
        <v>0</v>
      </c>
      <c r="BJ63" t="str">
        <f t="shared" ca="1" si="63"/>
        <v/>
      </c>
      <c r="BK63">
        <f t="shared" ca="1" si="64"/>
        <v>0</v>
      </c>
      <c r="BL63" t="str">
        <f t="shared" ca="1" si="65"/>
        <v/>
      </c>
      <c r="BM63">
        <f t="shared" ca="1" si="66"/>
        <v>0</v>
      </c>
      <c r="BN63" t="str">
        <f t="shared" ca="1" si="67"/>
        <v/>
      </c>
      <c r="BO63">
        <f t="shared" ca="1" si="68"/>
        <v>0</v>
      </c>
      <c r="BP63" t="str">
        <f t="shared" ca="1" si="69"/>
        <v/>
      </c>
      <c r="BQ63">
        <f t="shared" ca="1" si="70"/>
        <v>0</v>
      </c>
      <c r="BR63" t="str">
        <f t="shared" ca="1" si="71"/>
        <v/>
      </c>
      <c r="BS63">
        <f t="shared" ca="1" si="72"/>
        <v>0</v>
      </c>
      <c r="BT63" t="str">
        <f t="shared" ca="1" si="73"/>
        <v/>
      </c>
      <c r="BU63">
        <f t="shared" ca="1" si="74"/>
        <v>0</v>
      </c>
      <c r="BV63" t="str">
        <f t="shared" ca="1" si="75"/>
        <v/>
      </c>
      <c r="BW63">
        <f t="shared" ca="1" si="76"/>
        <v>0</v>
      </c>
      <c r="BX63" t="str">
        <f t="shared" ca="1" si="77"/>
        <v/>
      </c>
      <c r="BY63">
        <f t="shared" ca="1" si="78"/>
        <v>0</v>
      </c>
      <c r="BZ63" t="str">
        <f t="shared" ca="1" si="79"/>
        <v/>
      </c>
      <c r="CA63">
        <f t="shared" ca="1" si="80"/>
        <v>0</v>
      </c>
      <c r="CB63" t="str">
        <f t="shared" ca="1" si="81"/>
        <v/>
      </c>
      <c r="CC63">
        <f t="shared" ca="1" si="82"/>
        <v>0</v>
      </c>
    </row>
    <row r="64" spans="2:81" ht="14.25" customHeight="1" x14ac:dyDescent="0.3">
      <c r="B64" s="55">
        <f t="shared" si="52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>
        <f t="shared" si="94"/>
        <v>1000</v>
      </c>
      <c r="G64" s="56"/>
      <c r="H64" s="56"/>
      <c r="I64" s="56"/>
      <c r="J64" s="56">
        <f t="shared" si="95"/>
        <v>1000</v>
      </c>
      <c r="K64" s="56"/>
      <c r="L64" s="56"/>
      <c r="M64" s="56"/>
      <c r="N64" s="56">
        <f t="shared" si="96"/>
        <v>1000</v>
      </c>
      <c r="O64" s="56"/>
      <c r="P64" s="56"/>
      <c r="Q64" s="56"/>
      <c r="R64" s="56">
        <f t="shared" si="98"/>
        <v>1000</v>
      </c>
      <c r="S64" s="56"/>
      <c r="T64" s="56"/>
      <c r="U64" s="56"/>
      <c r="V64" s="56">
        <f t="shared" si="89"/>
        <v>1000</v>
      </c>
      <c r="W64" s="56"/>
      <c r="X64" s="56"/>
      <c r="Y64" s="56"/>
      <c r="Z64" s="56">
        <f t="shared" si="90"/>
        <v>1000</v>
      </c>
      <c r="AA64" s="56"/>
      <c r="AB64" s="56"/>
      <c r="AC64" s="56"/>
      <c r="AD64" s="56">
        <f t="shared" si="99"/>
        <v>1000</v>
      </c>
      <c r="AE64" s="56"/>
      <c r="AF64" s="56"/>
      <c r="AG64" s="56"/>
      <c r="AH64" s="56">
        <f>$E64*1000</f>
        <v>1000</v>
      </c>
      <c r="AI64" s="56"/>
      <c r="AJ64" s="56"/>
      <c r="AK64" s="56"/>
      <c r="AL64" s="56">
        <f t="shared" si="100"/>
        <v>1000</v>
      </c>
      <c r="AM64" s="56"/>
      <c r="AN64" s="56"/>
      <c r="AO64" s="56"/>
      <c r="AP64" s="56">
        <f>$E64*1000</f>
        <v>1000</v>
      </c>
      <c r="AQ64" s="56"/>
      <c r="AR64" s="56"/>
      <c r="AS64" s="56"/>
      <c r="AT64" s="56">
        <f t="shared" si="97"/>
        <v>1000</v>
      </c>
      <c r="AU64" s="56"/>
      <c r="AV64" s="56"/>
      <c r="AW64" s="56"/>
      <c r="AX64" s="241"/>
      <c r="AY64" s="56"/>
      <c r="AZ64" s="56"/>
      <c r="BA64" s="56"/>
      <c r="BB64" s="56">
        <f t="shared" si="57"/>
        <v>11000</v>
      </c>
      <c r="BC64" s="56">
        <f t="shared" si="58"/>
        <v>0</v>
      </c>
      <c r="BE64">
        <f ca="1">'Monthly Collection-2023'!AY64</f>
        <v>0</v>
      </c>
      <c r="BF64" t="str">
        <f t="shared" ca="1" si="59"/>
        <v/>
      </c>
      <c r="BG64">
        <f t="shared" ca="1" si="60"/>
        <v>0</v>
      </c>
      <c r="BH64" t="str">
        <f t="shared" ca="1" si="61"/>
        <v/>
      </c>
      <c r="BI64">
        <f t="shared" ca="1" si="62"/>
        <v>0</v>
      </c>
      <c r="BJ64" t="str">
        <f t="shared" ca="1" si="63"/>
        <v/>
      </c>
      <c r="BK64">
        <f t="shared" ca="1" si="64"/>
        <v>0</v>
      </c>
      <c r="BL64" t="str">
        <f t="shared" ca="1" si="65"/>
        <v/>
      </c>
      <c r="BM64">
        <f t="shared" ca="1" si="66"/>
        <v>0</v>
      </c>
      <c r="BN64" t="str">
        <f t="shared" ca="1" si="67"/>
        <v/>
      </c>
      <c r="BO64">
        <f t="shared" ca="1" si="68"/>
        <v>0</v>
      </c>
      <c r="BP64" t="str">
        <f t="shared" ca="1" si="69"/>
        <v/>
      </c>
      <c r="BQ64">
        <f t="shared" ca="1" si="70"/>
        <v>0</v>
      </c>
      <c r="BR64" t="str">
        <f t="shared" ca="1" si="71"/>
        <v/>
      </c>
      <c r="BS64">
        <f t="shared" ca="1" si="72"/>
        <v>0</v>
      </c>
      <c r="BT64" t="str">
        <f t="shared" ca="1" si="73"/>
        <v/>
      </c>
      <c r="BU64">
        <f t="shared" ca="1" si="74"/>
        <v>0</v>
      </c>
      <c r="BV64" t="str">
        <f t="shared" ca="1" si="75"/>
        <v/>
      </c>
      <c r="BW64">
        <f t="shared" ca="1" si="76"/>
        <v>0</v>
      </c>
      <c r="BX64" t="str">
        <f t="shared" ca="1" si="77"/>
        <v/>
      </c>
      <c r="BY64">
        <f t="shared" ca="1" si="78"/>
        <v>0</v>
      </c>
      <c r="BZ64" t="str">
        <f t="shared" ca="1" si="79"/>
        <v/>
      </c>
      <c r="CA64">
        <f t="shared" ca="1" si="80"/>
        <v>0</v>
      </c>
      <c r="CB64" t="str">
        <f t="shared" ca="1" si="81"/>
        <v>R</v>
      </c>
      <c r="CC64">
        <f t="shared" ca="1" si="82"/>
        <v>0</v>
      </c>
    </row>
    <row r="65" spans="2:81" ht="14.25" customHeight="1" x14ac:dyDescent="0.3">
      <c r="B65" s="51">
        <f t="shared" si="52"/>
        <v>62</v>
      </c>
      <c r="C65" s="52" t="s">
        <v>92</v>
      </c>
      <c r="D65" s="16">
        <f>'Member Wise Deposit Summary'!D65</f>
        <v>1885316318</v>
      </c>
      <c r="E65" s="52">
        <v>1</v>
      </c>
      <c r="F65" s="52">
        <f t="shared" si="94"/>
        <v>1000</v>
      </c>
      <c r="G65" s="52"/>
      <c r="H65" s="52"/>
      <c r="I65" s="52"/>
      <c r="J65" s="243"/>
      <c r="K65" s="52"/>
      <c r="L65" s="52"/>
      <c r="M65" s="52"/>
      <c r="N65" s="52">
        <f t="shared" si="96"/>
        <v>1000</v>
      </c>
      <c r="O65" s="52"/>
      <c r="P65" s="52">
        <v>1000</v>
      </c>
      <c r="Q65" s="52">
        <v>50</v>
      </c>
      <c r="R65" s="52">
        <f t="shared" si="98"/>
        <v>1000</v>
      </c>
      <c r="S65" s="52"/>
      <c r="T65" s="52"/>
      <c r="U65" s="52"/>
      <c r="V65" s="243"/>
      <c r="W65" s="52"/>
      <c r="X65" s="52"/>
      <c r="Y65" s="52"/>
      <c r="Z65" s="52">
        <f t="shared" si="90"/>
        <v>1000</v>
      </c>
      <c r="AA65" s="52"/>
      <c r="AB65" s="52">
        <v>1000</v>
      </c>
      <c r="AC65" s="52">
        <v>50</v>
      </c>
      <c r="AD65" s="52">
        <f t="shared" si="99"/>
        <v>1000</v>
      </c>
      <c r="AE65" s="52"/>
      <c r="AF65" s="52"/>
      <c r="AG65" s="52"/>
      <c r="AH65" s="243"/>
      <c r="AI65" s="52"/>
      <c r="AJ65" s="52"/>
      <c r="AK65" s="52"/>
      <c r="AL65" s="52">
        <f t="shared" si="100"/>
        <v>1000</v>
      </c>
      <c r="AM65" s="52"/>
      <c r="AN65" s="52">
        <v>1000</v>
      </c>
      <c r="AO65" s="52">
        <v>50</v>
      </c>
      <c r="AP65" s="243"/>
      <c r="AQ65" s="52"/>
      <c r="AR65" s="52">
        <v>1000</v>
      </c>
      <c r="AS65" s="52">
        <v>50</v>
      </c>
      <c r="AT65" s="243"/>
      <c r="AU65" s="52"/>
      <c r="AV65" s="52"/>
      <c r="AW65" s="52"/>
      <c r="AX65" s="243"/>
      <c r="AY65" s="52"/>
      <c r="AZ65" s="52"/>
      <c r="BA65" s="52"/>
      <c r="BB65" s="52">
        <f t="shared" si="57"/>
        <v>10000</v>
      </c>
      <c r="BC65" s="52">
        <f t="shared" si="58"/>
        <v>200</v>
      </c>
      <c r="BE65">
        <f ca="1">'Monthly Collection-2023'!AY65</f>
        <v>0</v>
      </c>
      <c r="BF65" t="str">
        <f t="shared" ca="1" si="59"/>
        <v/>
      </c>
      <c r="BG65">
        <f t="shared" ca="1" si="60"/>
        <v>0</v>
      </c>
      <c r="BH65" t="str">
        <f t="shared" ca="1" si="61"/>
        <v>R</v>
      </c>
      <c r="BI65">
        <f t="shared" ca="1" si="62"/>
        <v>0</v>
      </c>
      <c r="BJ65" t="str">
        <f t="shared" ca="1" si="63"/>
        <v/>
      </c>
      <c r="BK65">
        <f t="shared" ca="1" si="64"/>
        <v>0</v>
      </c>
      <c r="BL65" t="str">
        <f t="shared" ca="1" si="65"/>
        <v/>
      </c>
      <c r="BM65">
        <f t="shared" ca="1" si="66"/>
        <v>0</v>
      </c>
      <c r="BN65" t="str">
        <f t="shared" ca="1" si="67"/>
        <v>R</v>
      </c>
      <c r="BO65">
        <f t="shared" ca="1" si="68"/>
        <v>0</v>
      </c>
      <c r="BP65" t="str">
        <f t="shared" ca="1" si="69"/>
        <v/>
      </c>
      <c r="BQ65">
        <f t="shared" ca="1" si="70"/>
        <v>0</v>
      </c>
      <c r="BR65" t="str">
        <f t="shared" ca="1" si="71"/>
        <v/>
      </c>
      <c r="BS65">
        <f t="shared" ca="1" si="72"/>
        <v>0</v>
      </c>
      <c r="BT65" t="str">
        <f t="shared" ca="1" si="73"/>
        <v>R</v>
      </c>
      <c r="BU65">
        <f t="shared" ca="1" si="74"/>
        <v>0</v>
      </c>
      <c r="BV65" t="str">
        <f t="shared" ca="1" si="75"/>
        <v/>
      </c>
      <c r="BW65">
        <f t="shared" ca="1" si="76"/>
        <v>0</v>
      </c>
      <c r="BX65" t="str">
        <f t="shared" ca="1" si="77"/>
        <v>R</v>
      </c>
      <c r="BY65">
        <f t="shared" ca="1" si="78"/>
        <v>0</v>
      </c>
      <c r="BZ65" t="str">
        <f t="shared" ca="1" si="79"/>
        <v>R</v>
      </c>
      <c r="CA65">
        <f t="shared" ca="1" si="80"/>
        <v>0</v>
      </c>
      <c r="CB65" t="str">
        <f t="shared" ca="1" si="81"/>
        <v>R</v>
      </c>
      <c r="CC65">
        <f t="shared" ca="1" si="82"/>
        <v>0</v>
      </c>
    </row>
    <row r="66" spans="2:81" ht="14.25" customHeight="1" x14ac:dyDescent="0.3">
      <c r="B66" s="55">
        <f t="shared" si="52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>
        <f t="shared" si="94"/>
        <v>1000</v>
      </c>
      <c r="G66" s="56"/>
      <c r="H66" s="56"/>
      <c r="I66" s="56"/>
      <c r="J66" s="56">
        <f t="shared" ref="J66:J76" si="101">$E66*1000</f>
        <v>1000</v>
      </c>
      <c r="K66" s="56"/>
      <c r="L66" s="56"/>
      <c r="M66" s="56"/>
      <c r="N66" s="56">
        <f t="shared" si="96"/>
        <v>1000</v>
      </c>
      <c r="O66" s="56"/>
      <c r="P66" s="56"/>
      <c r="Q66" s="56"/>
      <c r="R66" s="56">
        <f t="shared" si="98"/>
        <v>1000</v>
      </c>
      <c r="S66" s="56"/>
      <c r="T66" s="56"/>
      <c r="U66" s="56"/>
      <c r="V66" s="56">
        <f t="shared" ref="V66:V76" si="102">$E66*1000</f>
        <v>1000</v>
      </c>
      <c r="W66" s="56"/>
      <c r="X66" s="56"/>
      <c r="Y66" s="56"/>
      <c r="Z66" s="56">
        <f t="shared" si="90"/>
        <v>1000</v>
      </c>
      <c r="AA66" s="56"/>
      <c r="AB66" s="56"/>
      <c r="AC66" s="56"/>
      <c r="AD66" s="56">
        <f t="shared" si="99"/>
        <v>1000</v>
      </c>
      <c r="AE66" s="56"/>
      <c r="AF66" s="56"/>
      <c r="AG66" s="56"/>
      <c r="AH66" s="56">
        <f>$E66*1000</f>
        <v>1000</v>
      </c>
      <c r="AI66" s="56"/>
      <c r="AJ66" s="56"/>
      <c r="AK66" s="56"/>
      <c r="AL66" s="56">
        <f t="shared" si="100"/>
        <v>1000</v>
      </c>
      <c r="AM66" s="56"/>
      <c r="AN66" s="56"/>
      <c r="AO66" s="56"/>
      <c r="AP66" s="56">
        <f>$E66*1000</f>
        <v>1000</v>
      </c>
      <c r="AQ66" s="56"/>
      <c r="AR66" s="56"/>
      <c r="AS66" s="56"/>
      <c r="AT66" s="56">
        <f t="shared" ref="AT66:AT76" si="103">$E66*1000</f>
        <v>1000</v>
      </c>
      <c r="AU66" s="56"/>
      <c r="AV66" s="56"/>
      <c r="AW66" s="56"/>
      <c r="AX66" s="56">
        <f>$E66*1000</f>
        <v>1000</v>
      </c>
      <c r="AY66" s="56"/>
      <c r="AZ66" s="56"/>
      <c r="BA66" s="56"/>
      <c r="BB66" s="56">
        <f t="shared" si="57"/>
        <v>12000</v>
      </c>
      <c r="BC66" s="56">
        <f t="shared" si="58"/>
        <v>0</v>
      </c>
      <c r="BE66">
        <f ca="1">'Monthly Collection-2023'!AY66</f>
        <v>0</v>
      </c>
      <c r="BF66" t="str">
        <f t="shared" ca="1" si="59"/>
        <v/>
      </c>
      <c r="BG66">
        <f t="shared" ca="1" si="60"/>
        <v>0</v>
      </c>
      <c r="BH66" t="str">
        <f t="shared" ca="1" si="61"/>
        <v/>
      </c>
      <c r="BI66">
        <f t="shared" ca="1" si="62"/>
        <v>0</v>
      </c>
      <c r="BJ66" t="str">
        <f t="shared" ca="1" si="63"/>
        <v/>
      </c>
      <c r="BK66">
        <f t="shared" ca="1" si="64"/>
        <v>0</v>
      </c>
      <c r="BL66" t="str">
        <f t="shared" ca="1" si="65"/>
        <v/>
      </c>
      <c r="BM66">
        <f t="shared" ca="1" si="66"/>
        <v>0</v>
      </c>
      <c r="BN66" t="str">
        <f t="shared" ca="1" si="67"/>
        <v/>
      </c>
      <c r="BO66">
        <f t="shared" ca="1" si="68"/>
        <v>0</v>
      </c>
      <c r="BP66" t="str">
        <f t="shared" ca="1" si="69"/>
        <v/>
      </c>
      <c r="BQ66">
        <f t="shared" ca="1" si="70"/>
        <v>0</v>
      </c>
      <c r="BR66" t="str">
        <f t="shared" ca="1" si="71"/>
        <v/>
      </c>
      <c r="BS66">
        <f t="shared" ca="1" si="72"/>
        <v>0</v>
      </c>
      <c r="BT66" t="str">
        <f t="shared" ca="1" si="73"/>
        <v/>
      </c>
      <c r="BU66">
        <f t="shared" ca="1" si="74"/>
        <v>0</v>
      </c>
      <c r="BV66" t="str">
        <f t="shared" ca="1" si="75"/>
        <v/>
      </c>
      <c r="BW66">
        <f t="shared" ca="1" si="76"/>
        <v>0</v>
      </c>
      <c r="BX66" t="str">
        <f t="shared" ca="1" si="77"/>
        <v/>
      </c>
      <c r="BY66">
        <f t="shared" ca="1" si="78"/>
        <v>0</v>
      </c>
      <c r="BZ66" t="str">
        <f t="shared" ca="1" si="79"/>
        <v/>
      </c>
      <c r="CA66">
        <f t="shared" ca="1" si="80"/>
        <v>0</v>
      </c>
      <c r="CB66" t="str">
        <f t="shared" ca="1" si="81"/>
        <v/>
      </c>
      <c r="CC66">
        <f t="shared" ca="1" si="82"/>
        <v>0</v>
      </c>
    </row>
    <row r="67" spans="2:81" ht="14.25" customHeight="1" x14ac:dyDescent="0.3">
      <c r="B67" s="51">
        <f t="shared" si="52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>
        <f t="shared" si="94"/>
        <v>1000</v>
      </c>
      <c r="G67" s="52"/>
      <c r="H67" s="52"/>
      <c r="I67" s="52"/>
      <c r="J67" s="52">
        <f t="shared" si="101"/>
        <v>1000</v>
      </c>
      <c r="K67" s="52"/>
      <c r="L67" s="52"/>
      <c r="M67" s="52"/>
      <c r="N67" s="52">
        <f t="shared" si="96"/>
        <v>1000</v>
      </c>
      <c r="O67" s="52"/>
      <c r="P67" s="52"/>
      <c r="Q67" s="52"/>
      <c r="R67" s="52">
        <f t="shared" si="98"/>
        <v>1000</v>
      </c>
      <c r="S67" s="52"/>
      <c r="T67" s="52"/>
      <c r="U67" s="52"/>
      <c r="V67" s="52">
        <f t="shared" si="102"/>
        <v>1000</v>
      </c>
      <c r="W67" s="52"/>
      <c r="X67" s="52"/>
      <c r="Y67" s="52"/>
      <c r="Z67" s="52">
        <f t="shared" si="90"/>
        <v>1000</v>
      </c>
      <c r="AA67" s="52"/>
      <c r="AB67" s="52"/>
      <c r="AC67" s="52"/>
      <c r="AD67" s="52">
        <f t="shared" si="99"/>
        <v>1000</v>
      </c>
      <c r="AE67" s="52"/>
      <c r="AF67" s="52"/>
      <c r="AG67" s="52"/>
      <c r="AH67" s="52">
        <f>$E67*1000</f>
        <v>1000</v>
      </c>
      <c r="AI67" s="52"/>
      <c r="AJ67" s="52"/>
      <c r="AK67" s="52"/>
      <c r="AL67" s="243"/>
      <c r="AM67" s="52"/>
      <c r="AN67" s="52"/>
      <c r="AO67" s="52"/>
      <c r="AP67" s="243"/>
      <c r="AQ67" s="52"/>
      <c r="AR67" s="52"/>
      <c r="AS67" s="52"/>
      <c r="AT67" s="52">
        <f t="shared" si="103"/>
        <v>1000</v>
      </c>
      <c r="AU67" s="52"/>
      <c r="AV67" s="52">
        <v>2000</v>
      </c>
      <c r="AW67" s="52">
        <v>100</v>
      </c>
      <c r="AX67" s="243"/>
      <c r="AY67" s="52"/>
      <c r="AZ67" s="52"/>
      <c r="BA67" s="52"/>
      <c r="BB67" s="52">
        <f t="shared" si="57"/>
        <v>11000</v>
      </c>
      <c r="BC67" s="52">
        <f t="shared" si="58"/>
        <v>100</v>
      </c>
      <c r="BE67">
        <f ca="1">'Monthly Collection-2023'!AY67</f>
        <v>0</v>
      </c>
      <c r="BF67" t="str">
        <f t="shared" ca="1" si="59"/>
        <v/>
      </c>
      <c r="BG67">
        <f t="shared" ca="1" si="60"/>
        <v>0</v>
      </c>
      <c r="BH67" t="str">
        <f t="shared" ca="1" si="61"/>
        <v/>
      </c>
      <c r="BI67">
        <f t="shared" ca="1" si="62"/>
        <v>0</v>
      </c>
      <c r="BJ67" t="str">
        <f t="shared" ca="1" si="63"/>
        <v/>
      </c>
      <c r="BK67">
        <f t="shared" ca="1" si="64"/>
        <v>0</v>
      </c>
      <c r="BL67" t="str">
        <f t="shared" ca="1" si="65"/>
        <v/>
      </c>
      <c r="BM67">
        <f t="shared" ca="1" si="66"/>
        <v>0</v>
      </c>
      <c r="BN67" t="str">
        <f t="shared" ca="1" si="67"/>
        <v/>
      </c>
      <c r="BO67">
        <f t="shared" ca="1" si="68"/>
        <v>0</v>
      </c>
      <c r="BP67" t="str">
        <f t="shared" ca="1" si="69"/>
        <v/>
      </c>
      <c r="BQ67">
        <f t="shared" ca="1" si="70"/>
        <v>0</v>
      </c>
      <c r="BR67" t="str">
        <f t="shared" ca="1" si="71"/>
        <v/>
      </c>
      <c r="BS67">
        <f t="shared" ca="1" si="72"/>
        <v>0</v>
      </c>
      <c r="BT67" t="str">
        <f t="shared" ca="1" si="73"/>
        <v/>
      </c>
      <c r="BU67">
        <f t="shared" ca="1" si="74"/>
        <v>0</v>
      </c>
      <c r="BV67" t="str">
        <f t="shared" ca="1" si="75"/>
        <v>R</v>
      </c>
      <c r="BW67">
        <f t="shared" ca="1" si="76"/>
        <v>0</v>
      </c>
      <c r="BX67" t="str">
        <f t="shared" ca="1" si="77"/>
        <v>R</v>
      </c>
      <c r="BY67">
        <f t="shared" ca="1" si="78"/>
        <v>0</v>
      </c>
      <c r="BZ67" t="str">
        <f t="shared" ca="1" si="79"/>
        <v/>
      </c>
      <c r="CA67">
        <f t="shared" ca="1" si="80"/>
        <v>0</v>
      </c>
      <c r="CB67" t="str">
        <f t="shared" ca="1" si="81"/>
        <v>R</v>
      </c>
      <c r="CC67">
        <f t="shared" ca="1" si="82"/>
        <v>0</v>
      </c>
    </row>
    <row r="68" spans="2:81" ht="14.25" customHeight="1" x14ac:dyDescent="0.3">
      <c r="B68" s="55">
        <f t="shared" ref="B68:B80" si="104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>
        <f t="shared" si="94"/>
        <v>1000</v>
      </c>
      <c r="G68" s="56"/>
      <c r="H68" s="56"/>
      <c r="I68" s="56"/>
      <c r="J68" s="56">
        <f t="shared" si="101"/>
        <v>1000</v>
      </c>
      <c r="K68" s="56"/>
      <c r="L68" s="56"/>
      <c r="M68" s="56"/>
      <c r="N68" s="56">
        <f t="shared" si="96"/>
        <v>1000</v>
      </c>
      <c r="O68" s="56"/>
      <c r="P68" s="56"/>
      <c r="Q68" s="56"/>
      <c r="R68" s="56">
        <f t="shared" si="98"/>
        <v>1000</v>
      </c>
      <c r="S68" s="56"/>
      <c r="T68" s="56"/>
      <c r="U68" s="56"/>
      <c r="V68" s="56">
        <f t="shared" si="102"/>
        <v>1000</v>
      </c>
      <c r="W68" s="56"/>
      <c r="X68" s="56"/>
      <c r="Y68" s="56"/>
      <c r="Z68" s="56">
        <f t="shared" si="90"/>
        <v>1000</v>
      </c>
      <c r="AA68" s="56"/>
      <c r="AB68" s="56"/>
      <c r="AC68" s="56"/>
      <c r="AD68" s="56">
        <f t="shared" si="99"/>
        <v>1000</v>
      </c>
      <c r="AE68" s="56"/>
      <c r="AF68" s="56"/>
      <c r="AG68" s="56"/>
      <c r="AH68" s="56">
        <f>$E68*1000</f>
        <v>1000</v>
      </c>
      <c r="AI68" s="56"/>
      <c r="AJ68" s="56"/>
      <c r="AK68" s="56"/>
      <c r="AL68" s="241"/>
      <c r="AM68" s="56"/>
      <c r="AN68" s="56"/>
      <c r="AO68" s="56"/>
      <c r="AP68" s="241"/>
      <c r="AQ68" s="56"/>
      <c r="AR68" s="56"/>
      <c r="AS68" s="56"/>
      <c r="AT68" s="56">
        <f t="shared" si="103"/>
        <v>1000</v>
      </c>
      <c r="AU68" s="56"/>
      <c r="AV68" s="56">
        <v>2000</v>
      </c>
      <c r="AW68" s="56">
        <v>100</v>
      </c>
      <c r="AX68" s="241"/>
      <c r="AY68" s="56"/>
      <c r="AZ68" s="56"/>
      <c r="BA68" s="56"/>
      <c r="BB68" s="56">
        <f t="shared" ref="BB68:BB80" si="105">F68+G68+H68+J68+K68+L68+N68+O68+P68+R68+S68+T68+V68+W68+X68+Z68+AA68+AB68+AD68+AE68+AF68+AH68+AI68+AJ68+AL68+AM68+AN68+AP68+AQ68+AR68+AT68+AU68+AV68+AX68+AY68+AZ68</f>
        <v>11000</v>
      </c>
      <c r="BC68" s="56">
        <f t="shared" ref="BC68:BC80" si="106">I68+M68+Q68+U68+Y68+AC68+AG68+AK68+AO68+AS68+AW68+BA68</f>
        <v>100</v>
      </c>
      <c r="BE68">
        <f ca="1">'Monthly Collection-2023'!AY68</f>
        <v>0</v>
      </c>
      <c r="BF68" t="str">
        <f t="shared" ref="BF68:BF80" ca="1" si="107">IF(N(F68)&gt;=$E68*1000,"",IF(AND($E68&gt;0,BE68&gt;=$E68*1000),"G",IF(F$2&lt;=TODAY(),"R","")))</f>
        <v/>
      </c>
      <c r="BG68">
        <f t="shared" ref="BG68:BG80" ca="1" si="108">BE68-IF(BF68="G",$E68*1000,0)+N(G68)</f>
        <v>0</v>
      </c>
      <c r="BH68" t="str">
        <f t="shared" ref="BH68:BH80" ca="1" si="109">IF(N(J68)&gt;=$E68*1000,"",IF(AND($E68&gt;0,BG68&gt;=$E68*1000),"G",IF(J$2&lt;=TODAY(),"R","")))</f>
        <v/>
      </c>
      <c r="BI68">
        <f t="shared" ref="BI68:BI80" ca="1" si="110">BG68-IF(BH68="G",$E68*1000,0)+N(K68)</f>
        <v>0</v>
      </c>
      <c r="BJ68" t="str">
        <f t="shared" ref="BJ68:BJ80" ca="1" si="111">IF(N(N68)&gt;=$E68*1000,"",IF(AND($E68&gt;0,BI68&gt;=$E68*1000),"G",IF(N$2&lt;=TODAY(),"R","")))</f>
        <v/>
      </c>
      <c r="BK68">
        <f t="shared" ref="BK68:BK80" ca="1" si="112">BI68-IF(BJ68="G",$E68*1000,0)+N(O68)</f>
        <v>0</v>
      </c>
      <c r="BL68" t="str">
        <f t="shared" ref="BL68:BL80" ca="1" si="113">IF(N(R68)&gt;=$E68*1000,"",IF(AND($E68&gt;0,BK68&gt;=$E68*1000),"G",IF(R$2&lt;=TODAY(),"R","")))</f>
        <v/>
      </c>
      <c r="BM68">
        <f t="shared" ref="BM68:BM80" ca="1" si="114">BK68-IF(BL68="G",$E68*1000,0)+N(S68)</f>
        <v>0</v>
      </c>
      <c r="BN68" t="str">
        <f t="shared" ref="BN68:BN80" ca="1" si="115">IF(N(V68)&gt;=$E68*1000,"",IF(AND($E68&gt;0,BM68&gt;=$E68*1000),"G",IF(V$2&lt;=TODAY(),"R","")))</f>
        <v/>
      </c>
      <c r="BO68">
        <f t="shared" ref="BO68:BO80" ca="1" si="116">BM68-IF(BN68="G",$E68*1000,0)+N(W68)</f>
        <v>0</v>
      </c>
      <c r="BP68" t="str">
        <f t="shared" ref="BP68:BP80" ca="1" si="117">IF(N(Z68)&gt;=$E68*1000,"",IF(AND($E68&gt;0,BO68&gt;=$E68*1000),"G",IF(Z$2&lt;=TODAY(),"R","")))</f>
        <v/>
      </c>
      <c r="BQ68">
        <f t="shared" ref="BQ68:BQ80" ca="1" si="118">BO68-IF(BP68="G",$E68*1000,0)+N(AA68)</f>
        <v>0</v>
      </c>
      <c r="BR68" t="str">
        <f t="shared" ref="BR68:BR80" ca="1" si="119">IF(N(AD68)&gt;=$E68*1000,"",IF(AND($E68&gt;0,BQ68&gt;=$E68*1000),"G",IF(AD$2&lt;=TODAY(),"R","")))</f>
        <v/>
      </c>
      <c r="BS68">
        <f t="shared" ref="BS68:BS80" ca="1" si="120">BQ68-IF(BR68="G",$E68*1000,0)+N(AE68)</f>
        <v>0</v>
      </c>
      <c r="BT68" t="str">
        <f t="shared" ref="BT68:BT80" ca="1" si="121">IF(N(AH68)&gt;=$E68*1000,"",IF(AND($E68&gt;0,BS68&gt;=$E68*1000),"G",IF(AH$2&lt;=TODAY(),"R","")))</f>
        <v/>
      </c>
      <c r="BU68">
        <f t="shared" ref="BU68:BU80" ca="1" si="122">BS68-IF(BT68="G",$E68*1000,0)+N(AI68)</f>
        <v>0</v>
      </c>
      <c r="BV68" t="str">
        <f t="shared" ref="BV68:BV80" ca="1" si="123">IF(N(AL68)&gt;=$E68*1000,"",IF(AND($E68&gt;0,BU68&gt;=$E68*1000),"G",IF(AL$2&lt;=TODAY(),"R","")))</f>
        <v>R</v>
      </c>
      <c r="BW68">
        <f t="shared" ref="BW68:BW80" ca="1" si="124">BU68-IF(BV68="G",$E68*1000,0)+N(AM68)</f>
        <v>0</v>
      </c>
      <c r="BX68" t="str">
        <f t="shared" ref="BX68:BX80" ca="1" si="125">IF(N(AP68)&gt;=$E68*1000,"",IF(AND($E68&gt;0,BW68&gt;=$E68*1000),"G",IF(AP$2&lt;=TODAY(),"R","")))</f>
        <v>R</v>
      </c>
      <c r="BY68">
        <f t="shared" ref="BY68:BY80" ca="1" si="126">BW68-IF(BX68="G",$E68*1000,0)+N(AQ68)</f>
        <v>0</v>
      </c>
      <c r="BZ68" t="str">
        <f t="shared" ref="BZ68:BZ80" ca="1" si="127">IF(N(AT68)&gt;=$E68*1000,"",IF(AND($E68&gt;0,BY68&gt;=$E68*1000),"G",IF(AT$2&lt;=TODAY(),"R","")))</f>
        <v/>
      </c>
      <c r="CA68">
        <f t="shared" ref="CA68:CA80" ca="1" si="128">BY68-IF(BZ68="G",$E68*1000,0)+N(AU68)</f>
        <v>0</v>
      </c>
      <c r="CB68" t="str">
        <f t="shared" ref="CB68:CB80" ca="1" si="129">IF(N(AX68)&gt;=$E68*1000,"",IF(AND($E68&gt;0,CA68&gt;=$E68*1000),"G",IF(AX$2&lt;=TODAY(),"R","")))</f>
        <v>R</v>
      </c>
      <c r="CC68">
        <f t="shared" ref="CC68:CC80" ca="1" si="130">CA68-IF(CB68="G",$E68*1000,0)+N(AY68)</f>
        <v>0</v>
      </c>
    </row>
    <row r="69" spans="2:81" ht="14.25" customHeight="1" x14ac:dyDescent="0.3">
      <c r="B69" s="51">
        <f t="shared" si="104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>
        <f t="shared" si="94"/>
        <v>1000</v>
      </c>
      <c r="G69" s="52"/>
      <c r="H69" s="52"/>
      <c r="I69" s="52"/>
      <c r="J69" s="52">
        <f t="shared" si="101"/>
        <v>1000</v>
      </c>
      <c r="K69" s="52"/>
      <c r="L69" s="52"/>
      <c r="M69" s="52"/>
      <c r="N69" s="52">
        <f t="shared" si="96"/>
        <v>1000</v>
      </c>
      <c r="O69" s="52"/>
      <c r="P69" s="52"/>
      <c r="Q69" s="52"/>
      <c r="R69" s="52">
        <f t="shared" si="98"/>
        <v>1000</v>
      </c>
      <c r="S69" s="52"/>
      <c r="T69" s="52"/>
      <c r="U69" s="52"/>
      <c r="V69" s="52">
        <f t="shared" si="102"/>
        <v>1000</v>
      </c>
      <c r="W69" s="52"/>
      <c r="X69" s="52"/>
      <c r="Y69" s="52"/>
      <c r="Z69" s="52">
        <f t="shared" si="90"/>
        <v>1000</v>
      </c>
      <c r="AA69" s="52"/>
      <c r="AB69" s="52"/>
      <c r="AC69" s="52"/>
      <c r="AD69" s="52">
        <f t="shared" si="99"/>
        <v>1000</v>
      </c>
      <c r="AE69" s="52"/>
      <c r="AF69" s="52"/>
      <c r="AG69" s="52"/>
      <c r="AH69" s="52">
        <f>$E69*1000</f>
        <v>1000</v>
      </c>
      <c r="AI69" s="52"/>
      <c r="AJ69" s="52"/>
      <c r="AK69" s="52"/>
      <c r="AL69" s="243"/>
      <c r="AM69" s="52"/>
      <c r="AN69" s="52"/>
      <c r="AO69" s="52"/>
      <c r="AP69" s="243"/>
      <c r="AQ69" s="52"/>
      <c r="AR69" s="52"/>
      <c r="AS69" s="52"/>
      <c r="AT69" s="52">
        <f t="shared" si="103"/>
        <v>1000</v>
      </c>
      <c r="AU69" s="52"/>
      <c r="AV69" s="52">
        <v>2000</v>
      </c>
      <c r="AW69" s="52">
        <v>100</v>
      </c>
      <c r="AX69" s="243"/>
      <c r="AY69" s="52"/>
      <c r="AZ69" s="52"/>
      <c r="BA69" s="52"/>
      <c r="BB69" s="52">
        <f t="shared" si="105"/>
        <v>11000</v>
      </c>
      <c r="BC69" s="52">
        <f t="shared" si="106"/>
        <v>100</v>
      </c>
      <c r="BE69">
        <f ca="1">'Monthly Collection-2023'!AY69</f>
        <v>0</v>
      </c>
      <c r="BF69" t="str">
        <f t="shared" ca="1" si="107"/>
        <v/>
      </c>
      <c r="BG69">
        <f t="shared" ca="1" si="108"/>
        <v>0</v>
      </c>
      <c r="BH69" t="str">
        <f t="shared" ca="1" si="109"/>
        <v/>
      </c>
      <c r="BI69">
        <f t="shared" ca="1" si="110"/>
        <v>0</v>
      </c>
      <c r="BJ69" t="str">
        <f t="shared" ca="1" si="111"/>
        <v/>
      </c>
      <c r="BK69">
        <f t="shared" ca="1" si="112"/>
        <v>0</v>
      </c>
      <c r="BL69" t="str">
        <f t="shared" ca="1" si="113"/>
        <v/>
      </c>
      <c r="BM69">
        <f t="shared" ca="1" si="114"/>
        <v>0</v>
      </c>
      <c r="BN69" t="str">
        <f t="shared" ca="1" si="115"/>
        <v/>
      </c>
      <c r="BO69">
        <f t="shared" ca="1" si="116"/>
        <v>0</v>
      </c>
      <c r="BP69" t="str">
        <f t="shared" ca="1" si="117"/>
        <v/>
      </c>
      <c r="BQ69">
        <f t="shared" ca="1" si="118"/>
        <v>0</v>
      </c>
      <c r="BR69" t="str">
        <f t="shared" ca="1" si="119"/>
        <v/>
      </c>
      <c r="BS69">
        <f t="shared" ca="1" si="120"/>
        <v>0</v>
      </c>
      <c r="BT69" t="str">
        <f t="shared" ca="1" si="121"/>
        <v/>
      </c>
      <c r="BU69">
        <f t="shared" ca="1" si="122"/>
        <v>0</v>
      </c>
      <c r="BV69" t="str">
        <f t="shared" ca="1" si="123"/>
        <v>R</v>
      </c>
      <c r="BW69">
        <f t="shared" ca="1" si="124"/>
        <v>0</v>
      </c>
      <c r="BX69" t="str">
        <f t="shared" ca="1" si="125"/>
        <v>R</v>
      </c>
      <c r="BY69">
        <f t="shared" ca="1" si="126"/>
        <v>0</v>
      </c>
      <c r="BZ69" t="str">
        <f t="shared" ca="1" si="127"/>
        <v/>
      </c>
      <c r="CA69">
        <f t="shared" ca="1" si="128"/>
        <v>0</v>
      </c>
      <c r="CB69" t="str">
        <f t="shared" ca="1" si="129"/>
        <v>R</v>
      </c>
      <c r="CC69">
        <f t="shared" ca="1" si="130"/>
        <v>0</v>
      </c>
    </row>
    <row r="70" spans="2:81" ht="14.25" customHeight="1" x14ac:dyDescent="0.3">
      <c r="B70" s="55">
        <f t="shared" si="104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241"/>
      <c r="G70" s="56"/>
      <c r="H70" s="56"/>
      <c r="I70" s="56"/>
      <c r="J70" s="56">
        <f t="shared" si="101"/>
        <v>1000</v>
      </c>
      <c r="K70" s="56"/>
      <c r="L70" s="56">
        <v>1000</v>
      </c>
      <c r="M70" s="56">
        <v>50</v>
      </c>
      <c r="N70" s="56">
        <f t="shared" si="96"/>
        <v>1000</v>
      </c>
      <c r="O70" s="56"/>
      <c r="P70" s="56"/>
      <c r="Q70" s="56"/>
      <c r="R70" s="56">
        <f t="shared" si="98"/>
        <v>1000</v>
      </c>
      <c r="S70" s="56"/>
      <c r="T70" s="56"/>
      <c r="U70" s="56"/>
      <c r="V70" s="56">
        <f t="shared" si="102"/>
        <v>1000</v>
      </c>
      <c r="W70" s="56"/>
      <c r="X70" s="56"/>
      <c r="Y70" s="56"/>
      <c r="Z70" s="241"/>
      <c r="AA70" s="56"/>
      <c r="AB70" s="56"/>
      <c r="AC70" s="56"/>
      <c r="AD70" s="241"/>
      <c r="AE70" s="56"/>
      <c r="AF70" s="56">
        <v>1000</v>
      </c>
      <c r="AG70" s="56">
        <v>50</v>
      </c>
      <c r="AH70" s="241"/>
      <c r="AI70" s="56"/>
      <c r="AJ70" s="56">
        <v>1000</v>
      </c>
      <c r="AK70" s="56">
        <v>50</v>
      </c>
      <c r="AL70" s="56">
        <f t="shared" ref="AL70:AL77" si="131">$E70*1000</f>
        <v>1000</v>
      </c>
      <c r="AM70" s="56"/>
      <c r="AN70" s="56">
        <v>1000</v>
      </c>
      <c r="AO70" s="56">
        <v>50</v>
      </c>
      <c r="AP70" s="56">
        <f t="shared" ref="AP70:AP77" si="132">$E70*1000</f>
        <v>1000</v>
      </c>
      <c r="AQ70" s="56"/>
      <c r="AR70" s="56"/>
      <c r="AS70" s="56"/>
      <c r="AT70" s="56">
        <f t="shared" si="103"/>
        <v>1000</v>
      </c>
      <c r="AU70" s="56"/>
      <c r="AV70" s="56"/>
      <c r="AW70" s="56"/>
      <c r="AX70" s="56">
        <f t="shared" ref="AX70:AX76" si="133">$E70*1000</f>
        <v>1000</v>
      </c>
      <c r="AY70" s="56"/>
      <c r="AZ70" s="56"/>
      <c r="BA70" s="56"/>
      <c r="BB70" s="56">
        <f t="shared" si="105"/>
        <v>12000</v>
      </c>
      <c r="BC70" s="56">
        <f t="shared" si="106"/>
        <v>200</v>
      </c>
      <c r="BE70">
        <f ca="1">'Monthly Collection-2023'!AY70</f>
        <v>0</v>
      </c>
      <c r="BF70" t="str">
        <f t="shared" ca="1" si="107"/>
        <v>R</v>
      </c>
      <c r="BG70">
        <f t="shared" ca="1" si="108"/>
        <v>0</v>
      </c>
      <c r="BH70" t="str">
        <f t="shared" ca="1" si="109"/>
        <v/>
      </c>
      <c r="BI70">
        <f t="shared" ca="1" si="110"/>
        <v>0</v>
      </c>
      <c r="BJ70" t="str">
        <f t="shared" ca="1" si="111"/>
        <v/>
      </c>
      <c r="BK70">
        <f t="shared" ca="1" si="112"/>
        <v>0</v>
      </c>
      <c r="BL70" t="str">
        <f t="shared" ca="1" si="113"/>
        <v/>
      </c>
      <c r="BM70">
        <f t="shared" ca="1" si="114"/>
        <v>0</v>
      </c>
      <c r="BN70" t="str">
        <f t="shared" ca="1" si="115"/>
        <v/>
      </c>
      <c r="BO70">
        <f t="shared" ca="1" si="116"/>
        <v>0</v>
      </c>
      <c r="BP70" t="str">
        <f t="shared" ca="1" si="117"/>
        <v>R</v>
      </c>
      <c r="BQ70">
        <f t="shared" ca="1" si="118"/>
        <v>0</v>
      </c>
      <c r="BR70" t="str">
        <f t="shared" ca="1" si="119"/>
        <v>R</v>
      </c>
      <c r="BS70">
        <f t="shared" ca="1" si="120"/>
        <v>0</v>
      </c>
      <c r="BT70" t="str">
        <f t="shared" ca="1" si="121"/>
        <v>R</v>
      </c>
      <c r="BU70">
        <f t="shared" ca="1" si="122"/>
        <v>0</v>
      </c>
      <c r="BV70" t="str">
        <f t="shared" ca="1" si="123"/>
        <v/>
      </c>
      <c r="BW70">
        <f t="shared" ca="1" si="124"/>
        <v>0</v>
      </c>
      <c r="BX70" t="str">
        <f t="shared" ca="1" si="125"/>
        <v/>
      </c>
      <c r="BY70">
        <f t="shared" ca="1" si="126"/>
        <v>0</v>
      </c>
      <c r="BZ70" t="str">
        <f t="shared" ca="1" si="127"/>
        <v/>
      </c>
      <c r="CA70">
        <f t="shared" ca="1" si="128"/>
        <v>0</v>
      </c>
      <c r="CB70" t="str">
        <f t="shared" ca="1" si="129"/>
        <v/>
      </c>
      <c r="CC70">
        <f t="shared" ca="1" si="130"/>
        <v>0</v>
      </c>
    </row>
    <row r="71" spans="2:81" ht="14.25" customHeight="1" x14ac:dyDescent="0.3">
      <c r="B71" s="51">
        <f t="shared" si="104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243"/>
      <c r="G71" s="52"/>
      <c r="H71" s="52"/>
      <c r="I71" s="52"/>
      <c r="J71" s="52">
        <f t="shared" si="101"/>
        <v>1000</v>
      </c>
      <c r="K71" s="52"/>
      <c r="L71" s="52">
        <v>1000</v>
      </c>
      <c r="M71" s="52">
        <v>50</v>
      </c>
      <c r="N71" s="52">
        <f t="shared" si="96"/>
        <v>1000</v>
      </c>
      <c r="O71" s="52"/>
      <c r="P71" s="52"/>
      <c r="Q71" s="52"/>
      <c r="R71" s="52">
        <f t="shared" si="98"/>
        <v>1000</v>
      </c>
      <c r="S71" s="52"/>
      <c r="T71" s="52"/>
      <c r="U71" s="52"/>
      <c r="V71" s="52">
        <f t="shared" si="102"/>
        <v>1000</v>
      </c>
      <c r="W71" s="52"/>
      <c r="X71" s="52"/>
      <c r="Y71" s="52"/>
      <c r="Z71" s="52">
        <f t="shared" ref="Z71:Z77" si="134">$E71*1000</f>
        <v>1000</v>
      </c>
      <c r="AA71" s="52"/>
      <c r="AB71" s="52"/>
      <c r="AC71" s="52"/>
      <c r="AD71" s="52">
        <f t="shared" ref="AD71:AD77" si="135">$E71*1000</f>
        <v>1000</v>
      </c>
      <c r="AE71" s="52"/>
      <c r="AF71" s="52"/>
      <c r="AG71" s="52"/>
      <c r="AH71" s="52">
        <f t="shared" ref="AH71:AH76" si="136">$E71*1000</f>
        <v>1000</v>
      </c>
      <c r="AI71" s="52"/>
      <c r="AJ71" s="52"/>
      <c r="AK71" s="52"/>
      <c r="AL71" s="52">
        <f t="shared" si="131"/>
        <v>1000</v>
      </c>
      <c r="AM71" s="52"/>
      <c r="AN71" s="52"/>
      <c r="AO71" s="52"/>
      <c r="AP71" s="52">
        <f t="shared" si="132"/>
        <v>1000</v>
      </c>
      <c r="AQ71" s="52"/>
      <c r="AR71" s="52"/>
      <c r="AS71" s="52"/>
      <c r="AT71" s="52">
        <f t="shared" si="103"/>
        <v>1000</v>
      </c>
      <c r="AU71" s="52"/>
      <c r="AV71" s="52"/>
      <c r="AW71" s="52"/>
      <c r="AX71" s="52">
        <f t="shared" si="133"/>
        <v>1000</v>
      </c>
      <c r="AY71" s="52"/>
      <c r="AZ71" s="52"/>
      <c r="BA71" s="52"/>
      <c r="BB71" s="52">
        <f t="shared" si="105"/>
        <v>12000</v>
      </c>
      <c r="BC71" s="52">
        <f t="shared" si="106"/>
        <v>50</v>
      </c>
      <c r="BE71">
        <f ca="1">'Monthly Collection-2023'!AY71</f>
        <v>0</v>
      </c>
      <c r="BF71" t="str">
        <f t="shared" ca="1" si="107"/>
        <v>R</v>
      </c>
      <c r="BG71">
        <f t="shared" ca="1" si="108"/>
        <v>0</v>
      </c>
      <c r="BH71" t="str">
        <f t="shared" ca="1" si="109"/>
        <v/>
      </c>
      <c r="BI71">
        <f t="shared" ca="1" si="110"/>
        <v>0</v>
      </c>
      <c r="BJ71" t="str">
        <f t="shared" ca="1" si="111"/>
        <v/>
      </c>
      <c r="BK71">
        <f t="shared" ca="1" si="112"/>
        <v>0</v>
      </c>
      <c r="BL71" t="str">
        <f t="shared" ca="1" si="113"/>
        <v/>
      </c>
      <c r="BM71">
        <f t="shared" ca="1" si="114"/>
        <v>0</v>
      </c>
      <c r="BN71" t="str">
        <f t="shared" ca="1" si="115"/>
        <v/>
      </c>
      <c r="BO71">
        <f t="shared" ca="1" si="116"/>
        <v>0</v>
      </c>
      <c r="BP71" t="str">
        <f t="shared" ca="1" si="117"/>
        <v/>
      </c>
      <c r="BQ71">
        <f t="shared" ca="1" si="118"/>
        <v>0</v>
      </c>
      <c r="BR71" t="str">
        <f t="shared" ca="1" si="119"/>
        <v/>
      </c>
      <c r="BS71">
        <f t="shared" ca="1" si="120"/>
        <v>0</v>
      </c>
      <c r="BT71" t="str">
        <f t="shared" ca="1" si="121"/>
        <v/>
      </c>
      <c r="BU71">
        <f t="shared" ca="1" si="122"/>
        <v>0</v>
      </c>
      <c r="BV71" t="str">
        <f t="shared" ca="1" si="123"/>
        <v/>
      </c>
      <c r="BW71">
        <f t="shared" ca="1" si="124"/>
        <v>0</v>
      </c>
      <c r="BX71" t="str">
        <f t="shared" ca="1" si="125"/>
        <v/>
      </c>
      <c r="BY71">
        <f t="shared" ca="1" si="126"/>
        <v>0</v>
      </c>
      <c r="BZ71" t="str">
        <f t="shared" ca="1" si="127"/>
        <v/>
      </c>
      <c r="CA71">
        <f t="shared" ca="1" si="128"/>
        <v>0</v>
      </c>
      <c r="CB71" t="str">
        <f t="shared" ca="1" si="129"/>
        <v/>
      </c>
      <c r="CC71">
        <f t="shared" ca="1" si="130"/>
        <v>0</v>
      </c>
    </row>
    <row r="72" spans="2:81" ht="14.25" customHeight="1" x14ac:dyDescent="0.3">
      <c r="B72" s="55">
        <f t="shared" si="104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>
        <f>$E72*1000</f>
        <v>2000</v>
      </c>
      <c r="G72" s="56"/>
      <c r="H72" s="56"/>
      <c r="I72" s="56"/>
      <c r="J72" s="56">
        <f t="shared" si="101"/>
        <v>2000</v>
      </c>
      <c r="K72" s="56"/>
      <c r="L72" s="56"/>
      <c r="M72" s="56"/>
      <c r="N72" s="56">
        <f t="shared" si="96"/>
        <v>2000</v>
      </c>
      <c r="O72" s="56"/>
      <c r="P72" s="56"/>
      <c r="Q72" s="56"/>
      <c r="R72" s="56">
        <f t="shared" si="98"/>
        <v>2000</v>
      </c>
      <c r="S72" s="56"/>
      <c r="T72" s="56"/>
      <c r="U72" s="56"/>
      <c r="V72" s="56">
        <f t="shared" si="102"/>
        <v>2000</v>
      </c>
      <c r="W72" s="56"/>
      <c r="X72" s="56"/>
      <c r="Y72" s="56"/>
      <c r="Z72" s="56">
        <f t="shared" si="134"/>
        <v>2000</v>
      </c>
      <c r="AA72" s="56"/>
      <c r="AB72" s="56"/>
      <c r="AC72" s="56"/>
      <c r="AD72" s="56">
        <f t="shared" si="135"/>
        <v>2000</v>
      </c>
      <c r="AE72" s="56"/>
      <c r="AF72" s="56"/>
      <c r="AG72" s="56"/>
      <c r="AH72" s="56">
        <f t="shared" si="136"/>
        <v>2000</v>
      </c>
      <c r="AI72" s="56"/>
      <c r="AJ72" s="56"/>
      <c r="AK72" s="56"/>
      <c r="AL72" s="56">
        <f t="shared" si="131"/>
        <v>2000</v>
      </c>
      <c r="AM72" s="56"/>
      <c r="AN72" s="56"/>
      <c r="AO72" s="56"/>
      <c r="AP72" s="56">
        <f t="shared" si="132"/>
        <v>2000</v>
      </c>
      <c r="AQ72" s="56"/>
      <c r="AR72" s="56"/>
      <c r="AS72" s="56"/>
      <c r="AT72" s="56">
        <f t="shared" si="103"/>
        <v>2000</v>
      </c>
      <c r="AU72" s="56"/>
      <c r="AV72" s="56"/>
      <c r="AW72" s="56"/>
      <c r="AX72" s="56">
        <f t="shared" si="133"/>
        <v>2000</v>
      </c>
      <c r="AY72" s="56"/>
      <c r="AZ72" s="56"/>
      <c r="BA72" s="56"/>
      <c r="BB72" s="56">
        <f t="shared" si="105"/>
        <v>24000</v>
      </c>
      <c r="BC72" s="56">
        <f t="shared" si="106"/>
        <v>0</v>
      </c>
      <c r="BE72">
        <f ca="1">'Monthly Collection-2023'!AY72</f>
        <v>0</v>
      </c>
      <c r="BF72" t="str">
        <f t="shared" ca="1" si="107"/>
        <v/>
      </c>
      <c r="BG72">
        <f t="shared" ca="1" si="108"/>
        <v>0</v>
      </c>
      <c r="BH72" t="str">
        <f t="shared" ca="1" si="109"/>
        <v/>
      </c>
      <c r="BI72">
        <f t="shared" ca="1" si="110"/>
        <v>0</v>
      </c>
      <c r="BJ72" t="str">
        <f t="shared" ca="1" si="111"/>
        <v/>
      </c>
      <c r="BK72">
        <f t="shared" ca="1" si="112"/>
        <v>0</v>
      </c>
      <c r="BL72" t="str">
        <f t="shared" ca="1" si="113"/>
        <v/>
      </c>
      <c r="BM72">
        <f t="shared" ca="1" si="114"/>
        <v>0</v>
      </c>
      <c r="BN72" t="str">
        <f t="shared" ca="1" si="115"/>
        <v/>
      </c>
      <c r="BO72">
        <f t="shared" ca="1" si="116"/>
        <v>0</v>
      </c>
      <c r="BP72" t="str">
        <f t="shared" ca="1" si="117"/>
        <v/>
      </c>
      <c r="BQ72">
        <f t="shared" ca="1" si="118"/>
        <v>0</v>
      </c>
      <c r="BR72" t="str">
        <f t="shared" ca="1" si="119"/>
        <v/>
      </c>
      <c r="BS72">
        <f t="shared" ca="1" si="120"/>
        <v>0</v>
      </c>
      <c r="BT72" t="str">
        <f t="shared" ca="1" si="121"/>
        <v/>
      </c>
      <c r="BU72">
        <f t="shared" ca="1" si="122"/>
        <v>0</v>
      </c>
      <c r="BV72" t="str">
        <f t="shared" ca="1" si="123"/>
        <v/>
      </c>
      <c r="BW72">
        <f t="shared" ca="1" si="124"/>
        <v>0</v>
      </c>
      <c r="BX72" t="str">
        <f t="shared" ca="1" si="125"/>
        <v/>
      </c>
      <c r="BY72">
        <f t="shared" ca="1" si="126"/>
        <v>0</v>
      </c>
      <c r="BZ72" t="str">
        <f t="shared" ca="1" si="127"/>
        <v/>
      </c>
      <c r="CA72">
        <f t="shared" ca="1" si="128"/>
        <v>0</v>
      </c>
      <c r="CB72" t="str">
        <f t="shared" ca="1" si="129"/>
        <v/>
      </c>
      <c r="CC72">
        <f t="shared" ca="1" si="130"/>
        <v>0</v>
      </c>
    </row>
    <row r="73" spans="2:81" ht="14.25" customHeight="1" x14ac:dyDescent="0.3">
      <c r="B73" s="51">
        <f t="shared" si="104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>
        <f>$E73*1000</f>
        <v>1000</v>
      </c>
      <c r="G73" s="52"/>
      <c r="H73" s="52"/>
      <c r="I73" s="52"/>
      <c r="J73" s="52">
        <f t="shared" si="101"/>
        <v>1000</v>
      </c>
      <c r="K73" s="52"/>
      <c r="L73" s="52"/>
      <c r="M73" s="52"/>
      <c r="N73" s="52">
        <f t="shared" si="96"/>
        <v>1000</v>
      </c>
      <c r="O73" s="52"/>
      <c r="P73" s="52"/>
      <c r="Q73" s="52"/>
      <c r="R73" s="52">
        <f t="shared" si="98"/>
        <v>1000</v>
      </c>
      <c r="S73" s="52"/>
      <c r="T73" s="52"/>
      <c r="U73" s="52"/>
      <c r="V73" s="52">
        <f t="shared" si="102"/>
        <v>1000</v>
      </c>
      <c r="W73" s="52"/>
      <c r="X73" s="52"/>
      <c r="Y73" s="52"/>
      <c r="Z73" s="52">
        <f t="shared" si="134"/>
        <v>1000</v>
      </c>
      <c r="AA73" s="52"/>
      <c r="AB73" s="52"/>
      <c r="AC73" s="52"/>
      <c r="AD73" s="52">
        <f t="shared" si="135"/>
        <v>1000</v>
      </c>
      <c r="AE73" s="52"/>
      <c r="AF73" s="52"/>
      <c r="AG73" s="52"/>
      <c r="AH73" s="52">
        <f t="shared" si="136"/>
        <v>1000</v>
      </c>
      <c r="AI73" s="52"/>
      <c r="AJ73" s="52"/>
      <c r="AK73" s="52"/>
      <c r="AL73" s="52">
        <f t="shared" si="131"/>
        <v>1000</v>
      </c>
      <c r="AM73" s="52"/>
      <c r="AN73" s="52"/>
      <c r="AO73" s="52"/>
      <c r="AP73" s="52">
        <f t="shared" si="132"/>
        <v>1000</v>
      </c>
      <c r="AQ73" s="52"/>
      <c r="AR73" s="52"/>
      <c r="AS73" s="52"/>
      <c r="AT73" s="52">
        <f t="shared" si="103"/>
        <v>1000</v>
      </c>
      <c r="AU73" s="52"/>
      <c r="AV73" s="52"/>
      <c r="AW73" s="52"/>
      <c r="AX73" s="52">
        <f t="shared" si="133"/>
        <v>1000</v>
      </c>
      <c r="AY73" s="52"/>
      <c r="AZ73" s="52"/>
      <c r="BA73" s="52"/>
      <c r="BB73" s="52">
        <f t="shared" si="105"/>
        <v>12000</v>
      </c>
      <c r="BC73" s="52">
        <f t="shared" si="106"/>
        <v>0</v>
      </c>
      <c r="BE73">
        <f ca="1">'Monthly Collection-2023'!AY73</f>
        <v>0</v>
      </c>
      <c r="BF73" t="str">
        <f t="shared" ca="1" si="107"/>
        <v/>
      </c>
      <c r="BG73">
        <f t="shared" ca="1" si="108"/>
        <v>0</v>
      </c>
      <c r="BH73" t="str">
        <f t="shared" ca="1" si="109"/>
        <v/>
      </c>
      <c r="BI73">
        <f t="shared" ca="1" si="110"/>
        <v>0</v>
      </c>
      <c r="BJ73" t="str">
        <f t="shared" ca="1" si="111"/>
        <v/>
      </c>
      <c r="BK73">
        <f t="shared" ca="1" si="112"/>
        <v>0</v>
      </c>
      <c r="BL73" t="str">
        <f t="shared" ca="1" si="113"/>
        <v/>
      </c>
      <c r="BM73">
        <f t="shared" ca="1" si="114"/>
        <v>0</v>
      </c>
      <c r="BN73" t="str">
        <f t="shared" ca="1" si="115"/>
        <v/>
      </c>
      <c r="BO73">
        <f t="shared" ca="1" si="116"/>
        <v>0</v>
      </c>
      <c r="BP73" t="str">
        <f t="shared" ca="1" si="117"/>
        <v/>
      </c>
      <c r="BQ73">
        <f t="shared" ca="1" si="118"/>
        <v>0</v>
      </c>
      <c r="BR73" t="str">
        <f t="shared" ca="1" si="119"/>
        <v/>
      </c>
      <c r="BS73">
        <f t="shared" ca="1" si="120"/>
        <v>0</v>
      </c>
      <c r="BT73" t="str">
        <f t="shared" ca="1" si="121"/>
        <v/>
      </c>
      <c r="BU73">
        <f t="shared" ca="1" si="122"/>
        <v>0</v>
      </c>
      <c r="BV73" t="str">
        <f t="shared" ca="1" si="123"/>
        <v/>
      </c>
      <c r="BW73">
        <f t="shared" ca="1" si="124"/>
        <v>0</v>
      </c>
      <c r="BX73" t="str">
        <f t="shared" ca="1" si="125"/>
        <v/>
      </c>
      <c r="BY73">
        <f t="shared" ca="1" si="126"/>
        <v>0</v>
      </c>
      <c r="BZ73" t="str">
        <f t="shared" ca="1" si="127"/>
        <v/>
      </c>
      <c r="CA73">
        <f t="shared" ca="1" si="128"/>
        <v>0</v>
      </c>
      <c r="CB73" t="str">
        <f t="shared" ca="1" si="129"/>
        <v/>
      </c>
      <c r="CC73">
        <f t="shared" ca="1" si="130"/>
        <v>0</v>
      </c>
    </row>
    <row r="74" spans="2:81" ht="14.25" customHeight="1" x14ac:dyDescent="0.3">
      <c r="B74" s="55">
        <f t="shared" si="104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>
        <f>$E74*1000</f>
        <v>1000</v>
      </c>
      <c r="G74" s="56"/>
      <c r="H74" s="56"/>
      <c r="I74" s="56"/>
      <c r="J74" s="56">
        <f t="shared" si="101"/>
        <v>1000</v>
      </c>
      <c r="K74" s="56"/>
      <c r="L74" s="56"/>
      <c r="M74" s="56"/>
      <c r="N74" s="56">
        <f t="shared" si="96"/>
        <v>1000</v>
      </c>
      <c r="O74" s="56"/>
      <c r="P74" s="56"/>
      <c r="Q74" s="56"/>
      <c r="R74" s="56">
        <f t="shared" si="98"/>
        <v>1000</v>
      </c>
      <c r="S74" s="56"/>
      <c r="T74" s="56"/>
      <c r="U74" s="56"/>
      <c r="V74" s="56">
        <f t="shared" si="102"/>
        <v>1000</v>
      </c>
      <c r="W74" s="56"/>
      <c r="X74" s="56"/>
      <c r="Y74" s="56"/>
      <c r="Z74" s="56">
        <f t="shared" si="134"/>
        <v>1000</v>
      </c>
      <c r="AA74" s="56"/>
      <c r="AB74" s="56"/>
      <c r="AC74" s="56"/>
      <c r="AD74" s="56">
        <f t="shared" si="135"/>
        <v>1000</v>
      </c>
      <c r="AE74" s="56"/>
      <c r="AF74" s="56"/>
      <c r="AG74" s="56"/>
      <c r="AH74" s="56">
        <f t="shared" si="136"/>
        <v>1000</v>
      </c>
      <c r="AI74" s="56"/>
      <c r="AJ74" s="56"/>
      <c r="AK74" s="56"/>
      <c r="AL74" s="56">
        <f t="shared" si="131"/>
        <v>1000</v>
      </c>
      <c r="AM74" s="56"/>
      <c r="AN74" s="56"/>
      <c r="AO74" s="56"/>
      <c r="AP74" s="56">
        <f t="shared" si="132"/>
        <v>1000</v>
      </c>
      <c r="AQ74" s="56"/>
      <c r="AR74" s="56"/>
      <c r="AS74" s="56"/>
      <c r="AT74" s="56">
        <f t="shared" si="103"/>
        <v>1000</v>
      </c>
      <c r="AU74" s="56"/>
      <c r="AV74" s="56"/>
      <c r="AW74" s="56"/>
      <c r="AX74" s="56">
        <f t="shared" si="133"/>
        <v>1000</v>
      </c>
      <c r="AY74" s="56"/>
      <c r="AZ74" s="56"/>
      <c r="BA74" s="56"/>
      <c r="BB74" s="56">
        <f t="shared" si="105"/>
        <v>12000</v>
      </c>
      <c r="BC74" s="56">
        <f t="shared" si="106"/>
        <v>0</v>
      </c>
      <c r="BE74">
        <f ca="1">'Monthly Collection-2023'!AY74</f>
        <v>0</v>
      </c>
      <c r="BF74" t="str">
        <f t="shared" ca="1" si="107"/>
        <v/>
      </c>
      <c r="BG74">
        <f t="shared" ca="1" si="108"/>
        <v>0</v>
      </c>
      <c r="BH74" t="str">
        <f t="shared" ca="1" si="109"/>
        <v/>
      </c>
      <c r="BI74">
        <f t="shared" ca="1" si="110"/>
        <v>0</v>
      </c>
      <c r="BJ74" t="str">
        <f t="shared" ca="1" si="111"/>
        <v/>
      </c>
      <c r="BK74">
        <f t="shared" ca="1" si="112"/>
        <v>0</v>
      </c>
      <c r="BL74" t="str">
        <f t="shared" ca="1" si="113"/>
        <v/>
      </c>
      <c r="BM74">
        <f t="shared" ca="1" si="114"/>
        <v>0</v>
      </c>
      <c r="BN74" t="str">
        <f t="shared" ca="1" si="115"/>
        <v/>
      </c>
      <c r="BO74">
        <f t="shared" ca="1" si="116"/>
        <v>0</v>
      </c>
      <c r="BP74" t="str">
        <f t="shared" ca="1" si="117"/>
        <v/>
      </c>
      <c r="BQ74">
        <f t="shared" ca="1" si="118"/>
        <v>0</v>
      </c>
      <c r="BR74" t="str">
        <f t="shared" ca="1" si="119"/>
        <v/>
      </c>
      <c r="BS74">
        <f t="shared" ca="1" si="120"/>
        <v>0</v>
      </c>
      <c r="BT74" t="str">
        <f t="shared" ca="1" si="121"/>
        <v/>
      </c>
      <c r="BU74">
        <f t="shared" ca="1" si="122"/>
        <v>0</v>
      </c>
      <c r="BV74" t="str">
        <f t="shared" ca="1" si="123"/>
        <v/>
      </c>
      <c r="BW74">
        <f t="shared" ca="1" si="124"/>
        <v>0</v>
      </c>
      <c r="BX74" t="str">
        <f t="shared" ca="1" si="125"/>
        <v/>
      </c>
      <c r="BY74">
        <f t="shared" ca="1" si="126"/>
        <v>0</v>
      </c>
      <c r="BZ74" t="str">
        <f t="shared" ca="1" si="127"/>
        <v/>
      </c>
      <c r="CA74">
        <f t="shared" ca="1" si="128"/>
        <v>0</v>
      </c>
      <c r="CB74" t="str">
        <f t="shared" ca="1" si="129"/>
        <v/>
      </c>
      <c r="CC74">
        <f t="shared" ca="1" si="130"/>
        <v>0</v>
      </c>
    </row>
    <row r="75" spans="2:81" ht="14.25" customHeight="1" x14ac:dyDescent="0.3">
      <c r="B75" s="51">
        <f t="shared" si="104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>
        <f>$E75*1000</f>
        <v>1000</v>
      </c>
      <c r="G75" s="52"/>
      <c r="H75" s="52"/>
      <c r="I75" s="52"/>
      <c r="J75" s="52">
        <f t="shared" si="101"/>
        <v>1000</v>
      </c>
      <c r="K75" s="52"/>
      <c r="L75" s="52"/>
      <c r="M75" s="52"/>
      <c r="N75" s="52">
        <f t="shared" si="96"/>
        <v>1000</v>
      </c>
      <c r="O75" s="52"/>
      <c r="P75" s="52"/>
      <c r="Q75" s="52"/>
      <c r="R75" s="52">
        <f t="shared" si="98"/>
        <v>1000</v>
      </c>
      <c r="S75" s="52"/>
      <c r="T75" s="52"/>
      <c r="U75" s="52"/>
      <c r="V75" s="52">
        <f t="shared" si="102"/>
        <v>1000</v>
      </c>
      <c r="W75" s="52"/>
      <c r="X75" s="52"/>
      <c r="Y75" s="52"/>
      <c r="Z75" s="52">
        <f t="shared" si="134"/>
        <v>1000</v>
      </c>
      <c r="AA75" s="52"/>
      <c r="AB75" s="52"/>
      <c r="AC75" s="52"/>
      <c r="AD75" s="52">
        <f t="shared" si="135"/>
        <v>1000</v>
      </c>
      <c r="AE75" s="52"/>
      <c r="AF75" s="52"/>
      <c r="AG75" s="52"/>
      <c r="AH75" s="52">
        <f t="shared" si="136"/>
        <v>1000</v>
      </c>
      <c r="AI75" s="52"/>
      <c r="AJ75" s="52"/>
      <c r="AK75" s="52"/>
      <c r="AL75" s="52">
        <f t="shared" si="131"/>
        <v>1000</v>
      </c>
      <c r="AM75" s="52"/>
      <c r="AN75" s="52"/>
      <c r="AO75" s="52"/>
      <c r="AP75" s="52">
        <f t="shared" si="132"/>
        <v>1000</v>
      </c>
      <c r="AQ75" s="52"/>
      <c r="AR75" s="52"/>
      <c r="AS75" s="52"/>
      <c r="AT75" s="52">
        <f t="shared" si="103"/>
        <v>1000</v>
      </c>
      <c r="AU75" s="52"/>
      <c r="AV75" s="52"/>
      <c r="AW75" s="52"/>
      <c r="AX75" s="52">
        <f t="shared" si="133"/>
        <v>1000</v>
      </c>
      <c r="AY75" s="52"/>
      <c r="AZ75" s="52"/>
      <c r="BA75" s="52"/>
      <c r="BB75" s="52">
        <f t="shared" si="105"/>
        <v>12000</v>
      </c>
      <c r="BC75" s="52">
        <f t="shared" si="106"/>
        <v>0</v>
      </c>
      <c r="BE75">
        <f ca="1">'Monthly Collection-2023'!AY75</f>
        <v>0</v>
      </c>
      <c r="BF75" t="str">
        <f t="shared" ca="1" si="107"/>
        <v/>
      </c>
      <c r="BG75">
        <f t="shared" ca="1" si="108"/>
        <v>0</v>
      </c>
      <c r="BH75" t="str">
        <f t="shared" ca="1" si="109"/>
        <v/>
      </c>
      <c r="BI75">
        <f t="shared" ca="1" si="110"/>
        <v>0</v>
      </c>
      <c r="BJ75" t="str">
        <f t="shared" ca="1" si="111"/>
        <v/>
      </c>
      <c r="BK75">
        <f t="shared" ca="1" si="112"/>
        <v>0</v>
      </c>
      <c r="BL75" t="str">
        <f t="shared" ca="1" si="113"/>
        <v/>
      </c>
      <c r="BM75">
        <f t="shared" ca="1" si="114"/>
        <v>0</v>
      </c>
      <c r="BN75" t="str">
        <f t="shared" ca="1" si="115"/>
        <v/>
      </c>
      <c r="BO75">
        <f t="shared" ca="1" si="116"/>
        <v>0</v>
      </c>
      <c r="BP75" t="str">
        <f t="shared" ca="1" si="117"/>
        <v/>
      </c>
      <c r="BQ75">
        <f t="shared" ca="1" si="118"/>
        <v>0</v>
      </c>
      <c r="BR75" t="str">
        <f t="shared" ca="1" si="119"/>
        <v/>
      </c>
      <c r="BS75">
        <f t="shared" ca="1" si="120"/>
        <v>0</v>
      </c>
      <c r="BT75" t="str">
        <f t="shared" ca="1" si="121"/>
        <v/>
      </c>
      <c r="BU75">
        <f t="shared" ca="1" si="122"/>
        <v>0</v>
      </c>
      <c r="BV75" t="str">
        <f t="shared" ca="1" si="123"/>
        <v/>
      </c>
      <c r="BW75">
        <f t="shared" ca="1" si="124"/>
        <v>0</v>
      </c>
      <c r="BX75" t="str">
        <f t="shared" ca="1" si="125"/>
        <v/>
      </c>
      <c r="BY75">
        <f t="shared" ca="1" si="126"/>
        <v>0</v>
      </c>
      <c r="BZ75" t="str">
        <f t="shared" ca="1" si="127"/>
        <v/>
      </c>
      <c r="CA75">
        <f t="shared" ca="1" si="128"/>
        <v>0</v>
      </c>
      <c r="CB75" t="str">
        <f t="shared" ca="1" si="129"/>
        <v/>
      </c>
      <c r="CC75">
        <f t="shared" ca="1" si="130"/>
        <v>0</v>
      </c>
    </row>
    <row r="76" spans="2:81" ht="14.25" customHeight="1" x14ac:dyDescent="0.3">
      <c r="B76" s="55">
        <f t="shared" si="104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>
        <f>$E76*1000</f>
        <v>1000</v>
      </c>
      <c r="G76" s="56"/>
      <c r="H76" s="56"/>
      <c r="I76" s="56"/>
      <c r="J76" s="56">
        <f t="shared" si="101"/>
        <v>1000</v>
      </c>
      <c r="K76" s="56"/>
      <c r="L76" s="56"/>
      <c r="M76" s="56"/>
      <c r="N76" s="56">
        <f t="shared" si="96"/>
        <v>1000</v>
      </c>
      <c r="O76" s="56"/>
      <c r="P76" s="56"/>
      <c r="Q76" s="56"/>
      <c r="R76" s="56">
        <f t="shared" si="98"/>
        <v>1000</v>
      </c>
      <c r="S76" s="56"/>
      <c r="T76" s="56"/>
      <c r="U76" s="56"/>
      <c r="V76" s="56">
        <f t="shared" si="102"/>
        <v>1000</v>
      </c>
      <c r="W76" s="56"/>
      <c r="X76" s="56"/>
      <c r="Y76" s="56"/>
      <c r="Z76" s="56">
        <f t="shared" si="134"/>
        <v>1000</v>
      </c>
      <c r="AA76" s="56"/>
      <c r="AB76" s="56"/>
      <c r="AC76" s="56"/>
      <c r="AD76" s="56">
        <f t="shared" si="135"/>
        <v>1000</v>
      </c>
      <c r="AE76" s="56"/>
      <c r="AF76" s="56"/>
      <c r="AG76" s="56"/>
      <c r="AH76" s="56">
        <f t="shared" si="136"/>
        <v>1000</v>
      </c>
      <c r="AI76" s="56"/>
      <c r="AJ76" s="56"/>
      <c r="AK76" s="56">
        <v>50</v>
      </c>
      <c r="AL76" s="56">
        <f t="shared" si="131"/>
        <v>1000</v>
      </c>
      <c r="AM76" s="56"/>
      <c r="AN76" s="56"/>
      <c r="AO76" s="56"/>
      <c r="AP76" s="56">
        <f t="shared" si="132"/>
        <v>1000</v>
      </c>
      <c r="AQ76" s="56"/>
      <c r="AR76" s="56"/>
      <c r="AS76" s="56"/>
      <c r="AT76" s="56">
        <f t="shared" si="103"/>
        <v>1000</v>
      </c>
      <c r="AU76" s="56"/>
      <c r="AV76" s="56"/>
      <c r="AW76" s="56"/>
      <c r="AX76" s="56">
        <f t="shared" si="133"/>
        <v>1000</v>
      </c>
      <c r="AY76" s="56"/>
      <c r="AZ76" s="56"/>
      <c r="BA76" s="56"/>
      <c r="BB76" s="56">
        <f t="shared" si="105"/>
        <v>12000</v>
      </c>
      <c r="BC76" s="56">
        <f t="shared" si="106"/>
        <v>50</v>
      </c>
      <c r="BE76">
        <f ca="1">'Monthly Collection-2023'!AY76</f>
        <v>0</v>
      </c>
      <c r="BF76" t="str">
        <f t="shared" ca="1" si="107"/>
        <v/>
      </c>
      <c r="BG76">
        <f t="shared" ca="1" si="108"/>
        <v>0</v>
      </c>
      <c r="BH76" t="str">
        <f t="shared" ca="1" si="109"/>
        <v/>
      </c>
      <c r="BI76">
        <f t="shared" ca="1" si="110"/>
        <v>0</v>
      </c>
      <c r="BJ76" t="str">
        <f t="shared" ca="1" si="111"/>
        <v/>
      </c>
      <c r="BK76">
        <f t="shared" ca="1" si="112"/>
        <v>0</v>
      </c>
      <c r="BL76" t="str">
        <f t="shared" ca="1" si="113"/>
        <v/>
      </c>
      <c r="BM76">
        <f t="shared" ca="1" si="114"/>
        <v>0</v>
      </c>
      <c r="BN76" t="str">
        <f t="shared" ca="1" si="115"/>
        <v/>
      </c>
      <c r="BO76">
        <f t="shared" ca="1" si="116"/>
        <v>0</v>
      </c>
      <c r="BP76" t="str">
        <f t="shared" ca="1" si="117"/>
        <v/>
      </c>
      <c r="BQ76">
        <f t="shared" ca="1" si="118"/>
        <v>0</v>
      </c>
      <c r="BR76" t="str">
        <f t="shared" ca="1" si="119"/>
        <v/>
      </c>
      <c r="BS76">
        <f t="shared" ca="1" si="120"/>
        <v>0</v>
      </c>
      <c r="BT76" t="str">
        <f t="shared" ca="1" si="121"/>
        <v/>
      </c>
      <c r="BU76">
        <f t="shared" ca="1" si="122"/>
        <v>0</v>
      </c>
      <c r="BV76" t="str">
        <f t="shared" ca="1" si="123"/>
        <v/>
      </c>
      <c r="BW76">
        <f t="shared" ca="1" si="124"/>
        <v>0</v>
      </c>
      <c r="BX76" t="str">
        <f t="shared" ca="1" si="125"/>
        <v/>
      </c>
      <c r="BY76">
        <f t="shared" ca="1" si="126"/>
        <v>0</v>
      </c>
      <c r="BZ76" t="str">
        <f t="shared" ca="1" si="127"/>
        <v/>
      </c>
      <c r="CA76">
        <f t="shared" ca="1" si="128"/>
        <v>0</v>
      </c>
      <c r="CB76" t="str">
        <f t="shared" ca="1" si="129"/>
        <v/>
      </c>
      <c r="CC76">
        <f t="shared" ca="1" si="130"/>
        <v>0</v>
      </c>
    </row>
    <row r="77" spans="2:81" ht="14.25" customHeight="1" x14ac:dyDescent="0.3">
      <c r="B77" s="51">
        <f t="shared" si="104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242"/>
      <c r="G77" s="52"/>
      <c r="H77" s="52"/>
      <c r="I77" s="52"/>
      <c r="J77" s="242"/>
      <c r="K77" s="52"/>
      <c r="L77" s="52"/>
      <c r="M77" s="52"/>
      <c r="N77" s="242"/>
      <c r="O77" s="52"/>
      <c r="P77" s="52"/>
      <c r="Q77" s="52"/>
      <c r="R77" s="242"/>
      <c r="S77" s="52"/>
      <c r="T77" s="52"/>
      <c r="U77" s="52"/>
      <c r="V77" s="242"/>
      <c r="W77" s="52"/>
      <c r="X77" s="52"/>
      <c r="Y77" s="52"/>
      <c r="Z77" s="52">
        <f t="shared" si="134"/>
        <v>1000</v>
      </c>
      <c r="AA77" s="52"/>
      <c r="AB77" s="52"/>
      <c r="AC77" s="52"/>
      <c r="AD77" s="52">
        <f t="shared" si="135"/>
        <v>1000</v>
      </c>
      <c r="AE77" s="52">
        <v>1000</v>
      </c>
      <c r="AF77" s="52"/>
      <c r="AG77" s="52"/>
      <c r="AH77" s="242"/>
      <c r="AI77" s="52"/>
      <c r="AJ77" s="52"/>
      <c r="AK77" s="52"/>
      <c r="AL77" s="52">
        <f t="shared" si="131"/>
        <v>1000</v>
      </c>
      <c r="AM77" s="52"/>
      <c r="AN77" s="52"/>
      <c r="AO77" s="52"/>
      <c r="AP77" s="52">
        <f t="shared" si="132"/>
        <v>1000</v>
      </c>
      <c r="AQ77" s="52">
        <v>5000</v>
      </c>
      <c r="AR77" s="52"/>
      <c r="AS77" s="52"/>
      <c r="AT77" s="242"/>
      <c r="AU77" s="52"/>
      <c r="AV77" s="52"/>
      <c r="AW77" s="52"/>
      <c r="AX77" s="242"/>
      <c r="AY77" s="52"/>
      <c r="AZ77" s="52"/>
      <c r="BA77" s="52"/>
      <c r="BB77" s="52">
        <f t="shared" si="105"/>
        <v>10000</v>
      </c>
      <c r="BC77" s="52">
        <f t="shared" si="106"/>
        <v>0</v>
      </c>
      <c r="BE77">
        <f ca="1">'Monthly Collection-2023'!AY77</f>
        <v>5000</v>
      </c>
      <c r="BF77" t="str">
        <f t="shared" ca="1" si="107"/>
        <v>G</v>
      </c>
      <c r="BG77">
        <f t="shared" ca="1" si="108"/>
        <v>4000</v>
      </c>
      <c r="BH77" t="str">
        <f t="shared" ca="1" si="109"/>
        <v>G</v>
      </c>
      <c r="BI77">
        <f t="shared" ca="1" si="110"/>
        <v>3000</v>
      </c>
      <c r="BJ77" t="str">
        <f t="shared" ca="1" si="111"/>
        <v>G</v>
      </c>
      <c r="BK77">
        <f t="shared" ca="1" si="112"/>
        <v>2000</v>
      </c>
      <c r="BL77" t="str">
        <f t="shared" ca="1" si="113"/>
        <v>G</v>
      </c>
      <c r="BM77">
        <f t="shared" ca="1" si="114"/>
        <v>1000</v>
      </c>
      <c r="BN77" t="str">
        <f t="shared" ca="1" si="115"/>
        <v>G</v>
      </c>
      <c r="BO77">
        <f t="shared" ca="1" si="116"/>
        <v>0</v>
      </c>
      <c r="BP77" t="str">
        <f t="shared" ca="1" si="117"/>
        <v/>
      </c>
      <c r="BQ77">
        <f t="shared" ca="1" si="118"/>
        <v>0</v>
      </c>
      <c r="BR77" t="str">
        <f t="shared" ca="1" si="119"/>
        <v/>
      </c>
      <c r="BS77">
        <f t="shared" ca="1" si="120"/>
        <v>1000</v>
      </c>
      <c r="BT77" t="str">
        <f t="shared" ca="1" si="121"/>
        <v>G</v>
      </c>
      <c r="BU77">
        <f t="shared" ca="1" si="122"/>
        <v>0</v>
      </c>
      <c r="BV77" t="str">
        <f t="shared" ca="1" si="123"/>
        <v/>
      </c>
      <c r="BW77">
        <f t="shared" ca="1" si="124"/>
        <v>0</v>
      </c>
      <c r="BX77" t="str">
        <f t="shared" ca="1" si="125"/>
        <v/>
      </c>
      <c r="BY77">
        <f t="shared" ca="1" si="126"/>
        <v>5000</v>
      </c>
      <c r="BZ77" t="str">
        <f t="shared" ca="1" si="127"/>
        <v>G</v>
      </c>
      <c r="CA77">
        <f t="shared" ca="1" si="128"/>
        <v>4000</v>
      </c>
      <c r="CB77" t="str">
        <f t="shared" ca="1" si="129"/>
        <v>G</v>
      </c>
      <c r="CC77">
        <f t="shared" ca="1" si="130"/>
        <v>3000</v>
      </c>
    </row>
    <row r="78" spans="2:81" ht="14.25" customHeight="1" x14ac:dyDescent="0.3">
      <c r="B78" s="55">
        <f t="shared" si="104"/>
        <v>75</v>
      </c>
      <c r="C78" s="56" t="s">
        <v>146</v>
      </c>
      <c r="D78" s="12">
        <f>'Member Wise Deposit Summary'!D78</f>
        <v>1608600387</v>
      </c>
      <c r="E78" s="56">
        <v>1</v>
      </c>
      <c r="F78" s="244"/>
      <c r="G78" s="56"/>
      <c r="H78" s="56"/>
      <c r="I78" s="56"/>
      <c r="J78" s="244"/>
      <c r="K78" s="56"/>
      <c r="L78" s="56"/>
      <c r="M78" s="56"/>
      <c r="N78" s="56">
        <f>$E78*1000</f>
        <v>1000</v>
      </c>
      <c r="O78" s="56">
        <v>1000</v>
      </c>
      <c r="P78" s="56"/>
      <c r="Q78" s="56"/>
      <c r="R78" s="244"/>
      <c r="S78" s="56"/>
      <c r="T78" s="56"/>
      <c r="U78" s="56"/>
      <c r="V78" s="56">
        <f>$E78*1000</f>
        <v>1000</v>
      </c>
      <c r="W78" s="56">
        <v>4000</v>
      </c>
      <c r="X78" s="56"/>
      <c r="Y78" s="56"/>
      <c r="Z78" s="244"/>
      <c r="AA78" s="56"/>
      <c r="AB78" s="56"/>
      <c r="AC78" s="56"/>
      <c r="AD78" s="244"/>
      <c r="AE78" s="56"/>
      <c r="AF78" s="56"/>
      <c r="AG78" s="56"/>
      <c r="AH78" s="244"/>
      <c r="AI78" s="56"/>
      <c r="AJ78" s="56"/>
      <c r="AK78" s="56"/>
      <c r="AL78" s="244"/>
      <c r="AM78" s="56">
        <v>3000</v>
      </c>
      <c r="AN78" s="56"/>
      <c r="AO78" s="56"/>
      <c r="AP78" s="244"/>
      <c r="AQ78" s="56"/>
      <c r="AR78" s="56"/>
      <c r="AS78" s="56"/>
      <c r="AT78" s="244"/>
      <c r="AU78" s="56"/>
      <c r="AV78" s="56"/>
      <c r="AW78" s="56"/>
      <c r="AX78" s="244"/>
      <c r="AY78" s="56"/>
      <c r="AZ78" s="56"/>
      <c r="BA78" s="56"/>
      <c r="BB78" s="56">
        <f t="shared" si="105"/>
        <v>10000</v>
      </c>
      <c r="BC78" s="56">
        <f t="shared" si="106"/>
        <v>0</v>
      </c>
      <c r="BE78">
        <f ca="1">'Monthly Collection-2023'!AY78</f>
        <v>2000</v>
      </c>
      <c r="BF78" t="str">
        <f t="shared" ca="1" si="107"/>
        <v>G</v>
      </c>
      <c r="BG78">
        <f t="shared" ca="1" si="108"/>
        <v>1000</v>
      </c>
      <c r="BH78" t="str">
        <f t="shared" ca="1" si="109"/>
        <v>G</v>
      </c>
      <c r="BI78">
        <f t="shared" ca="1" si="110"/>
        <v>0</v>
      </c>
      <c r="BJ78" t="str">
        <f t="shared" ca="1" si="111"/>
        <v/>
      </c>
      <c r="BK78">
        <f t="shared" ca="1" si="112"/>
        <v>1000</v>
      </c>
      <c r="BL78" t="str">
        <f t="shared" ca="1" si="113"/>
        <v>G</v>
      </c>
      <c r="BM78">
        <f t="shared" ca="1" si="114"/>
        <v>0</v>
      </c>
      <c r="BN78" t="str">
        <f t="shared" ca="1" si="115"/>
        <v/>
      </c>
      <c r="BO78">
        <f t="shared" ca="1" si="116"/>
        <v>4000</v>
      </c>
      <c r="BP78" t="str">
        <f t="shared" ca="1" si="117"/>
        <v>G</v>
      </c>
      <c r="BQ78">
        <f t="shared" ca="1" si="118"/>
        <v>3000</v>
      </c>
      <c r="BR78" t="str">
        <f t="shared" ca="1" si="119"/>
        <v>G</v>
      </c>
      <c r="BS78">
        <f t="shared" ca="1" si="120"/>
        <v>2000</v>
      </c>
      <c r="BT78" t="str">
        <f t="shared" ca="1" si="121"/>
        <v>G</v>
      </c>
      <c r="BU78">
        <f t="shared" ca="1" si="122"/>
        <v>1000</v>
      </c>
      <c r="BV78" t="str">
        <f t="shared" ca="1" si="123"/>
        <v>G</v>
      </c>
      <c r="BW78">
        <f t="shared" ca="1" si="124"/>
        <v>3000</v>
      </c>
      <c r="BX78" t="str">
        <f t="shared" ca="1" si="125"/>
        <v>G</v>
      </c>
      <c r="BY78">
        <f t="shared" ca="1" si="126"/>
        <v>2000</v>
      </c>
      <c r="BZ78" t="str">
        <f t="shared" ca="1" si="127"/>
        <v>G</v>
      </c>
      <c r="CA78">
        <f t="shared" ca="1" si="128"/>
        <v>1000</v>
      </c>
      <c r="CB78" t="str">
        <f t="shared" ca="1" si="129"/>
        <v>G</v>
      </c>
      <c r="CC78">
        <f t="shared" ca="1" si="130"/>
        <v>0</v>
      </c>
    </row>
    <row r="79" spans="2:81" ht="14.25" customHeight="1" x14ac:dyDescent="0.3">
      <c r="B79" s="51">
        <f t="shared" si="104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242"/>
      <c r="G79" s="52"/>
      <c r="H79" s="52"/>
      <c r="I79" s="52"/>
      <c r="J79" s="242"/>
      <c r="K79" s="52"/>
      <c r="L79" s="52"/>
      <c r="M79" s="52"/>
      <c r="N79" s="52">
        <f>$E79*1000</f>
        <v>1000</v>
      </c>
      <c r="O79" s="52">
        <v>2000</v>
      </c>
      <c r="P79" s="52"/>
      <c r="Q79" s="52"/>
      <c r="R79" s="242"/>
      <c r="S79" s="52"/>
      <c r="T79" s="52"/>
      <c r="U79" s="52"/>
      <c r="V79" s="242"/>
      <c r="W79" s="52"/>
      <c r="X79" s="52"/>
      <c r="Y79" s="52"/>
      <c r="Z79" s="52">
        <f>$E79*1000</f>
        <v>1000</v>
      </c>
      <c r="AA79" s="52">
        <v>4000</v>
      </c>
      <c r="AB79" s="52"/>
      <c r="AC79" s="52"/>
      <c r="AD79" s="242"/>
      <c r="AE79" s="52"/>
      <c r="AF79" s="52"/>
      <c r="AG79" s="52"/>
      <c r="AH79" s="242"/>
      <c r="AI79" s="52"/>
      <c r="AJ79" s="52"/>
      <c r="AK79" s="52"/>
      <c r="AL79" s="242"/>
      <c r="AM79" s="52"/>
      <c r="AN79" s="52"/>
      <c r="AO79" s="52"/>
      <c r="AP79" s="242"/>
      <c r="AQ79" s="52"/>
      <c r="AR79" s="52"/>
      <c r="AS79" s="52"/>
      <c r="AT79" s="52">
        <f>$E79*1000</f>
        <v>1000</v>
      </c>
      <c r="AU79" s="52">
        <v>2000</v>
      </c>
      <c r="AV79" s="52"/>
      <c r="AW79" s="52"/>
      <c r="AX79" s="242"/>
      <c r="AY79" s="52"/>
      <c r="AZ79" s="52"/>
      <c r="BA79" s="52"/>
      <c r="BB79" s="52">
        <f t="shared" si="105"/>
        <v>11000</v>
      </c>
      <c r="BC79" s="52">
        <f t="shared" si="106"/>
        <v>0</v>
      </c>
      <c r="BE79">
        <f ca="1">'Monthly Collection-2023'!AY79</f>
        <v>2000</v>
      </c>
      <c r="BF79" t="str">
        <f t="shared" ca="1" si="107"/>
        <v>G</v>
      </c>
      <c r="BG79">
        <f t="shared" ca="1" si="108"/>
        <v>1000</v>
      </c>
      <c r="BH79" t="str">
        <f t="shared" ca="1" si="109"/>
        <v>G</v>
      </c>
      <c r="BI79">
        <f t="shared" ca="1" si="110"/>
        <v>0</v>
      </c>
      <c r="BJ79" t="str">
        <f t="shared" ca="1" si="111"/>
        <v/>
      </c>
      <c r="BK79">
        <f t="shared" ca="1" si="112"/>
        <v>2000</v>
      </c>
      <c r="BL79" t="str">
        <f t="shared" ca="1" si="113"/>
        <v>G</v>
      </c>
      <c r="BM79">
        <f t="shared" ca="1" si="114"/>
        <v>1000</v>
      </c>
      <c r="BN79" t="str">
        <f t="shared" ca="1" si="115"/>
        <v>G</v>
      </c>
      <c r="BO79">
        <f t="shared" ca="1" si="116"/>
        <v>0</v>
      </c>
      <c r="BP79" t="str">
        <f t="shared" ca="1" si="117"/>
        <v/>
      </c>
      <c r="BQ79">
        <f t="shared" ca="1" si="118"/>
        <v>4000</v>
      </c>
      <c r="BR79" t="str">
        <f t="shared" ca="1" si="119"/>
        <v>G</v>
      </c>
      <c r="BS79">
        <f t="shared" ca="1" si="120"/>
        <v>3000</v>
      </c>
      <c r="BT79" t="str">
        <f t="shared" ca="1" si="121"/>
        <v>G</v>
      </c>
      <c r="BU79">
        <f t="shared" ca="1" si="122"/>
        <v>2000</v>
      </c>
      <c r="BV79" t="str">
        <f t="shared" ca="1" si="123"/>
        <v>G</v>
      </c>
      <c r="BW79">
        <f t="shared" ca="1" si="124"/>
        <v>1000</v>
      </c>
      <c r="BX79" t="str">
        <f t="shared" ca="1" si="125"/>
        <v>G</v>
      </c>
      <c r="BY79">
        <f t="shared" ca="1" si="126"/>
        <v>0</v>
      </c>
      <c r="BZ79" t="str">
        <f t="shared" ca="1" si="127"/>
        <v/>
      </c>
      <c r="CA79">
        <f t="shared" ca="1" si="128"/>
        <v>2000</v>
      </c>
      <c r="CB79" t="str">
        <f t="shared" ca="1" si="129"/>
        <v>G</v>
      </c>
      <c r="CC79">
        <f t="shared" ca="1" si="130"/>
        <v>1000</v>
      </c>
    </row>
    <row r="80" spans="2:81" ht="15" customHeight="1" x14ac:dyDescent="0.3">
      <c r="B80" s="59">
        <f t="shared" si="104"/>
        <v>77</v>
      </c>
      <c r="C80" s="60" t="s">
        <v>148</v>
      </c>
      <c r="D80" s="12">
        <f>'Member Wise Deposit Summary'!D80</f>
        <v>1812676040</v>
      </c>
      <c r="E80" s="60">
        <v>1</v>
      </c>
      <c r="F80" s="241"/>
      <c r="G80" s="60"/>
      <c r="H80" s="60"/>
      <c r="I80" s="60"/>
      <c r="J80" s="241"/>
      <c r="K80" s="60"/>
      <c r="L80" s="60"/>
      <c r="M80" s="60"/>
      <c r="N80" s="241"/>
      <c r="O80" s="60"/>
      <c r="P80" s="60"/>
      <c r="Q80" s="60"/>
      <c r="R80" s="241"/>
      <c r="S80" s="60"/>
      <c r="T80" s="60"/>
      <c r="U80" s="60"/>
      <c r="V80" s="60">
        <f>$E80*1000</f>
        <v>1000</v>
      </c>
      <c r="W80" s="60"/>
      <c r="X80" s="60">
        <v>11000</v>
      </c>
      <c r="Y80" s="60">
        <v>950</v>
      </c>
      <c r="Z80" s="60">
        <f>$E80*1000</f>
        <v>1000</v>
      </c>
      <c r="AA80" s="60"/>
      <c r="AB80" s="60"/>
      <c r="AC80" s="60"/>
      <c r="AD80" s="60">
        <f>$E80*1000</f>
        <v>1000</v>
      </c>
      <c r="AE80" s="60">
        <v>1000</v>
      </c>
      <c r="AF80" s="60"/>
      <c r="AG80" s="60"/>
      <c r="AH80" s="244"/>
      <c r="AI80" s="60"/>
      <c r="AJ80" s="60"/>
      <c r="AK80" s="60"/>
      <c r="AL80" s="60">
        <f>$E80*1000</f>
        <v>1000</v>
      </c>
      <c r="AM80" s="60"/>
      <c r="AN80" s="60"/>
      <c r="AO80" s="60"/>
      <c r="AP80" s="60">
        <f>$E80*1000</f>
        <v>1000</v>
      </c>
      <c r="AQ80" s="60">
        <v>1000</v>
      </c>
      <c r="AR80" s="60"/>
      <c r="AS80" s="60"/>
      <c r="AT80" s="244"/>
      <c r="AU80" s="60"/>
      <c r="AV80" s="60"/>
      <c r="AW80" s="60"/>
      <c r="AX80" s="60">
        <f>$E80*1000</f>
        <v>1000</v>
      </c>
      <c r="AY80" s="60"/>
      <c r="AZ80" s="60"/>
      <c r="BA80" s="60"/>
      <c r="BB80" s="60">
        <f t="shared" si="105"/>
        <v>19000</v>
      </c>
      <c r="BC80" s="60">
        <f t="shared" si="106"/>
        <v>950</v>
      </c>
      <c r="BE80">
        <f ca="1">'Monthly Collection-2023'!AY80</f>
        <v>0</v>
      </c>
      <c r="BF80" t="str">
        <f t="shared" ca="1" si="107"/>
        <v>R</v>
      </c>
      <c r="BG80">
        <f t="shared" ca="1" si="108"/>
        <v>0</v>
      </c>
      <c r="BH80" t="str">
        <f t="shared" ca="1" si="109"/>
        <v>R</v>
      </c>
      <c r="BI80">
        <f t="shared" ca="1" si="110"/>
        <v>0</v>
      </c>
      <c r="BJ80" t="str">
        <f t="shared" ca="1" si="111"/>
        <v>R</v>
      </c>
      <c r="BK80">
        <f t="shared" ca="1" si="112"/>
        <v>0</v>
      </c>
      <c r="BL80" t="str">
        <f t="shared" ca="1" si="113"/>
        <v>R</v>
      </c>
      <c r="BM80">
        <f t="shared" ca="1" si="114"/>
        <v>0</v>
      </c>
      <c r="BN80" t="str">
        <f t="shared" ca="1" si="115"/>
        <v/>
      </c>
      <c r="BO80">
        <f t="shared" ca="1" si="116"/>
        <v>0</v>
      </c>
      <c r="BP80" t="str">
        <f t="shared" ca="1" si="117"/>
        <v/>
      </c>
      <c r="BQ80">
        <f t="shared" ca="1" si="118"/>
        <v>0</v>
      </c>
      <c r="BR80" t="str">
        <f t="shared" ca="1" si="119"/>
        <v/>
      </c>
      <c r="BS80">
        <f t="shared" ca="1" si="120"/>
        <v>1000</v>
      </c>
      <c r="BT80" t="str">
        <f t="shared" ca="1" si="121"/>
        <v>G</v>
      </c>
      <c r="BU80">
        <f t="shared" ca="1" si="122"/>
        <v>0</v>
      </c>
      <c r="BV80" t="str">
        <f t="shared" ca="1" si="123"/>
        <v/>
      </c>
      <c r="BW80">
        <f t="shared" ca="1" si="124"/>
        <v>0</v>
      </c>
      <c r="BX80" t="str">
        <f t="shared" ca="1" si="125"/>
        <v/>
      </c>
      <c r="BY80">
        <f t="shared" ca="1" si="126"/>
        <v>1000</v>
      </c>
      <c r="BZ80" t="str">
        <f t="shared" ca="1" si="127"/>
        <v>G</v>
      </c>
      <c r="CA80">
        <f t="shared" ca="1" si="128"/>
        <v>0</v>
      </c>
      <c r="CB80" t="str">
        <f t="shared" ca="1" si="129"/>
        <v/>
      </c>
      <c r="CC80">
        <f t="shared" ca="1" si="130"/>
        <v>0</v>
      </c>
    </row>
    <row r="81" spans="2:55" ht="15" customHeight="1" x14ac:dyDescent="0.3">
      <c r="B81" s="299" t="s">
        <v>68</v>
      </c>
      <c r="C81" s="299"/>
      <c r="D81" s="299"/>
      <c r="E81" s="299"/>
      <c r="F81" s="63">
        <f t="shared" ref="F81:AK81" si="137">_xlfn.AGGREGATE(9,6,F4:F80)</f>
        <v>112000</v>
      </c>
      <c r="G81" s="63">
        <f t="shared" si="137"/>
        <v>0</v>
      </c>
      <c r="H81" s="63">
        <f t="shared" si="137"/>
        <v>11000</v>
      </c>
      <c r="I81" s="63">
        <f t="shared" si="137"/>
        <v>550</v>
      </c>
      <c r="J81" s="63">
        <f t="shared" si="137"/>
        <v>116000</v>
      </c>
      <c r="K81" s="63">
        <f t="shared" si="137"/>
        <v>0</v>
      </c>
      <c r="L81" s="63">
        <f t="shared" si="137"/>
        <v>2000</v>
      </c>
      <c r="M81" s="63">
        <f t="shared" si="137"/>
        <v>100</v>
      </c>
      <c r="N81" s="63">
        <f t="shared" si="137"/>
        <v>119000</v>
      </c>
      <c r="O81" s="63">
        <f t="shared" si="137"/>
        <v>11000</v>
      </c>
      <c r="P81" s="63">
        <f t="shared" si="137"/>
        <v>3000</v>
      </c>
      <c r="Q81" s="63">
        <f t="shared" si="137"/>
        <v>200</v>
      </c>
      <c r="R81" s="63">
        <f t="shared" si="137"/>
        <v>108000</v>
      </c>
      <c r="S81" s="63">
        <f t="shared" si="137"/>
        <v>0</v>
      </c>
      <c r="T81" s="63">
        <f t="shared" si="137"/>
        <v>2000</v>
      </c>
      <c r="U81" s="63">
        <f t="shared" si="137"/>
        <v>200</v>
      </c>
      <c r="V81" s="63">
        <f t="shared" si="137"/>
        <v>104000</v>
      </c>
      <c r="W81" s="63">
        <f t="shared" si="137"/>
        <v>4000</v>
      </c>
      <c r="X81" s="63">
        <f t="shared" si="137"/>
        <v>32000</v>
      </c>
      <c r="Y81" s="63">
        <f t="shared" si="137"/>
        <v>3800</v>
      </c>
      <c r="Z81" s="63">
        <f t="shared" si="137"/>
        <v>115000</v>
      </c>
      <c r="AA81" s="63">
        <f t="shared" si="137"/>
        <v>6000</v>
      </c>
      <c r="AB81" s="63">
        <f t="shared" si="137"/>
        <v>12000</v>
      </c>
      <c r="AC81" s="63">
        <f t="shared" si="137"/>
        <v>600</v>
      </c>
      <c r="AD81" s="63">
        <f t="shared" si="137"/>
        <v>114000</v>
      </c>
      <c r="AE81" s="63">
        <f t="shared" si="137"/>
        <v>11000</v>
      </c>
      <c r="AF81" s="63">
        <f t="shared" si="137"/>
        <v>8000</v>
      </c>
      <c r="AG81" s="63">
        <f t="shared" si="137"/>
        <v>550</v>
      </c>
      <c r="AH81" s="63">
        <f t="shared" si="137"/>
        <v>108000</v>
      </c>
      <c r="AI81" s="63">
        <f t="shared" si="137"/>
        <v>8000</v>
      </c>
      <c r="AJ81" s="63">
        <f t="shared" si="137"/>
        <v>8000</v>
      </c>
      <c r="AK81" s="63">
        <f t="shared" si="137"/>
        <v>1350</v>
      </c>
      <c r="AL81" s="63">
        <f t="shared" ref="AL81:BC81" si="138">_xlfn.AGGREGATE(9,6,AL4:AL80)</f>
        <v>108000</v>
      </c>
      <c r="AM81" s="63">
        <f t="shared" si="138"/>
        <v>3000</v>
      </c>
      <c r="AN81" s="63">
        <f t="shared" si="138"/>
        <v>7000</v>
      </c>
      <c r="AO81" s="63">
        <f t="shared" si="138"/>
        <v>400</v>
      </c>
      <c r="AP81" s="63">
        <f t="shared" si="138"/>
        <v>109000</v>
      </c>
      <c r="AQ81" s="63">
        <f t="shared" si="138"/>
        <v>6000</v>
      </c>
      <c r="AR81" s="63">
        <f t="shared" si="138"/>
        <v>5000</v>
      </c>
      <c r="AS81" s="63">
        <f t="shared" si="138"/>
        <v>250</v>
      </c>
      <c r="AT81" s="63">
        <f t="shared" si="138"/>
        <v>111000</v>
      </c>
      <c r="AU81" s="63">
        <f t="shared" si="138"/>
        <v>2000</v>
      </c>
      <c r="AV81" s="63">
        <f t="shared" si="138"/>
        <v>14000</v>
      </c>
      <c r="AW81" s="63">
        <f t="shared" si="138"/>
        <v>700</v>
      </c>
      <c r="AX81" s="63">
        <f t="shared" si="138"/>
        <v>105000</v>
      </c>
      <c r="AY81" s="63">
        <f t="shared" si="138"/>
        <v>8000</v>
      </c>
      <c r="AZ81" s="63">
        <f t="shared" si="138"/>
        <v>4000</v>
      </c>
      <c r="BA81" s="63">
        <f t="shared" si="138"/>
        <v>200</v>
      </c>
      <c r="BB81" s="63">
        <f t="shared" si="138"/>
        <v>1496000</v>
      </c>
      <c r="BC81" s="63">
        <f t="shared" si="138"/>
        <v>8900</v>
      </c>
    </row>
  </sheetData>
  <mergeCells count="19">
    <mergeCell ref="B81:E81"/>
    <mergeCell ref="AD2:AG2"/>
    <mergeCell ref="AH2:AK2"/>
    <mergeCell ref="AL2:AO2"/>
    <mergeCell ref="AP2:AS2"/>
    <mergeCell ref="J2:M2"/>
    <mergeCell ref="N2:Q2"/>
    <mergeCell ref="R2:U2"/>
    <mergeCell ref="V2:Y2"/>
    <mergeCell ref="Z2:AC2"/>
    <mergeCell ref="B2:B3"/>
    <mergeCell ref="C2:C3"/>
    <mergeCell ref="D2:D3"/>
    <mergeCell ref="E2:E3"/>
    <mergeCell ref="F2:I2"/>
    <mergeCell ref="AX2:BA2"/>
    <mergeCell ref="BB2:BB3"/>
    <mergeCell ref="BC2:BC3"/>
    <mergeCell ref="AT2:AW2"/>
  </mergeCells>
  <conditionalFormatting sqref="F4:F80">
    <cfRule type="expression" dxfId="236" priority="100">
      <formula>$BF4="R"</formula>
    </cfRule>
    <cfRule type="expression" dxfId="235" priority="101">
      <formula>$BF4="G"</formula>
    </cfRule>
  </conditionalFormatting>
  <conditionalFormatting sqref="J4:J80">
    <cfRule type="expression" dxfId="234" priority="102">
      <formula>$BH4="R"</formula>
    </cfRule>
    <cfRule type="expression" dxfId="233" priority="103">
      <formula>$BH4="G"</formula>
    </cfRule>
  </conditionalFormatting>
  <conditionalFormatting sqref="N4:N80">
    <cfRule type="expression" dxfId="232" priority="104">
      <formula>$BJ4="R"</formula>
    </cfRule>
    <cfRule type="expression" dxfId="231" priority="105">
      <formula>$BJ4="G"</formula>
    </cfRule>
  </conditionalFormatting>
  <conditionalFormatting sqref="R4:R80">
    <cfRule type="expression" dxfId="230" priority="106">
      <formula>$BL4="R"</formula>
    </cfRule>
    <cfRule type="expression" dxfId="229" priority="107">
      <formula>$BL4="G"</formula>
    </cfRule>
  </conditionalFormatting>
  <conditionalFormatting sqref="V4:V80">
    <cfRule type="expression" dxfId="228" priority="108">
      <formula>$BN4="R"</formula>
    </cfRule>
    <cfRule type="expression" dxfId="227" priority="109">
      <formula>$BN4="G"</formula>
    </cfRule>
  </conditionalFormatting>
  <conditionalFormatting sqref="Z4:Z80">
    <cfRule type="expression" dxfId="226" priority="110">
      <formula>$BP4="R"</formula>
    </cfRule>
    <cfRule type="expression" dxfId="225" priority="111">
      <formula>$BP4="G"</formula>
    </cfRule>
  </conditionalFormatting>
  <conditionalFormatting sqref="AD4:AD80">
    <cfRule type="expression" dxfId="224" priority="112">
      <formula>$BR4="R"</formula>
    </cfRule>
    <cfRule type="expression" dxfId="223" priority="113">
      <formula>$BR4="G"</formula>
    </cfRule>
  </conditionalFormatting>
  <conditionalFormatting sqref="AH4:AH80">
    <cfRule type="expression" dxfId="222" priority="114">
      <formula>$BT4="R"</formula>
    </cfRule>
    <cfRule type="expression" dxfId="221" priority="115">
      <formula>$BT4="G"</formula>
    </cfRule>
  </conditionalFormatting>
  <conditionalFormatting sqref="AL4:AL80">
    <cfRule type="expression" dxfId="220" priority="116">
      <formula>$BV4="R"</formula>
    </cfRule>
    <cfRule type="expression" dxfId="219" priority="117">
      <formula>$BV4="G"</formula>
    </cfRule>
  </conditionalFormatting>
  <conditionalFormatting sqref="AP4:AP80">
    <cfRule type="expression" dxfId="218" priority="118">
      <formula>$BX4="R"</formula>
    </cfRule>
    <cfRule type="expression" dxfId="217" priority="119">
      <formula>$BX4="G"</formula>
    </cfRule>
  </conditionalFormatting>
  <conditionalFormatting sqref="AT4:AT80">
    <cfRule type="expression" dxfId="216" priority="120">
      <formula>$BZ4="R"</formula>
    </cfRule>
    <cfRule type="expression" dxfId="215" priority="121">
      <formula>$BZ4="G"</formula>
    </cfRule>
  </conditionalFormatting>
  <conditionalFormatting sqref="AX4:AX80">
    <cfRule type="expression" dxfId="214" priority="122">
      <formula>$CB4="R"</formula>
    </cfRule>
    <cfRule type="expression" dxfId="213" priority="123">
      <formula>$CB4="G"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504D"/>
  </sheetPr>
  <dimension ref="A1:CD81"/>
  <sheetViews>
    <sheetView showGridLines="0" topLeftCell="A2" zoomScaleNormal="100" workbookViewId="0">
      <selection activeCell="D4" sqref="D4:D80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15.1093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10.77734375" style="3" customWidth="1"/>
    <col min="35" max="35" width="8.33203125" style="3" customWidth="1"/>
    <col min="36" max="36" width="10.109375" style="3" customWidth="1"/>
    <col min="37" max="37" width="8.77734375" style="3" customWidth="1"/>
    <col min="38" max="38" width="10.77734375" style="3" customWidth="1"/>
    <col min="39" max="39" width="8.33203125" style="3" customWidth="1"/>
    <col min="40" max="40" width="10.109375" style="3" customWidth="1"/>
    <col min="41" max="41" width="8.77734375" style="3" customWidth="1"/>
    <col min="42" max="42" width="10.77734375" style="3" customWidth="1"/>
    <col min="43" max="43" width="8.33203125" style="3" customWidth="1"/>
    <col min="44" max="44" width="10.109375" style="3" customWidth="1"/>
    <col min="45" max="45" width="8.77734375" style="3" customWidth="1"/>
    <col min="46" max="46" width="10.77734375" style="3" customWidth="1"/>
    <col min="47" max="47" width="8.33203125" style="3" customWidth="1"/>
    <col min="48" max="48" width="10.109375" style="3" customWidth="1"/>
    <col min="49" max="49" width="8.77734375" style="3" customWidth="1"/>
    <col min="50" max="50" width="10.77734375" style="3" customWidth="1"/>
    <col min="51" max="51" width="8.33203125" style="3" customWidth="1"/>
    <col min="52" max="52" width="10.109375" style="3" customWidth="1"/>
    <col min="53" max="53" width="8.77734375" style="3" customWidth="1"/>
    <col min="54" max="54" width="8" style="3" customWidth="1"/>
    <col min="55" max="55" width="5.21875" style="3" customWidth="1"/>
    <col min="56" max="56" width="8.88671875" style="3"/>
    <col min="57" max="81" width="9.44140625" style="3" hidden="1" customWidth="1" outlineLevel="1"/>
    <col min="82" max="82" width="8.88671875" style="3" collapsed="1"/>
    <col min="83" max="16384" width="8.88671875" style="3"/>
  </cols>
  <sheetData>
    <row r="1" spans="1:81" ht="19.5" customHeight="1" x14ac:dyDescent="0.3">
      <c r="A1" s="4" t="str">
        <f>HYPERLINK("#DASHBOARD!A1","⬅ Dashboard")</f>
        <v>⬅ Dashboard</v>
      </c>
      <c r="BE1" t="s">
        <v>355</v>
      </c>
    </row>
    <row r="2" spans="1:8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45658</v>
      </c>
      <c r="G2" s="296"/>
      <c r="H2" s="296"/>
      <c r="I2" s="296"/>
      <c r="J2" s="300">
        <f>EDATE($F2,1)</f>
        <v>45689</v>
      </c>
      <c r="K2" s="300"/>
      <c r="L2" s="300"/>
      <c r="M2" s="300"/>
      <c r="N2" s="296">
        <f>EDATE($F2,2)</f>
        <v>45717</v>
      </c>
      <c r="O2" s="296"/>
      <c r="P2" s="296"/>
      <c r="Q2" s="296"/>
      <c r="R2" s="300">
        <f>EDATE($F2,3)</f>
        <v>45748</v>
      </c>
      <c r="S2" s="300"/>
      <c r="T2" s="300"/>
      <c r="U2" s="300"/>
      <c r="V2" s="296">
        <f>EDATE($F2,4)</f>
        <v>45778</v>
      </c>
      <c r="W2" s="296"/>
      <c r="X2" s="296"/>
      <c r="Y2" s="296"/>
      <c r="Z2" s="300">
        <f>EDATE($F2,5)</f>
        <v>45809</v>
      </c>
      <c r="AA2" s="300"/>
      <c r="AB2" s="300"/>
      <c r="AC2" s="300"/>
      <c r="AD2" s="296">
        <f>EDATE($F2,6)</f>
        <v>45839</v>
      </c>
      <c r="AE2" s="296"/>
      <c r="AF2" s="296"/>
      <c r="AG2" s="296"/>
      <c r="AH2" s="300">
        <f>EDATE($F2,7)</f>
        <v>45870</v>
      </c>
      <c r="AI2" s="300"/>
      <c r="AJ2" s="300"/>
      <c r="AK2" s="300"/>
      <c r="AL2" s="296">
        <f>EDATE($F2,8)</f>
        <v>45901</v>
      </c>
      <c r="AM2" s="296"/>
      <c r="AN2" s="296"/>
      <c r="AO2" s="296"/>
      <c r="AP2" s="300">
        <f>EDATE($F2,9)</f>
        <v>45931</v>
      </c>
      <c r="AQ2" s="300"/>
      <c r="AR2" s="300"/>
      <c r="AS2" s="300"/>
      <c r="AT2" s="296">
        <f>EDATE($F2,10)</f>
        <v>45962</v>
      </c>
      <c r="AU2" s="296"/>
      <c r="AV2" s="296"/>
      <c r="AW2" s="296"/>
      <c r="AX2" s="300">
        <f>EDATE($F2,11)</f>
        <v>45992</v>
      </c>
      <c r="AY2" s="300"/>
      <c r="AZ2" s="300"/>
      <c r="BA2" s="300"/>
      <c r="BB2" s="297" t="s">
        <v>70</v>
      </c>
      <c r="BC2" s="298" t="s">
        <v>41</v>
      </c>
      <c r="BF2" s="236">
        <f>F$2</f>
        <v>45658</v>
      </c>
      <c r="BH2" s="236">
        <f>J$2</f>
        <v>45689</v>
      </c>
      <c r="BJ2" s="236">
        <f>N$2</f>
        <v>45717</v>
      </c>
      <c r="BL2" s="236">
        <f>R$2</f>
        <v>45748</v>
      </c>
      <c r="BN2" s="236">
        <f>V$2</f>
        <v>45778</v>
      </c>
      <c r="BP2" s="236">
        <f>Z$2</f>
        <v>45809</v>
      </c>
      <c r="BR2" s="236">
        <f>AD$2</f>
        <v>45839</v>
      </c>
      <c r="BT2" s="236">
        <f>AH$2</f>
        <v>45870</v>
      </c>
      <c r="BV2" s="236">
        <f>AL$2</f>
        <v>45901</v>
      </c>
      <c r="BX2" s="236">
        <f>AP$2</f>
        <v>45931</v>
      </c>
      <c r="BZ2" s="236">
        <f>AT$2</f>
        <v>45962</v>
      </c>
      <c r="CB2" s="236">
        <f>AX$2</f>
        <v>45992</v>
      </c>
    </row>
    <row r="3" spans="1:81" s="46" customFormat="1" ht="29.25" customHeight="1" x14ac:dyDescent="0.3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2" t="s">
        <v>44</v>
      </c>
      <c r="AI3" s="22" t="s">
        <v>19</v>
      </c>
      <c r="AJ3" s="22" t="s">
        <v>45</v>
      </c>
      <c r="AK3" s="22" t="s">
        <v>20</v>
      </c>
      <c r="AL3" s="22" t="s">
        <v>44</v>
      </c>
      <c r="AM3" s="22" t="s">
        <v>19</v>
      </c>
      <c r="AN3" s="22" t="s">
        <v>45</v>
      </c>
      <c r="AO3" s="22" t="s">
        <v>20</v>
      </c>
      <c r="AP3" s="22" t="s">
        <v>44</v>
      </c>
      <c r="AQ3" s="22" t="s">
        <v>19</v>
      </c>
      <c r="AR3" s="22" t="s">
        <v>45</v>
      </c>
      <c r="AS3" s="22" t="s">
        <v>20</v>
      </c>
      <c r="AT3" s="22" t="s">
        <v>44</v>
      </c>
      <c r="AU3" s="22" t="s">
        <v>19</v>
      </c>
      <c r="AV3" s="22" t="s">
        <v>45</v>
      </c>
      <c r="AW3" s="22" t="s">
        <v>20</v>
      </c>
      <c r="AX3" s="22" t="s">
        <v>44</v>
      </c>
      <c r="AY3" s="22" t="s">
        <v>19</v>
      </c>
      <c r="AZ3" s="22" t="s">
        <v>45</v>
      </c>
      <c r="BA3" s="22" t="s">
        <v>20</v>
      </c>
      <c r="BB3" s="297"/>
      <c r="BC3" s="298"/>
      <c r="BE3" s="22" t="s">
        <v>356</v>
      </c>
      <c r="BF3" s="22" t="s">
        <v>339</v>
      </c>
      <c r="BG3" s="22" t="s">
        <v>357</v>
      </c>
      <c r="BH3" s="22" t="s">
        <v>339</v>
      </c>
      <c r="BI3" s="22" t="s">
        <v>357</v>
      </c>
      <c r="BJ3" s="22" t="s">
        <v>339</v>
      </c>
      <c r="BK3" s="22" t="s">
        <v>357</v>
      </c>
      <c r="BL3" s="22" t="s">
        <v>339</v>
      </c>
      <c r="BM3" s="22" t="s">
        <v>357</v>
      </c>
      <c r="BN3" s="22" t="s">
        <v>339</v>
      </c>
      <c r="BO3" s="22" t="s">
        <v>357</v>
      </c>
      <c r="BP3" s="22" t="s">
        <v>339</v>
      </c>
      <c r="BQ3" s="22" t="s">
        <v>357</v>
      </c>
      <c r="BR3" s="22" t="s">
        <v>339</v>
      </c>
      <c r="BS3" s="22" t="s">
        <v>357</v>
      </c>
      <c r="BT3" s="22" t="s">
        <v>339</v>
      </c>
      <c r="BU3" s="22" t="s">
        <v>357</v>
      </c>
      <c r="BV3" s="22" t="s">
        <v>339</v>
      </c>
      <c r="BW3" s="22" t="s">
        <v>357</v>
      </c>
      <c r="BX3" s="22" t="s">
        <v>339</v>
      </c>
      <c r="BY3" s="22" t="s">
        <v>357</v>
      </c>
      <c r="BZ3" s="22" t="s">
        <v>339</v>
      </c>
      <c r="CA3" s="22" t="s">
        <v>357</v>
      </c>
      <c r="CB3" s="22" t="s">
        <v>339</v>
      </c>
      <c r="CC3" s="22" t="s">
        <v>357</v>
      </c>
    </row>
    <row r="4" spans="1:8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>
        <f t="shared" ref="F4:F34" si="1">$E4*1000</f>
        <v>3000</v>
      </c>
      <c r="G4" s="48"/>
      <c r="H4" s="48"/>
      <c r="I4" s="48"/>
      <c r="J4" s="48">
        <f>$E4*1000</f>
        <v>3000</v>
      </c>
      <c r="K4" s="48"/>
      <c r="L4" s="48"/>
      <c r="M4" s="48"/>
      <c r="N4" s="48">
        <f>$E4*1000</f>
        <v>3000</v>
      </c>
      <c r="O4" s="48"/>
      <c r="P4" s="48"/>
      <c r="Q4" s="48"/>
      <c r="R4" s="48">
        <f>$E4*1000</f>
        <v>3000</v>
      </c>
      <c r="S4" s="48"/>
      <c r="T4" s="48"/>
      <c r="U4" s="48"/>
      <c r="V4" s="48">
        <f>$E4*1000</f>
        <v>3000</v>
      </c>
      <c r="W4" s="48"/>
      <c r="X4" s="48"/>
      <c r="Y4" s="48"/>
      <c r="Z4" s="48">
        <f>$E4*1000</f>
        <v>3000</v>
      </c>
      <c r="AA4" s="48"/>
      <c r="AB4" s="48"/>
      <c r="AC4" s="48"/>
      <c r="AD4" s="48">
        <f>$E4*1000</f>
        <v>3000</v>
      </c>
      <c r="AE4" s="48"/>
      <c r="AF4" s="48"/>
      <c r="AG4" s="48"/>
      <c r="AH4" s="48">
        <f>$E4*1000</f>
        <v>3000</v>
      </c>
      <c r="AI4" s="48"/>
      <c r="AJ4" s="48"/>
      <c r="AK4" s="48"/>
      <c r="AL4" s="48">
        <f>$E4*1000</f>
        <v>3000</v>
      </c>
      <c r="AM4" s="48"/>
      <c r="AN4" s="48"/>
      <c r="AO4" s="48"/>
      <c r="AP4" s="48">
        <f>$E4*1000</f>
        <v>3000</v>
      </c>
      <c r="AQ4" s="48"/>
      <c r="AR4" s="48"/>
      <c r="AS4" s="48"/>
      <c r="AT4" s="48">
        <f>$E4*1000</f>
        <v>3000</v>
      </c>
      <c r="AU4" s="48"/>
      <c r="AV4" s="48"/>
      <c r="AW4" s="48"/>
      <c r="AX4" s="48">
        <f>$E4*1000</f>
        <v>3000</v>
      </c>
      <c r="AY4" s="48"/>
      <c r="AZ4" s="48"/>
      <c r="BA4" s="48"/>
      <c r="BB4" s="48">
        <f t="shared" ref="BB4:BB35" si="2">F4+G4+H4+J4+K4+L4+N4+O4+P4+R4+S4+T4+V4+W4+X4+Z4+AA4+AB4+AD4+AE4+AF4+AH4+AI4+AJ4+AL4+AM4+AN4+AP4+AQ4+AR4+AT4+AU4+AV4+AX4+AY4+AZ4</f>
        <v>36000</v>
      </c>
      <c r="BC4" s="48">
        <f t="shared" ref="BC4:BC35" si="3">I4+M4+Q4+U4+Y4+AC4+AG4+AK4+AO4+AS4+AW4+BA4</f>
        <v>0</v>
      </c>
      <c r="BE4">
        <f ca="1">'Monthly Collection-2024)'!CC4</f>
        <v>0</v>
      </c>
      <c r="BF4" t="str">
        <f t="shared" ref="BF4:BF35" ca="1" si="4">IF(N(F4)&gt;=$E4*1000,"",IF(AND($E4&gt;0,BE4&gt;=$E4*1000),"G",IF(F$2&lt;=TODAY(),"R","")))</f>
        <v/>
      </c>
      <c r="BG4">
        <f t="shared" ref="BG4:BG35" ca="1" si="5">BE4-IF(BF4="G",$E4*1000,0)+N(G4)</f>
        <v>0</v>
      </c>
      <c r="BH4" t="str">
        <f t="shared" ref="BH4:BH35" ca="1" si="6">IF(N(J4)&gt;=$E4*1000,"",IF(AND($E4&gt;0,BG4&gt;=$E4*1000),"G",IF(J$2&lt;=TODAY(),"R","")))</f>
        <v/>
      </c>
      <c r="BI4">
        <f t="shared" ref="BI4:BI35" ca="1" si="7">BG4-IF(BH4="G",$E4*1000,0)+N(K4)</f>
        <v>0</v>
      </c>
      <c r="BJ4" t="str">
        <f t="shared" ref="BJ4:BJ35" ca="1" si="8">IF(N(N4)&gt;=$E4*1000,"",IF(AND($E4&gt;0,BI4&gt;=$E4*1000),"G",IF(N$2&lt;=TODAY(),"R","")))</f>
        <v/>
      </c>
      <c r="BK4">
        <f t="shared" ref="BK4:BK35" ca="1" si="9">BI4-IF(BJ4="G",$E4*1000,0)+N(O4)</f>
        <v>0</v>
      </c>
      <c r="BL4" t="str">
        <f t="shared" ref="BL4:BL35" ca="1" si="10">IF(N(R4)&gt;=$E4*1000,"",IF(AND($E4&gt;0,BK4&gt;=$E4*1000),"G",IF(R$2&lt;=TODAY(),"R","")))</f>
        <v/>
      </c>
      <c r="BM4">
        <f t="shared" ref="BM4:BM35" ca="1" si="11">BK4-IF(BL4="G",$E4*1000,0)+N(S4)</f>
        <v>0</v>
      </c>
      <c r="BN4" t="str">
        <f t="shared" ref="BN4:BN35" ca="1" si="12">IF(N(V4)&gt;=$E4*1000,"",IF(AND($E4&gt;0,BM4&gt;=$E4*1000),"G",IF(V$2&lt;=TODAY(),"R","")))</f>
        <v/>
      </c>
      <c r="BO4">
        <f t="shared" ref="BO4:BO35" ca="1" si="13">BM4-IF(BN4="G",$E4*1000,0)+N(W4)</f>
        <v>0</v>
      </c>
      <c r="BP4" t="str">
        <f t="shared" ref="BP4:BP35" ca="1" si="14">IF(N(Z4)&gt;=$E4*1000,"",IF(AND($E4&gt;0,BO4&gt;=$E4*1000),"G",IF(Z$2&lt;=TODAY(),"R","")))</f>
        <v/>
      </c>
      <c r="BQ4">
        <f t="shared" ref="BQ4:BQ35" ca="1" si="15">BO4-IF(BP4="G",$E4*1000,0)+N(AA4)</f>
        <v>0</v>
      </c>
      <c r="BR4" t="str">
        <f t="shared" ref="BR4:BR35" ca="1" si="16">IF(N(AD4)&gt;=$E4*1000,"",IF(AND($E4&gt;0,BQ4&gt;=$E4*1000),"G",IF(AD$2&lt;=TODAY(),"R","")))</f>
        <v/>
      </c>
      <c r="BS4">
        <f t="shared" ref="BS4:BS35" ca="1" si="17">BQ4-IF(BR4="G",$E4*1000,0)+N(AE4)</f>
        <v>0</v>
      </c>
      <c r="BT4" t="str">
        <f t="shared" ref="BT4:BT35" ca="1" si="18">IF(N(AH4)&gt;=$E4*1000,"",IF(AND($E4&gt;0,BS4&gt;=$E4*1000),"G",IF(AH$2&lt;=TODAY(),"R","")))</f>
        <v/>
      </c>
      <c r="BU4">
        <f t="shared" ref="BU4:BU35" ca="1" si="19">BS4-IF(BT4="G",$E4*1000,0)+N(AI4)</f>
        <v>0</v>
      </c>
      <c r="BV4" t="str">
        <f t="shared" ref="BV4:BV35" ca="1" si="20">IF(N(AL4)&gt;=$E4*1000,"",IF(AND($E4&gt;0,BU4&gt;=$E4*1000),"G",IF(AL$2&lt;=TODAY(),"R","")))</f>
        <v/>
      </c>
      <c r="BW4">
        <f t="shared" ref="BW4:BW35" ca="1" si="21">BU4-IF(BV4="G",$E4*1000,0)+N(AM4)</f>
        <v>0</v>
      </c>
      <c r="BX4" t="str">
        <f t="shared" ref="BX4:BX35" ca="1" si="22">IF(N(AP4)&gt;=$E4*1000,"",IF(AND($E4&gt;0,BW4&gt;=$E4*1000),"G",IF(AP$2&lt;=TODAY(),"R","")))</f>
        <v/>
      </c>
      <c r="BY4">
        <f t="shared" ref="BY4:BY35" ca="1" si="23">BW4-IF(BX4="G",$E4*1000,0)+N(AQ4)</f>
        <v>0</v>
      </c>
      <c r="BZ4" t="str">
        <f t="shared" ref="BZ4:BZ35" ca="1" si="24">IF(N(AT4)&gt;=$E4*1000,"",IF(AND($E4&gt;0,BY4&gt;=$E4*1000),"G",IF(AT$2&lt;=TODAY(),"R","")))</f>
        <v/>
      </c>
      <c r="CA4">
        <f t="shared" ref="CA4:CA35" ca="1" si="25">BY4-IF(BZ4="G",$E4*1000,0)+N(AU4)</f>
        <v>0</v>
      </c>
      <c r="CB4" t="str">
        <f t="shared" ref="CB4:CB35" ca="1" si="26">IF(N(AX4)&gt;=$E4*1000,"",IF(AND($E4&gt;0,CA4&gt;=$E4*1000),"G",IF(AX$2&lt;=TODAY(),"R","")))</f>
        <v/>
      </c>
      <c r="CC4">
        <f t="shared" ref="CC4:CC35" ca="1" si="27">CA4-IF(CB4="G",$E4*1000,0)+N(AY4)</f>
        <v>0</v>
      </c>
    </row>
    <row r="5" spans="1:8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>
        <f t="shared" si="1"/>
        <v>2000</v>
      </c>
      <c r="G5" s="52"/>
      <c r="H5" s="52"/>
      <c r="I5" s="52"/>
      <c r="J5" s="52">
        <f>$E5*1000</f>
        <v>2000</v>
      </c>
      <c r="K5" s="52"/>
      <c r="L5" s="52"/>
      <c r="M5" s="52"/>
      <c r="N5" s="52">
        <f>$E5*1000</f>
        <v>2000</v>
      </c>
      <c r="O5" s="52"/>
      <c r="P5" s="52"/>
      <c r="Q5" s="52"/>
      <c r="R5" s="52">
        <f>$E5*1000</f>
        <v>2000</v>
      </c>
      <c r="S5" s="52"/>
      <c r="T5" s="52"/>
      <c r="U5" s="52"/>
      <c r="V5" s="52">
        <f>$E5*1000</f>
        <v>2000</v>
      </c>
      <c r="W5" s="52"/>
      <c r="X5" s="52"/>
      <c r="Y5" s="52"/>
      <c r="Z5" s="52">
        <f>$E5*1000</f>
        <v>2000</v>
      </c>
      <c r="AA5" s="52"/>
      <c r="AB5" s="52"/>
      <c r="AC5" s="52"/>
      <c r="AD5" s="52">
        <f>$E5*1000</f>
        <v>2000</v>
      </c>
      <c r="AE5" s="52"/>
      <c r="AF5" s="52"/>
      <c r="AG5" s="52"/>
      <c r="AH5" s="52">
        <f>$E5*1000</f>
        <v>2000</v>
      </c>
      <c r="AI5" s="52"/>
      <c r="AJ5" s="52"/>
      <c r="AK5" s="52"/>
      <c r="AL5" s="52">
        <f>$E5*1000</f>
        <v>2000</v>
      </c>
      <c r="AM5" s="52"/>
      <c r="AN5" s="52"/>
      <c r="AO5" s="52"/>
      <c r="AP5" s="52">
        <f>$E5*1000</f>
        <v>2000</v>
      </c>
      <c r="AQ5" s="52"/>
      <c r="AR5" s="52"/>
      <c r="AS5" s="52"/>
      <c r="AT5" s="52">
        <f>$E5*1000</f>
        <v>2000</v>
      </c>
      <c r="AU5" s="52"/>
      <c r="AV5" s="52"/>
      <c r="AW5" s="52"/>
      <c r="AX5" s="52">
        <f>$E5*1000</f>
        <v>2000</v>
      </c>
      <c r="AY5" s="52"/>
      <c r="AZ5" s="52"/>
      <c r="BA5" s="52"/>
      <c r="BB5" s="52">
        <f t="shared" si="2"/>
        <v>24000</v>
      </c>
      <c r="BC5" s="52">
        <f t="shared" si="3"/>
        <v>0</v>
      </c>
      <c r="BE5">
        <f ca="1">'Monthly Collection-2024)'!CC5</f>
        <v>0</v>
      </c>
      <c r="BF5" t="str">
        <f t="shared" ca="1" si="4"/>
        <v/>
      </c>
      <c r="BG5">
        <f t="shared" ca="1" si="5"/>
        <v>0</v>
      </c>
      <c r="BH5" t="str">
        <f t="shared" ca="1" si="6"/>
        <v/>
      </c>
      <c r="BI5">
        <f t="shared" ca="1" si="7"/>
        <v>0</v>
      </c>
      <c r="BJ5" t="str">
        <f t="shared" ca="1" si="8"/>
        <v/>
      </c>
      <c r="BK5">
        <f t="shared" ca="1" si="9"/>
        <v>0</v>
      </c>
      <c r="BL5" t="str">
        <f t="shared" ca="1" si="10"/>
        <v/>
      </c>
      <c r="BM5">
        <f t="shared" ca="1" si="11"/>
        <v>0</v>
      </c>
      <c r="BN5" t="str">
        <f t="shared" ca="1" si="12"/>
        <v/>
      </c>
      <c r="BO5">
        <f t="shared" ca="1" si="13"/>
        <v>0</v>
      </c>
      <c r="BP5" t="str">
        <f t="shared" ca="1" si="14"/>
        <v/>
      </c>
      <c r="BQ5">
        <f t="shared" ca="1" si="15"/>
        <v>0</v>
      </c>
      <c r="BR5" t="str">
        <f t="shared" ca="1" si="16"/>
        <v/>
      </c>
      <c r="BS5">
        <f t="shared" ca="1" si="17"/>
        <v>0</v>
      </c>
      <c r="BT5" t="str">
        <f t="shared" ca="1" si="18"/>
        <v/>
      </c>
      <c r="BU5">
        <f t="shared" ca="1" si="19"/>
        <v>0</v>
      </c>
      <c r="BV5" t="str">
        <f t="shared" ca="1" si="20"/>
        <v/>
      </c>
      <c r="BW5">
        <f t="shared" ca="1" si="21"/>
        <v>0</v>
      </c>
      <c r="BX5" t="str">
        <f t="shared" ca="1" si="22"/>
        <v/>
      </c>
      <c r="BY5">
        <f t="shared" ca="1" si="23"/>
        <v>0</v>
      </c>
      <c r="BZ5" t="str">
        <f t="shared" ca="1" si="24"/>
        <v/>
      </c>
      <c r="CA5">
        <f t="shared" ca="1" si="25"/>
        <v>0</v>
      </c>
      <c r="CB5" t="str">
        <f t="shared" ca="1" si="26"/>
        <v/>
      </c>
      <c r="CC5">
        <f t="shared" ca="1" si="27"/>
        <v>0</v>
      </c>
    </row>
    <row r="6" spans="1:8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>
        <f t="shared" si="1"/>
        <v>2000</v>
      </c>
      <c r="G6" s="56"/>
      <c r="H6" s="56"/>
      <c r="I6" s="56"/>
      <c r="J6" s="56">
        <f>$E6*1000</f>
        <v>2000</v>
      </c>
      <c r="K6" s="56"/>
      <c r="L6" s="56"/>
      <c r="M6" s="56"/>
      <c r="N6" s="56">
        <f>$E6*1000</f>
        <v>2000</v>
      </c>
      <c r="O6" s="56"/>
      <c r="P6" s="56"/>
      <c r="Q6" s="56"/>
      <c r="R6" s="56">
        <f>$E6*1000</f>
        <v>2000</v>
      </c>
      <c r="S6" s="56"/>
      <c r="T6" s="56"/>
      <c r="U6" s="56"/>
      <c r="V6" s="56">
        <f>$E6*1000</f>
        <v>2000</v>
      </c>
      <c r="W6" s="56"/>
      <c r="X6" s="56"/>
      <c r="Y6" s="56"/>
      <c r="Z6" s="56">
        <f>$E6*1000</f>
        <v>2000</v>
      </c>
      <c r="AA6" s="56"/>
      <c r="AB6" s="56"/>
      <c r="AC6" s="56"/>
      <c r="AD6" s="56">
        <f>$E6*1000</f>
        <v>2000</v>
      </c>
      <c r="AE6" s="56"/>
      <c r="AF6" s="56"/>
      <c r="AG6" s="56"/>
      <c r="AH6" s="56">
        <f>$E6*1000</f>
        <v>2000</v>
      </c>
      <c r="AI6" s="56"/>
      <c r="AJ6" s="56"/>
      <c r="AK6" s="56"/>
      <c r="AL6" s="56">
        <f>$E6*1000</f>
        <v>2000</v>
      </c>
      <c r="AM6" s="56"/>
      <c r="AN6" s="56"/>
      <c r="AO6" s="56"/>
      <c r="AP6" s="56">
        <f>$E6*1000</f>
        <v>2000</v>
      </c>
      <c r="AQ6" s="56"/>
      <c r="AR6" s="56"/>
      <c r="AS6" s="56"/>
      <c r="AT6" s="56">
        <f>$E6*1000</f>
        <v>2000</v>
      </c>
      <c r="AU6" s="56"/>
      <c r="AV6" s="56"/>
      <c r="AW6" s="56"/>
      <c r="AX6" s="56">
        <f>$E6*1000</f>
        <v>2000</v>
      </c>
      <c r="AY6" s="56"/>
      <c r="AZ6" s="56"/>
      <c r="BA6" s="56"/>
      <c r="BB6" s="56">
        <f t="shared" si="2"/>
        <v>24000</v>
      </c>
      <c r="BC6" s="56">
        <f t="shared" si="3"/>
        <v>0</v>
      </c>
      <c r="BE6">
        <f ca="1">'Monthly Collection-2024)'!CC6</f>
        <v>0</v>
      </c>
      <c r="BF6" t="str">
        <f t="shared" ca="1" si="4"/>
        <v/>
      </c>
      <c r="BG6">
        <f t="shared" ca="1" si="5"/>
        <v>0</v>
      </c>
      <c r="BH6" t="str">
        <f t="shared" ca="1" si="6"/>
        <v/>
      </c>
      <c r="BI6">
        <f t="shared" ca="1" si="7"/>
        <v>0</v>
      </c>
      <c r="BJ6" t="str">
        <f t="shared" ca="1" si="8"/>
        <v/>
      </c>
      <c r="BK6">
        <f t="shared" ca="1" si="9"/>
        <v>0</v>
      </c>
      <c r="BL6" t="str">
        <f t="shared" ca="1" si="10"/>
        <v/>
      </c>
      <c r="BM6">
        <f t="shared" ca="1" si="11"/>
        <v>0</v>
      </c>
      <c r="BN6" t="str">
        <f t="shared" ca="1" si="12"/>
        <v/>
      </c>
      <c r="BO6">
        <f t="shared" ca="1" si="13"/>
        <v>0</v>
      </c>
      <c r="BP6" t="str">
        <f t="shared" ca="1" si="14"/>
        <v/>
      </c>
      <c r="BQ6">
        <f t="shared" ca="1" si="15"/>
        <v>0</v>
      </c>
      <c r="BR6" t="str">
        <f t="shared" ca="1" si="16"/>
        <v/>
      </c>
      <c r="BS6">
        <f t="shared" ca="1" si="17"/>
        <v>0</v>
      </c>
      <c r="BT6" t="str">
        <f t="shared" ca="1" si="18"/>
        <v/>
      </c>
      <c r="BU6">
        <f t="shared" ca="1" si="19"/>
        <v>0</v>
      </c>
      <c r="BV6" t="str">
        <f t="shared" ca="1" si="20"/>
        <v/>
      </c>
      <c r="BW6">
        <f t="shared" ca="1" si="21"/>
        <v>0</v>
      </c>
      <c r="BX6" t="str">
        <f t="shared" ca="1" si="22"/>
        <v/>
      </c>
      <c r="BY6">
        <f t="shared" ca="1" si="23"/>
        <v>0</v>
      </c>
      <c r="BZ6" t="str">
        <f t="shared" ca="1" si="24"/>
        <v/>
      </c>
      <c r="CA6">
        <f t="shared" ca="1" si="25"/>
        <v>0</v>
      </c>
      <c r="CB6" t="str">
        <f t="shared" ca="1" si="26"/>
        <v/>
      </c>
      <c r="CC6">
        <f t="shared" ca="1" si="27"/>
        <v>0</v>
      </c>
    </row>
    <row r="7" spans="1:8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>
        <f t="shared" si="1"/>
        <v>5000</v>
      </c>
      <c r="G7" s="52"/>
      <c r="H7" s="52"/>
      <c r="I7" s="52"/>
      <c r="J7" s="52">
        <f>$E7*1000</f>
        <v>5000</v>
      </c>
      <c r="K7" s="52"/>
      <c r="L7" s="52"/>
      <c r="M7" s="52"/>
      <c r="N7" s="52">
        <f>$E7*1000</f>
        <v>5000</v>
      </c>
      <c r="O7" s="52"/>
      <c r="P7" s="52"/>
      <c r="Q7" s="52"/>
      <c r="R7" s="52">
        <f>$E7*1000</f>
        <v>5000</v>
      </c>
      <c r="S7" s="52"/>
      <c r="T7" s="52"/>
      <c r="U7" s="52"/>
      <c r="V7" s="52">
        <f>$E7*1000</f>
        <v>5000</v>
      </c>
      <c r="W7" s="52"/>
      <c r="X7" s="52"/>
      <c r="Y7" s="52"/>
      <c r="Z7" s="52">
        <f>$E7*1000</f>
        <v>5000</v>
      </c>
      <c r="AA7" s="52"/>
      <c r="AB7" s="52"/>
      <c r="AC7" s="52"/>
      <c r="AD7" s="52">
        <f>$E7*1000</f>
        <v>5000</v>
      </c>
      <c r="AE7" s="52"/>
      <c r="AF7" s="52"/>
      <c r="AG7" s="52"/>
      <c r="AH7" s="52">
        <f>$E7*1000</f>
        <v>5000</v>
      </c>
      <c r="AI7" s="52"/>
      <c r="AJ7" s="52"/>
      <c r="AK7" s="52"/>
      <c r="AL7" s="52">
        <f>$E7*1000</f>
        <v>5000</v>
      </c>
      <c r="AM7" s="52"/>
      <c r="AN7" s="52"/>
      <c r="AO7" s="52"/>
      <c r="AP7" s="52">
        <f>$E7*1000</f>
        <v>5000</v>
      </c>
      <c r="AQ7" s="52"/>
      <c r="AR7" s="52"/>
      <c r="AS7" s="52"/>
      <c r="AT7" s="52">
        <f>$E7*1000</f>
        <v>5000</v>
      </c>
      <c r="AU7" s="52"/>
      <c r="AV7" s="52"/>
      <c r="AW7" s="52"/>
      <c r="AX7" s="52">
        <f>$E7*1000</f>
        <v>5000</v>
      </c>
      <c r="AY7" s="52"/>
      <c r="AZ7" s="52"/>
      <c r="BA7" s="52"/>
      <c r="BB7" s="52">
        <f t="shared" si="2"/>
        <v>60000</v>
      </c>
      <c r="BC7" s="52">
        <f t="shared" si="3"/>
        <v>0</v>
      </c>
      <c r="BE7">
        <f ca="1">'Monthly Collection-2024)'!CC7</f>
        <v>0</v>
      </c>
      <c r="BF7" t="str">
        <f t="shared" ca="1" si="4"/>
        <v/>
      </c>
      <c r="BG7">
        <f t="shared" ca="1" si="5"/>
        <v>0</v>
      </c>
      <c r="BH7" t="str">
        <f t="shared" ca="1" si="6"/>
        <v/>
      </c>
      <c r="BI7">
        <f t="shared" ca="1" si="7"/>
        <v>0</v>
      </c>
      <c r="BJ7" t="str">
        <f t="shared" ca="1" si="8"/>
        <v/>
      </c>
      <c r="BK7">
        <f t="shared" ca="1" si="9"/>
        <v>0</v>
      </c>
      <c r="BL7" t="str">
        <f t="shared" ca="1" si="10"/>
        <v/>
      </c>
      <c r="BM7">
        <f t="shared" ca="1" si="11"/>
        <v>0</v>
      </c>
      <c r="BN7" t="str">
        <f t="shared" ca="1" si="12"/>
        <v/>
      </c>
      <c r="BO7">
        <f t="shared" ca="1" si="13"/>
        <v>0</v>
      </c>
      <c r="BP7" t="str">
        <f t="shared" ca="1" si="14"/>
        <v/>
      </c>
      <c r="BQ7">
        <f t="shared" ca="1" si="15"/>
        <v>0</v>
      </c>
      <c r="BR7" t="str">
        <f t="shared" ca="1" si="16"/>
        <v/>
      </c>
      <c r="BS7">
        <f t="shared" ca="1" si="17"/>
        <v>0</v>
      </c>
      <c r="BT7" t="str">
        <f t="shared" ca="1" si="18"/>
        <v/>
      </c>
      <c r="BU7">
        <f t="shared" ca="1" si="19"/>
        <v>0</v>
      </c>
      <c r="BV7" t="str">
        <f t="shared" ca="1" si="20"/>
        <v/>
      </c>
      <c r="BW7">
        <f t="shared" ca="1" si="21"/>
        <v>0</v>
      </c>
      <c r="BX7" t="str">
        <f t="shared" ca="1" si="22"/>
        <v/>
      </c>
      <c r="BY7">
        <f t="shared" ca="1" si="23"/>
        <v>0</v>
      </c>
      <c r="BZ7" t="str">
        <f t="shared" ca="1" si="24"/>
        <v/>
      </c>
      <c r="CA7">
        <f t="shared" ca="1" si="25"/>
        <v>0</v>
      </c>
      <c r="CB7" t="str">
        <f t="shared" ca="1" si="26"/>
        <v/>
      </c>
      <c r="CC7">
        <f t="shared" ca="1" si="27"/>
        <v>0</v>
      </c>
    </row>
    <row r="8" spans="1:8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>
        <f t="shared" si="1"/>
        <v>2000</v>
      </c>
      <c r="G8" s="56"/>
      <c r="H8" s="56"/>
      <c r="I8" s="56"/>
      <c r="J8" s="56">
        <f>$E8*1000</f>
        <v>2000</v>
      </c>
      <c r="K8" s="56"/>
      <c r="L8" s="56"/>
      <c r="M8" s="56"/>
      <c r="N8" s="56">
        <f>$E8*1000</f>
        <v>2000</v>
      </c>
      <c r="O8" s="56"/>
      <c r="P8" s="56"/>
      <c r="Q8" s="56"/>
      <c r="R8" s="241"/>
      <c r="S8" s="56"/>
      <c r="T8" s="56"/>
      <c r="U8" s="56"/>
      <c r="V8" s="56">
        <v>2000</v>
      </c>
      <c r="W8" s="56"/>
      <c r="X8" s="56">
        <v>2000</v>
      </c>
      <c r="Y8" s="56">
        <v>100</v>
      </c>
      <c r="Z8" s="56">
        <f>$E8*1000</f>
        <v>2000</v>
      </c>
      <c r="AA8" s="56"/>
      <c r="AB8" s="56"/>
      <c r="AC8" s="56"/>
      <c r="AD8" s="241"/>
      <c r="AE8" s="56"/>
      <c r="AF8" s="56"/>
      <c r="AG8" s="56"/>
      <c r="AH8" s="56">
        <v>2000</v>
      </c>
      <c r="AI8" s="56"/>
      <c r="AJ8" s="56">
        <v>2000</v>
      </c>
      <c r="AK8" s="56">
        <v>100</v>
      </c>
      <c r="AL8" s="56">
        <f>$E8*1000</f>
        <v>2000</v>
      </c>
      <c r="AM8" s="56"/>
      <c r="AN8" s="56"/>
      <c r="AO8" s="56"/>
      <c r="AP8" s="56">
        <f>$E8*1000</f>
        <v>2000</v>
      </c>
      <c r="AQ8" s="56"/>
      <c r="AR8" s="56"/>
      <c r="AS8" s="56"/>
      <c r="AT8" s="56">
        <f>$E8*1000</f>
        <v>2000</v>
      </c>
      <c r="AU8" s="56"/>
      <c r="AV8" s="56"/>
      <c r="AW8" s="56"/>
      <c r="AX8" s="56">
        <f>$E8*1000</f>
        <v>2000</v>
      </c>
      <c r="AY8" s="56"/>
      <c r="AZ8" s="56"/>
      <c r="BA8" s="56"/>
      <c r="BB8" s="56">
        <f t="shared" si="2"/>
        <v>24000</v>
      </c>
      <c r="BC8" s="56">
        <f t="shared" si="3"/>
        <v>200</v>
      </c>
      <c r="BE8">
        <f ca="1">'Monthly Collection-2024)'!CC8</f>
        <v>0</v>
      </c>
      <c r="BF8" t="str">
        <f t="shared" ca="1" si="4"/>
        <v/>
      </c>
      <c r="BG8">
        <f t="shared" ca="1" si="5"/>
        <v>0</v>
      </c>
      <c r="BH8" t="str">
        <f t="shared" ca="1" si="6"/>
        <v/>
      </c>
      <c r="BI8">
        <f t="shared" ca="1" si="7"/>
        <v>0</v>
      </c>
      <c r="BJ8" t="str">
        <f t="shared" ca="1" si="8"/>
        <v/>
      </c>
      <c r="BK8">
        <f t="shared" ca="1" si="9"/>
        <v>0</v>
      </c>
      <c r="BL8" t="str">
        <f t="shared" ca="1" si="10"/>
        <v>R</v>
      </c>
      <c r="BM8">
        <f t="shared" ca="1" si="11"/>
        <v>0</v>
      </c>
      <c r="BN8" t="str">
        <f t="shared" ca="1" si="12"/>
        <v/>
      </c>
      <c r="BO8">
        <f t="shared" ca="1" si="13"/>
        <v>0</v>
      </c>
      <c r="BP8" t="str">
        <f t="shared" ca="1" si="14"/>
        <v/>
      </c>
      <c r="BQ8">
        <f t="shared" ca="1" si="15"/>
        <v>0</v>
      </c>
      <c r="BR8" t="str">
        <f t="shared" ca="1" si="16"/>
        <v>R</v>
      </c>
      <c r="BS8">
        <f t="shared" ca="1" si="17"/>
        <v>0</v>
      </c>
      <c r="BT8" t="str">
        <f t="shared" ca="1" si="18"/>
        <v/>
      </c>
      <c r="BU8">
        <f t="shared" ca="1" si="19"/>
        <v>0</v>
      </c>
      <c r="BV8" t="str">
        <f t="shared" ca="1" si="20"/>
        <v/>
      </c>
      <c r="BW8">
        <f t="shared" ca="1" si="21"/>
        <v>0</v>
      </c>
      <c r="BX8" t="str">
        <f t="shared" ca="1" si="22"/>
        <v/>
      </c>
      <c r="BY8">
        <f t="shared" ca="1" si="23"/>
        <v>0</v>
      </c>
      <c r="BZ8" t="str">
        <f t="shared" ca="1" si="24"/>
        <v/>
      </c>
      <c r="CA8">
        <f t="shared" ca="1" si="25"/>
        <v>0</v>
      </c>
      <c r="CB8" t="str">
        <f t="shared" ca="1" si="26"/>
        <v/>
      </c>
      <c r="CC8">
        <f t="shared" ca="1" si="27"/>
        <v>0</v>
      </c>
    </row>
    <row r="9" spans="1:8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52">
        <f t="shared" si="1"/>
        <v>2000</v>
      </c>
      <c r="G9" s="52">
        <v>10000</v>
      </c>
      <c r="H9" s="52"/>
      <c r="I9" s="52"/>
      <c r="J9" s="242"/>
      <c r="K9" s="52"/>
      <c r="L9" s="52"/>
      <c r="M9" s="52"/>
      <c r="N9" s="242"/>
      <c r="O9" s="52"/>
      <c r="P9" s="52"/>
      <c r="Q9" s="52"/>
      <c r="R9" s="242"/>
      <c r="S9" s="52"/>
      <c r="T9" s="52"/>
      <c r="U9" s="52"/>
      <c r="V9" s="242"/>
      <c r="W9" s="52"/>
      <c r="X9" s="52"/>
      <c r="Y9" s="52"/>
      <c r="Z9" s="242"/>
      <c r="AA9" s="52"/>
      <c r="AB9" s="52"/>
      <c r="AC9" s="52"/>
      <c r="AD9" s="52">
        <f t="shared" ref="AD9:AD27" si="28">$E9*1000</f>
        <v>2000</v>
      </c>
      <c r="AE9" s="52">
        <v>10000</v>
      </c>
      <c r="AF9" s="52"/>
      <c r="AG9" s="52"/>
      <c r="AH9" s="242"/>
      <c r="AI9" s="52"/>
      <c r="AJ9" s="52"/>
      <c r="AK9" s="52"/>
      <c r="AL9" s="242"/>
      <c r="AM9" s="52"/>
      <c r="AN9" s="52"/>
      <c r="AO9" s="52"/>
      <c r="AP9" s="242"/>
      <c r="AQ9" s="52"/>
      <c r="AR9" s="52"/>
      <c r="AS9" s="52"/>
      <c r="AT9" s="242"/>
      <c r="AU9" s="52"/>
      <c r="AV9" s="52"/>
      <c r="AW9" s="52"/>
      <c r="AX9" s="242"/>
      <c r="AY9" s="52"/>
      <c r="AZ9" s="52"/>
      <c r="BA9" s="52"/>
      <c r="BB9" s="52">
        <f t="shared" si="2"/>
        <v>24000</v>
      </c>
      <c r="BC9" s="52">
        <f t="shared" si="3"/>
        <v>0</v>
      </c>
      <c r="BE9">
        <f ca="1">'Monthly Collection-2024)'!CC9</f>
        <v>0</v>
      </c>
      <c r="BF9" t="str">
        <f t="shared" ca="1" si="4"/>
        <v/>
      </c>
      <c r="BG9">
        <f t="shared" ca="1" si="5"/>
        <v>10000</v>
      </c>
      <c r="BH9" t="str">
        <f t="shared" ca="1" si="6"/>
        <v>G</v>
      </c>
      <c r="BI9">
        <f t="shared" ca="1" si="7"/>
        <v>8000</v>
      </c>
      <c r="BJ9" t="str">
        <f t="shared" ca="1" si="8"/>
        <v>G</v>
      </c>
      <c r="BK9">
        <f t="shared" ca="1" si="9"/>
        <v>6000</v>
      </c>
      <c r="BL9" t="str">
        <f t="shared" ca="1" si="10"/>
        <v>G</v>
      </c>
      <c r="BM9">
        <f t="shared" ca="1" si="11"/>
        <v>4000</v>
      </c>
      <c r="BN9" t="str">
        <f t="shared" ca="1" si="12"/>
        <v>G</v>
      </c>
      <c r="BO9">
        <f t="shared" ca="1" si="13"/>
        <v>2000</v>
      </c>
      <c r="BP9" t="str">
        <f t="shared" ca="1" si="14"/>
        <v>G</v>
      </c>
      <c r="BQ9">
        <f t="shared" ca="1" si="15"/>
        <v>0</v>
      </c>
      <c r="BR9" t="str">
        <f t="shared" ca="1" si="16"/>
        <v/>
      </c>
      <c r="BS9">
        <f t="shared" ca="1" si="17"/>
        <v>10000</v>
      </c>
      <c r="BT9" t="str">
        <f t="shared" ca="1" si="18"/>
        <v>G</v>
      </c>
      <c r="BU9">
        <f t="shared" ca="1" si="19"/>
        <v>8000</v>
      </c>
      <c r="BV9" t="str">
        <f t="shared" ca="1" si="20"/>
        <v>G</v>
      </c>
      <c r="BW9">
        <f t="shared" ca="1" si="21"/>
        <v>6000</v>
      </c>
      <c r="BX9" t="str">
        <f t="shared" ca="1" si="22"/>
        <v>G</v>
      </c>
      <c r="BY9">
        <f t="shared" ca="1" si="23"/>
        <v>4000</v>
      </c>
      <c r="BZ9" t="str">
        <f t="shared" ca="1" si="24"/>
        <v>G</v>
      </c>
      <c r="CA9">
        <f t="shared" ca="1" si="25"/>
        <v>2000</v>
      </c>
      <c r="CB9" t="str">
        <f t="shared" ca="1" si="26"/>
        <v>G</v>
      </c>
      <c r="CC9">
        <f t="shared" ca="1" si="27"/>
        <v>0</v>
      </c>
    </row>
    <row r="10" spans="1:8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>
        <f t="shared" si="1"/>
        <v>2000</v>
      </c>
      <c r="G10" s="56"/>
      <c r="H10" s="56"/>
      <c r="I10" s="56"/>
      <c r="J10" s="56">
        <f t="shared" ref="J10:J33" si="29">$E10*1000</f>
        <v>2000</v>
      </c>
      <c r="K10" s="56"/>
      <c r="L10" s="56"/>
      <c r="M10" s="56"/>
      <c r="N10" s="56">
        <f t="shared" ref="N10:N18" si="30">$E10*1000</f>
        <v>2000</v>
      </c>
      <c r="O10" s="56"/>
      <c r="P10" s="56"/>
      <c r="Q10" s="56"/>
      <c r="R10" s="56">
        <f t="shared" ref="R10:R30" si="31">$E10*1000</f>
        <v>2000</v>
      </c>
      <c r="S10" s="56"/>
      <c r="T10" s="56"/>
      <c r="U10" s="56"/>
      <c r="V10" s="56">
        <f t="shared" ref="V10:V24" si="32">$E10*1000</f>
        <v>2000</v>
      </c>
      <c r="W10" s="56"/>
      <c r="X10" s="56"/>
      <c r="Y10" s="56"/>
      <c r="Z10" s="56">
        <f t="shared" ref="Z10:Z27" si="33">$E10*1000</f>
        <v>2000</v>
      </c>
      <c r="AA10" s="56"/>
      <c r="AB10" s="56"/>
      <c r="AC10" s="56"/>
      <c r="AD10" s="56">
        <f t="shared" si="28"/>
        <v>2000</v>
      </c>
      <c r="AE10" s="56"/>
      <c r="AF10" s="56"/>
      <c r="AG10" s="56"/>
      <c r="AH10" s="56">
        <f t="shared" ref="AH10:AH26" si="34">$E10*1000</f>
        <v>2000</v>
      </c>
      <c r="AI10" s="56"/>
      <c r="AJ10" s="56"/>
      <c r="AK10" s="56"/>
      <c r="AL10" s="56">
        <f t="shared" ref="AL10:AL35" si="35">$E10*1000</f>
        <v>2000</v>
      </c>
      <c r="AM10" s="56"/>
      <c r="AN10" s="56"/>
      <c r="AO10" s="56"/>
      <c r="AP10" s="56">
        <f t="shared" ref="AP10:AP26" si="36">$E10*1000</f>
        <v>2000</v>
      </c>
      <c r="AQ10" s="56"/>
      <c r="AR10" s="56"/>
      <c r="AS10" s="56"/>
      <c r="AT10" s="56">
        <f t="shared" ref="AT10:AT27" si="37">$E10*1000</f>
        <v>2000</v>
      </c>
      <c r="AU10" s="56"/>
      <c r="AV10" s="56"/>
      <c r="AW10" s="56"/>
      <c r="AX10" s="56">
        <f t="shared" ref="AX10:AX26" si="38">$E10*1000</f>
        <v>2000</v>
      </c>
      <c r="AY10" s="56"/>
      <c r="AZ10" s="56"/>
      <c r="BA10" s="56"/>
      <c r="BB10" s="56">
        <f t="shared" si="2"/>
        <v>24000</v>
      </c>
      <c r="BC10" s="56">
        <f t="shared" si="3"/>
        <v>0</v>
      </c>
      <c r="BE10">
        <f ca="1">'Monthly Collection-2024)'!CC10</f>
        <v>0</v>
      </c>
      <c r="BF10" t="str">
        <f t="shared" ca="1" si="4"/>
        <v/>
      </c>
      <c r="BG10">
        <f t="shared" ca="1" si="5"/>
        <v>0</v>
      </c>
      <c r="BH10" t="str">
        <f t="shared" ca="1" si="6"/>
        <v/>
      </c>
      <c r="BI10">
        <f t="shared" ca="1" si="7"/>
        <v>0</v>
      </c>
      <c r="BJ10" t="str">
        <f t="shared" ca="1" si="8"/>
        <v/>
      </c>
      <c r="BK10">
        <f t="shared" ca="1" si="9"/>
        <v>0</v>
      </c>
      <c r="BL10" t="str">
        <f t="shared" ca="1" si="10"/>
        <v/>
      </c>
      <c r="BM10">
        <f t="shared" ca="1" si="11"/>
        <v>0</v>
      </c>
      <c r="BN10" t="str">
        <f t="shared" ca="1" si="12"/>
        <v/>
      </c>
      <c r="BO10">
        <f t="shared" ca="1" si="13"/>
        <v>0</v>
      </c>
      <c r="BP10" t="str">
        <f t="shared" ca="1" si="14"/>
        <v/>
      </c>
      <c r="BQ10">
        <f t="shared" ca="1" si="15"/>
        <v>0</v>
      </c>
      <c r="BR10" t="str">
        <f t="shared" ca="1" si="16"/>
        <v/>
      </c>
      <c r="BS10">
        <f t="shared" ca="1" si="17"/>
        <v>0</v>
      </c>
      <c r="BT10" t="str">
        <f t="shared" ca="1" si="18"/>
        <v/>
      </c>
      <c r="BU10">
        <f t="shared" ca="1" si="19"/>
        <v>0</v>
      </c>
      <c r="BV10" t="str">
        <f t="shared" ca="1" si="20"/>
        <v/>
      </c>
      <c r="BW10">
        <f t="shared" ca="1" si="21"/>
        <v>0</v>
      </c>
      <c r="BX10" t="str">
        <f t="shared" ca="1" si="22"/>
        <v/>
      </c>
      <c r="BY10">
        <f t="shared" ca="1" si="23"/>
        <v>0</v>
      </c>
      <c r="BZ10" t="str">
        <f t="shared" ca="1" si="24"/>
        <v/>
      </c>
      <c r="CA10">
        <f t="shared" ca="1" si="25"/>
        <v>0</v>
      </c>
      <c r="CB10" t="str">
        <f t="shared" ca="1" si="26"/>
        <v/>
      </c>
      <c r="CC10">
        <f t="shared" ca="1" si="27"/>
        <v>0</v>
      </c>
    </row>
    <row r="11" spans="1:8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>
        <f t="shared" si="1"/>
        <v>2000</v>
      </c>
      <c r="G11" s="52"/>
      <c r="H11" s="52"/>
      <c r="I11" s="52"/>
      <c r="J11" s="52">
        <f t="shared" si="29"/>
        <v>2000</v>
      </c>
      <c r="K11" s="52"/>
      <c r="L11" s="52"/>
      <c r="M11" s="52"/>
      <c r="N11" s="52">
        <f t="shared" si="30"/>
        <v>2000</v>
      </c>
      <c r="O11" s="52"/>
      <c r="P11" s="52"/>
      <c r="Q11" s="52"/>
      <c r="R11" s="52">
        <f t="shared" si="31"/>
        <v>2000</v>
      </c>
      <c r="S11" s="52"/>
      <c r="T11" s="52"/>
      <c r="U11" s="52"/>
      <c r="V11" s="52">
        <f t="shared" si="32"/>
        <v>2000</v>
      </c>
      <c r="W11" s="52"/>
      <c r="X11" s="52"/>
      <c r="Y11" s="52"/>
      <c r="Z11" s="52">
        <f t="shared" si="33"/>
        <v>2000</v>
      </c>
      <c r="AA11" s="52"/>
      <c r="AB11" s="52"/>
      <c r="AC11" s="52"/>
      <c r="AD11" s="52">
        <f t="shared" si="28"/>
        <v>2000</v>
      </c>
      <c r="AE11" s="52"/>
      <c r="AF11" s="52"/>
      <c r="AG11" s="52"/>
      <c r="AH11" s="52">
        <f t="shared" si="34"/>
        <v>2000</v>
      </c>
      <c r="AI11" s="52"/>
      <c r="AJ11" s="52"/>
      <c r="AK11" s="52"/>
      <c r="AL11" s="52">
        <f t="shared" si="35"/>
        <v>2000</v>
      </c>
      <c r="AM11" s="52"/>
      <c r="AN11" s="52"/>
      <c r="AO11" s="52"/>
      <c r="AP11" s="52">
        <f t="shared" si="36"/>
        <v>2000</v>
      </c>
      <c r="AQ11" s="52"/>
      <c r="AR11" s="52"/>
      <c r="AS11" s="52"/>
      <c r="AT11" s="52">
        <f t="shared" si="37"/>
        <v>2000</v>
      </c>
      <c r="AU11" s="52"/>
      <c r="AV11" s="52"/>
      <c r="AW11" s="52"/>
      <c r="AX11" s="52">
        <f t="shared" si="38"/>
        <v>2000</v>
      </c>
      <c r="AY11" s="52"/>
      <c r="AZ11" s="52"/>
      <c r="BA11" s="52"/>
      <c r="BB11" s="52">
        <f t="shared" si="2"/>
        <v>24000</v>
      </c>
      <c r="BC11" s="52">
        <f t="shared" si="3"/>
        <v>0</v>
      </c>
      <c r="BE11">
        <f ca="1">'Monthly Collection-2024)'!CC11</f>
        <v>0</v>
      </c>
      <c r="BF11" t="str">
        <f t="shared" ca="1" si="4"/>
        <v/>
      </c>
      <c r="BG11">
        <f t="shared" ca="1" si="5"/>
        <v>0</v>
      </c>
      <c r="BH11" t="str">
        <f t="shared" ca="1" si="6"/>
        <v/>
      </c>
      <c r="BI11">
        <f t="shared" ca="1" si="7"/>
        <v>0</v>
      </c>
      <c r="BJ11" t="str">
        <f t="shared" ca="1" si="8"/>
        <v/>
      </c>
      <c r="BK11">
        <f t="shared" ca="1" si="9"/>
        <v>0</v>
      </c>
      <c r="BL11" t="str">
        <f t="shared" ca="1" si="10"/>
        <v/>
      </c>
      <c r="BM11">
        <f t="shared" ca="1" si="11"/>
        <v>0</v>
      </c>
      <c r="BN11" t="str">
        <f t="shared" ca="1" si="12"/>
        <v/>
      </c>
      <c r="BO11">
        <f t="shared" ca="1" si="13"/>
        <v>0</v>
      </c>
      <c r="BP11" t="str">
        <f t="shared" ca="1" si="14"/>
        <v/>
      </c>
      <c r="BQ11">
        <f t="shared" ca="1" si="15"/>
        <v>0</v>
      </c>
      <c r="BR11" t="str">
        <f t="shared" ca="1" si="16"/>
        <v/>
      </c>
      <c r="BS11">
        <f t="shared" ca="1" si="17"/>
        <v>0</v>
      </c>
      <c r="BT11" t="str">
        <f t="shared" ca="1" si="18"/>
        <v/>
      </c>
      <c r="BU11">
        <f t="shared" ca="1" si="19"/>
        <v>0</v>
      </c>
      <c r="BV11" t="str">
        <f t="shared" ca="1" si="20"/>
        <v/>
      </c>
      <c r="BW11">
        <f t="shared" ca="1" si="21"/>
        <v>0</v>
      </c>
      <c r="BX11" t="str">
        <f t="shared" ca="1" si="22"/>
        <v/>
      </c>
      <c r="BY11">
        <f t="shared" ca="1" si="23"/>
        <v>0</v>
      </c>
      <c r="BZ11" t="str">
        <f t="shared" ca="1" si="24"/>
        <v/>
      </c>
      <c r="CA11">
        <f t="shared" ca="1" si="25"/>
        <v>0</v>
      </c>
      <c r="CB11" t="str">
        <f t="shared" ca="1" si="26"/>
        <v/>
      </c>
      <c r="CC11">
        <f t="shared" ca="1" si="27"/>
        <v>0</v>
      </c>
    </row>
    <row r="12" spans="1:8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>
        <f t="shared" si="1"/>
        <v>2000</v>
      </c>
      <c r="G12" s="56"/>
      <c r="H12" s="56"/>
      <c r="I12" s="56"/>
      <c r="J12" s="56">
        <f t="shared" si="29"/>
        <v>2000</v>
      </c>
      <c r="K12" s="56"/>
      <c r="L12" s="56"/>
      <c r="M12" s="56"/>
      <c r="N12" s="56">
        <f t="shared" si="30"/>
        <v>2000</v>
      </c>
      <c r="O12" s="56"/>
      <c r="P12" s="56"/>
      <c r="Q12" s="56"/>
      <c r="R12" s="56">
        <f t="shared" si="31"/>
        <v>2000</v>
      </c>
      <c r="S12" s="56"/>
      <c r="T12" s="56"/>
      <c r="U12" s="56"/>
      <c r="V12" s="56">
        <f t="shared" si="32"/>
        <v>2000</v>
      </c>
      <c r="W12" s="56"/>
      <c r="X12" s="56"/>
      <c r="Y12" s="56"/>
      <c r="Z12" s="56">
        <f t="shared" si="33"/>
        <v>2000</v>
      </c>
      <c r="AA12" s="56"/>
      <c r="AB12" s="56"/>
      <c r="AC12" s="56"/>
      <c r="AD12" s="56">
        <f t="shared" si="28"/>
        <v>2000</v>
      </c>
      <c r="AE12" s="56"/>
      <c r="AF12" s="56"/>
      <c r="AG12" s="56"/>
      <c r="AH12" s="56">
        <f t="shared" si="34"/>
        <v>2000</v>
      </c>
      <c r="AI12" s="56"/>
      <c r="AJ12" s="56"/>
      <c r="AK12" s="56"/>
      <c r="AL12" s="56">
        <f t="shared" si="35"/>
        <v>2000</v>
      </c>
      <c r="AM12" s="56"/>
      <c r="AN12" s="56"/>
      <c r="AO12" s="56"/>
      <c r="AP12" s="56">
        <f t="shared" si="36"/>
        <v>2000</v>
      </c>
      <c r="AQ12" s="56"/>
      <c r="AR12" s="56"/>
      <c r="AS12" s="56">
        <v>100</v>
      </c>
      <c r="AT12" s="56">
        <f t="shared" si="37"/>
        <v>2000</v>
      </c>
      <c r="AU12" s="56"/>
      <c r="AV12" s="56"/>
      <c r="AW12" s="56"/>
      <c r="AX12" s="56">
        <f t="shared" si="38"/>
        <v>2000</v>
      </c>
      <c r="AY12" s="56"/>
      <c r="AZ12" s="56"/>
      <c r="BA12" s="56"/>
      <c r="BB12" s="56">
        <f t="shared" si="2"/>
        <v>24000</v>
      </c>
      <c r="BC12" s="56">
        <f t="shared" si="3"/>
        <v>100</v>
      </c>
      <c r="BE12">
        <f ca="1">'Monthly Collection-2024)'!CC12</f>
        <v>0</v>
      </c>
      <c r="BF12" t="str">
        <f t="shared" ca="1" si="4"/>
        <v/>
      </c>
      <c r="BG12">
        <f t="shared" ca="1" si="5"/>
        <v>0</v>
      </c>
      <c r="BH12" t="str">
        <f t="shared" ca="1" si="6"/>
        <v/>
      </c>
      <c r="BI12">
        <f t="shared" ca="1" si="7"/>
        <v>0</v>
      </c>
      <c r="BJ12" t="str">
        <f t="shared" ca="1" si="8"/>
        <v/>
      </c>
      <c r="BK12">
        <f t="shared" ca="1" si="9"/>
        <v>0</v>
      </c>
      <c r="BL12" t="str">
        <f t="shared" ca="1" si="10"/>
        <v/>
      </c>
      <c r="BM12">
        <f t="shared" ca="1" si="11"/>
        <v>0</v>
      </c>
      <c r="BN12" t="str">
        <f t="shared" ca="1" si="12"/>
        <v/>
      </c>
      <c r="BO12">
        <f t="shared" ca="1" si="13"/>
        <v>0</v>
      </c>
      <c r="BP12" t="str">
        <f t="shared" ca="1" si="14"/>
        <v/>
      </c>
      <c r="BQ12">
        <f t="shared" ca="1" si="15"/>
        <v>0</v>
      </c>
      <c r="BR12" t="str">
        <f t="shared" ca="1" si="16"/>
        <v/>
      </c>
      <c r="BS12">
        <f t="shared" ca="1" si="17"/>
        <v>0</v>
      </c>
      <c r="BT12" t="str">
        <f t="shared" ca="1" si="18"/>
        <v/>
      </c>
      <c r="BU12">
        <f t="shared" ca="1" si="19"/>
        <v>0</v>
      </c>
      <c r="BV12" t="str">
        <f t="shared" ca="1" si="20"/>
        <v/>
      </c>
      <c r="BW12">
        <f t="shared" ca="1" si="21"/>
        <v>0</v>
      </c>
      <c r="BX12" t="str">
        <f t="shared" ca="1" si="22"/>
        <v/>
      </c>
      <c r="BY12">
        <f t="shared" ca="1" si="23"/>
        <v>0</v>
      </c>
      <c r="BZ12" t="str">
        <f t="shared" ca="1" si="24"/>
        <v/>
      </c>
      <c r="CA12">
        <f t="shared" ca="1" si="25"/>
        <v>0</v>
      </c>
      <c r="CB12" t="str">
        <f t="shared" ca="1" si="26"/>
        <v/>
      </c>
      <c r="CC12">
        <f t="shared" ca="1" si="27"/>
        <v>0</v>
      </c>
    </row>
    <row r="13" spans="1:8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>
        <f t="shared" si="1"/>
        <v>1000</v>
      </c>
      <c r="G13" s="52"/>
      <c r="H13" s="52"/>
      <c r="I13" s="52"/>
      <c r="J13" s="52">
        <f t="shared" si="29"/>
        <v>1000</v>
      </c>
      <c r="K13" s="52"/>
      <c r="L13" s="52"/>
      <c r="M13" s="52"/>
      <c r="N13" s="52">
        <f t="shared" si="30"/>
        <v>1000</v>
      </c>
      <c r="O13" s="52"/>
      <c r="P13" s="52"/>
      <c r="Q13" s="52"/>
      <c r="R13" s="52">
        <f t="shared" si="31"/>
        <v>1000</v>
      </c>
      <c r="S13" s="52"/>
      <c r="T13" s="52"/>
      <c r="U13" s="52"/>
      <c r="V13" s="52">
        <f t="shared" si="32"/>
        <v>1000</v>
      </c>
      <c r="W13" s="52"/>
      <c r="X13" s="52"/>
      <c r="Y13" s="52"/>
      <c r="Z13" s="52">
        <f t="shared" si="33"/>
        <v>1000</v>
      </c>
      <c r="AA13" s="52"/>
      <c r="AB13" s="52"/>
      <c r="AC13" s="52"/>
      <c r="AD13" s="52">
        <f t="shared" si="28"/>
        <v>1000</v>
      </c>
      <c r="AE13" s="52"/>
      <c r="AF13" s="52"/>
      <c r="AG13" s="52"/>
      <c r="AH13" s="52">
        <f t="shared" si="34"/>
        <v>1000</v>
      </c>
      <c r="AI13" s="52"/>
      <c r="AJ13" s="52"/>
      <c r="AK13" s="52"/>
      <c r="AL13" s="52">
        <f t="shared" si="35"/>
        <v>1000</v>
      </c>
      <c r="AM13" s="52"/>
      <c r="AN13" s="52"/>
      <c r="AO13" s="52"/>
      <c r="AP13" s="52">
        <f t="shared" si="36"/>
        <v>1000</v>
      </c>
      <c r="AQ13" s="52"/>
      <c r="AR13" s="52"/>
      <c r="AS13" s="52"/>
      <c r="AT13" s="52">
        <f t="shared" si="37"/>
        <v>1000</v>
      </c>
      <c r="AU13" s="52"/>
      <c r="AV13" s="52"/>
      <c r="AW13" s="52"/>
      <c r="AX13" s="52">
        <f t="shared" si="38"/>
        <v>1000</v>
      </c>
      <c r="AY13" s="52"/>
      <c r="AZ13" s="52"/>
      <c r="BA13" s="52"/>
      <c r="BB13" s="52">
        <f t="shared" si="2"/>
        <v>12000</v>
      </c>
      <c r="BC13" s="52">
        <f t="shared" si="3"/>
        <v>0</v>
      </c>
      <c r="BE13">
        <f ca="1">'Monthly Collection-2024)'!CC13</f>
        <v>0</v>
      </c>
      <c r="BF13" t="str">
        <f t="shared" ca="1" si="4"/>
        <v/>
      </c>
      <c r="BG13">
        <f t="shared" ca="1" si="5"/>
        <v>0</v>
      </c>
      <c r="BH13" t="str">
        <f t="shared" ca="1" si="6"/>
        <v/>
      </c>
      <c r="BI13">
        <f t="shared" ca="1" si="7"/>
        <v>0</v>
      </c>
      <c r="BJ13" t="str">
        <f t="shared" ca="1" si="8"/>
        <v/>
      </c>
      <c r="BK13">
        <f t="shared" ca="1" si="9"/>
        <v>0</v>
      </c>
      <c r="BL13" t="str">
        <f t="shared" ca="1" si="10"/>
        <v/>
      </c>
      <c r="BM13">
        <f t="shared" ca="1" si="11"/>
        <v>0</v>
      </c>
      <c r="BN13" t="str">
        <f t="shared" ca="1" si="12"/>
        <v/>
      </c>
      <c r="BO13">
        <f t="shared" ca="1" si="13"/>
        <v>0</v>
      </c>
      <c r="BP13" t="str">
        <f t="shared" ca="1" si="14"/>
        <v/>
      </c>
      <c r="BQ13">
        <f t="shared" ca="1" si="15"/>
        <v>0</v>
      </c>
      <c r="BR13" t="str">
        <f t="shared" ca="1" si="16"/>
        <v/>
      </c>
      <c r="BS13">
        <f t="shared" ca="1" si="17"/>
        <v>0</v>
      </c>
      <c r="BT13" t="str">
        <f t="shared" ca="1" si="18"/>
        <v/>
      </c>
      <c r="BU13">
        <f t="shared" ca="1" si="19"/>
        <v>0</v>
      </c>
      <c r="BV13" t="str">
        <f t="shared" ca="1" si="20"/>
        <v/>
      </c>
      <c r="BW13">
        <f t="shared" ca="1" si="21"/>
        <v>0</v>
      </c>
      <c r="BX13" t="str">
        <f t="shared" ca="1" si="22"/>
        <v/>
      </c>
      <c r="BY13">
        <f t="shared" ca="1" si="23"/>
        <v>0</v>
      </c>
      <c r="BZ13" t="str">
        <f t="shared" ca="1" si="24"/>
        <v/>
      </c>
      <c r="CA13">
        <f t="shared" ca="1" si="25"/>
        <v>0</v>
      </c>
      <c r="CB13" t="str">
        <f t="shared" ca="1" si="26"/>
        <v/>
      </c>
      <c r="CC13">
        <f t="shared" ca="1" si="27"/>
        <v>0</v>
      </c>
    </row>
    <row r="14" spans="1:8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>
        <f t="shared" si="1"/>
        <v>3000</v>
      </c>
      <c r="G14" s="56"/>
      <c r="H14" s="56"/>
      <c r="I14" s="56"/>
      <c r="J14" s="56">
        <f t="shared" si="29"/>
        <v>3000</v>
      </c>
      <c r="K14" s="56"/>
      <c r="L14" s="56"/>
      <c r="M14" s="56"/>
      <c r="N14" s="56">
        <f t="shared" si="30"/>
        <v>3000</v>
      </c>
      <c r="O14" s="56"/>
      <c r="P14" s="56"/>
      <c r="Q14" s="56"/>
      <c r="R14" s="56">
        <f t="shared" si="31"/>
        <v>3000</v>
      </c>
      <c r="S14" s="56"/>
      <c r="T14" s="56"/>
      <c r="U14" s="56"/>
      <c r="V14" s="56">
        <f t="shared" si="32"/>
        <v>3000</v>
      </c>
      <c r="W14" s="56"/>
      <c r="X14" s="56"/>
      <c r="Y14" s="56"/>
      <c r="Z14" s="56">
        <f t="shared" si="33"/>
        <v>3000</v>
      </c>
      <c r="AA14" s="56"/>
      <c r="AB14" s="56"/>
      <c r="AC14" s="56"/>
      <c r="AD14" s="56">
        <f t="shared" si="28"/>
        <v>3000</v>
      </c>
      <c r="AE14" s="56"/>
      <c r="AF14" s="56"/>
      <c r="AG14" s="56"/>
      <c r="AH14" s="56">
        <f t="shared" si="34"/>
        <v>3000</v>
      </c>
      <c r="AI14" s="56"/>
      <c r="AJ14" s="56"/>
      <c r="AK14" s="56"/>
      <c r="AL14" s="56">
        <f t="shared" si="35"/>
        <v>3000</v>
      </c>
      <c r="AM14" s="56"/>
      <c r="AN14" s="56"/>
      <c r="AO14" s="56"/>
      <c r="AP14" s="56">
        <f t="shared" si="36"/>
        <v>3000</v>
      </c>
      <c r="AQ14" s="56"/>
      <c r="AR14" s="56"/>
      <c r="AS14" s="56"/>
      <c r="AT14" s="56">
        <f t="shared" si="37"/>
        <v>3000</v>
      </c>
      <c r="AU14" s="56"/>
      <c r="AV14" s="56"/>
      <c r="AW14" s="56"/>
      <c r="AX14" s="56">
        <f t="shared" si="38"/>
        <v>3000</v>
      </c>
      <c r="AY14" s="56"/>
      <c r="AZ14" s="56"/>
      <c r="BA14" s="56"/>
      <c r="BB14" s="56">
        <f t="shared" si="2"/>
        <v>36000</v>
      </c>
      <c r="BC14" s="56">
        <f t="shared" si="3"/>
        <v>0</v>
      </c>
      <c r="BE14">
        <f ca="1">'Monthly Collection-2024)'!CC14</f>
        <v>0</v>
      </c>
      <c r="BF14" t="str">
        <f t="shared" ca="1" si="4"/>
        <v/>
      </c>
      <c r="BG14">
        <f t="shared" ca="1" si="5"/>
        <v>0</v>
      </c>
      <c r="BH14" t="str">
        <f t="shared" ca="1" si="6"/>
        <v/>
      </c>
      <c r="BI14">
        <f t="shared" ca="1" si="7"/>
        <v>0</v>
      </c>
      <c r="BJ14" t="str">
        <f t="shared" ca="1" si="8"/>
        <v/>
      </c>
      <c r="BK14">
        <f t="shared" ca="1" si="9"/>
        <v>0</v>
      </c>
      <c r="BL14" t="str">
        <f t="shared" ca="1" si="10"/>
        <v/>
      </c>
      <c r="BM14">
        <f t="shared" ca="1" si="11"/>
        <v>0</v>
      </c>
      <c r="BN14" t="str">
        <f t="shared" ca="1" si="12"/>
        <v/>
      </c>
      <c r="BO14">
        <f t="shared" ca="1" si="13"/>
        <v>0</v>
      </c>
      <c r="BP14" t="str">
        <f t="shared" ca="1" si="14"/>
        <v/>
      </c>
      <c r="BQ14">
        <f t="shared" ca="1" si="15"/>
        <v>0</v>
      </c>
      <c r="BR14" t="str">
        <f t="shared" ca="1" si="16"/>
        <v/>
      </c>
      <c r="BS14">
        <f t="shared" ca="1" si="17"/>
        <v>0</v>
      </c>
      <c r="BT14" t="str">
        <f t="shared" ca="1" si="18"/>
        <v/>
      </c>
      <c r="BU14">
        <f t="shared" ca="1" si="19"/>
        <v>0</v>
      </c>
      <c r="BV14" t="str">
        <f t="shared" ca="1" si="20"/>
        <v/>
      </c>
      <c r="BW14">
        <f t="shared" ca="1" si="21"/>
        <v>0</v>
      </c>
      <c r="BX14" t="str">
        <f t="shared" ca="1" si="22"/>
        <v/>
      </c>
      <c r="BY14">
        <f t="shared" ca="1" si="23"/>
        <v>0</v>
      </c>
      <c r="BZ14" t="str">
        <f t="shared" ca="1" si="24"/>
        <v/>
      </c>
      <c r="CA14">
        <f t="shared" ca="1" si="25"/>
        <v>0</v>
      </c>
      <c r="CB14" t="str">
        <f t="shared" ca="1" si="26"/>
        <v/>
      </c>
      <c r="CC14">
        <f t="shared" ca="1" si="27"/>
        <v>0</v>
      </c>
    </row>
    <row r="15" spans="1:8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>
        <f t="shared" si="1"/>
        <v>1000</v>
      </c>
      <c r="G15" s="52"/>
      <c r="H15" s="52"/>
      <c r="I15" s="52"/>
      <c r="J15" s="52">
        <f t="shared" si="29"/>
        <v>1000</v>
      </c>
      <c r="K15" s="52"/>
      <c r="L15" s="52"/>
      <c r="M15" s="52"/>
      <c r="N15" s="52">
        <f t="shared" si="30"/>
        <v>1000</v>
      </c>
      <c r="O15" s="52"/>
      <c r="P15" s="52"/>
      <c r="Q15" s="52"/>
      <c r="R15" s="52">
        <f t="shared" si="31"/>
        <v>1000</v>
      </c>
      <c r="S15" s="52"/>
      <c r="T15" s="52"/>
      <c r="U15" s="52"/>
      <c r="V15" s="52">
        <f t="shared" si="32"/>
        <v>1000</v>
      </c>
      <c r="W15" s="52"/>
      <c r="X15" s="52"/>
      <c r="Y15" s="52"/>
      <c r="Z15" s="52">
        <f t="shared" si="33"/>
        <v>1000</v>
      </c>
      <c r="AA15" s="52"/>
      <c r="AB15" s="52"/>
      <c r="AC15" s="52"/>
      <c r="AD15" s="52">
        <f t="shared" si="28"/>
        <v>1000</v>
      </c>
      <c r="AE15" s="52"/>
      <c r="AF15" s="52"/>
      <c r="AG15" s="52"/>
      <c r="AH15" s="52">
        <f t="shared" si="34"/>
        <v>1000</v>
      </c>
      <c r="AI15" s="52"/>
      <c r="AJ15" s="52"/>
      <c r="AK15" s="52"/>
      <c r="AL15" s="52">
        <f t="shared" si="35"/>
        <v>1000</v>
      </c>
      <c r="AM15" s="52"/>
      <c r="AN15" s="52"/>
      <c r="AO15" s="52"/>
      <c r="AP15" s="52">
        <f t="shared" si="36"/>
        <v>1000</v>
      </c>
      <c r="AQ15" s="52"/>
      <c r="AR15" s="52"/>
      <c r="AS15" s="52"/>
      <c r="AT15" s="52">
        <f t="shared" si="37"/>
        <v>1000</v>
      </c>
      <c r="AU15" s="52"/>
      <c r="AV15" s="52"/>
      <c r="AW15" s="52"/>
      <c r="AX15" s="52">
        <f t="shared" si="38"/>
        <v>1000</v>
      </c>
      <c r="AY15" s="52"/>
      <c r="AZ15" s="52"/>
      <c r="BA15" s="52"/>
      <c r="BB15" s="52">
        <f t="shared" si="2"/>
        <v>12000</v>
      </c>
      <c r="BC15" s="52">
        <f t="shared" si="3"/>
        <v>0</v>
      </c>
      <c r="BE15">
        <f ca="1">'Monthly Collection-2024)'!CC15</f>
        <v>0</v>
      </c>
      <c r="BF15" t="str">
        <f t="shared" ca="1" si="4"/>
        <v/>
      </c>
      <c r="BG15">
        <f t="shared" ca="1" si="5"/>
        <v>0</v>
      </c>
      <c r="BH15" t="str">
        <f t="shared" ca="1" si="6"/>
        <v/>
      </c>
      <c r="BI15">
        <f t="shared" ca="1" si="7"/>
        <v>0</v>
      </c>
      <c r="BJ15" t="str">
        <f t="shared" ca="1" si="8"/>
        <v/>
      </c>
      <c r="BK15">
        <f t="shared" ca="1" si="9"/>
        <v>0</v>
      </c>
      <c r="BL15" t="str">
        <f t="shared" ca="1" si="10"/>
        <v/>
      </c>
      <c r="BM15">
        <f t="shared" ca="1" si="11"/>
        <v>0</v>
      </c>
      <c r="BN15" t="str">
        <f t="shared" ca="1" si="12"/>
        <v/>
      </c>
      <c r="BO15">
        <f t="shared" ca="1" si="13"/>
        <v>0</v>
      </c>
      <c r="BP15" t="str">
        <f t="shared" ca="1" si="14"/>
        <v/>
      </c>
      <c r="BQ15">
        <f t="shared" ca="1" si="15"/>
        <v>0</v>
      </c>
      <c r="BR15" t="str">
        <f t="shared" ca="1" si="16"/>
        <v/>
      </c>
      <c r="BS15">
        <f t="shared" ca="1" si="17"/>
        <v>0</v>
      </c>
      <c r="BT15" t="str">
        <f t="shared" ca="1" si="18"/>
        <v/>
      </c>
      <c r="BU15">
        <f t="shared" ca="1" si="19"/>
        <v>0</v>
      </c>
      <c r="BV15" t="str">
        <f t="shared" ca="1" si="20"/>
        <v/>
      </c>
      <c r="BW15">
        <f t="shared" ca="1" si="21"/>
        <v>0</v>
      </c>
      <c r="BX15" t="str">
        <f t="shared" ca="1" si="22"/>
        <v/>
      </c>
      <c r="BY15">
        <f t="shared" ca="1" si="23"/>
        <v>0</v>
      </c>
      <c r="BZ15" t="str">
        <f t="shared" ca="1" si="24"/>
        <v/>
      </c>
      <c r="CA15">
        <f t="shared" ca="1" si="25"/>
        <v>0</v>
      </c>
      <c r="CB15" t="str">
        <f t="shared" ca="1" si="26"/>
        <v/>
      </c>
      <c r="CC15">
        <f t="shared" ca="1" si="27"/>
        <v>0</v>
      </c>
    </row>
    <row r="16" spans="1:8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>
        <f t="shared" si="1"/>
        <v>2000</v>
      </c>
      <c r="G16" s="56"/>
      <c r="H16" s="56"/>
      <c r="I16" s="56"/>
      <c r="J16" s="56">
        <f t="shared" si="29"/>
        <v>2000</v>
      </c>
      <c r="K16" s="56"/>
      <c r="L16" s="56"/>
      <c r="M16" s="56"/>
      <c r="N16" s="56">
        <f t="shared" si="30"/>
        <v>2000</v>
      </c>
      <c r="O16" s="56"/>
      <c r="P16" s="56"/>
      <c r="Q16" s="56"/>
      <c r="R16" s="56">
        <f t="shared" si="31"/>
        <v>2000</v>
      </c>
      <c r="S16" s="56"/>
      <c r="T16" s="56"/>
      <c r="U16" s="56"/>
      <c r="V16" s="56">
        <f t="shared" si="32"/>
        <v>2000</v>
      </c>
      <c r="W16" s="56"/>
      <c r="X16" s="56"/>
      <c r="Y16" s="56"/>
      <c r="Z16" s="56">
        <f t="shared" si="33"/>
        <v>2000</v>
      </c>
      <c r="AA16" s="56"/>
      <c r="AB16" s="56"/>
      <c r="AC16" s="56"/>
      <c r="AD16" s="56">
        <f t="shared" si="28"/>
        <v>2000</v>
      </c>
      <c r="AE16" s="56"/>
      <c r="AF16" s="56"/>
      <c r="AG16" s="56"/>
      <c r="AH16" s="56">
        <f t="shared" si="34"/>
        <v>2000</v>
      </c>
      <c r="AI16" s="56"/>
      <c r="AJ16" s="56"/>
      <c r="AK16" s="56"/>
      <c r="AL16" s="56">
        <f t="shared" si="35"/>
        <v>2000</v>
      </c>
      <c r="AM16" s="56"/>
      <c r="AN16" s="56"/>
      <c r="AO16" s="56"/>
      <c r="AP16" s="56">
        <f t="shared" si="36"/>
        <v>2000</v>
      </c>
      <c r="AQ16" s="56"/>
      <c r="AR16" s="56"/>
      <c r="AS16" s="56"/>
      <c r="AT16" s="56">
        <f t="shared" si="37"/>
        <v>2000</v>
      </c>
      <c r="AU16" s="56"/>
      <c r="AV16" s="56"/>
      <c r="AW16" s="56"/>
      <c r="AX16" s="56">
        <f t="shared" si="38"/>
        <v>2000</v>
      </c>
      <c r="AY16" s="56"/>
      <c r="AZ16" s="56"/>
      <c r="BA16" s="56"/>
      <c r="BB16" s="56">
        <f t="shared" si="2"/>
        <v>24000</v>
      </c>
      <c r="BC16" s="56">
        <f t="shared" si="3"/>
        <v>0</v>
      </c>
      <c r="BE16">
        <f ca="1">'Monthly Collection-2024)'!CC16</f>
        <v>0</v>
      </c>
      <c r="BF16" t="str">
        <f t="shared" ca="1" si="4"/>
        <v/>
      </c>
      <c r="BG16">
        <f t="shared" ca="1" si="5"/>
        <v>0</v>
      </c>
      <c r="BH16" t="str">
        <f t="shared" ca="1" si="6"/>
        <v/>
      </c>
      <c r="BI16">
        <f t="shared" ca="1" si="7"/>
        <v>0</v>
      </c>
      <c r="BJ16" t="str">
        <f t="shared" ca="1" si="8"/>
        <v/>
      </c>
      <c r="BK16">
        <f t="shared" ca="1" si="9"/>
        <v>0</v>
      </c>
      <c r="BL16" t="str">
        <f t="shared" ca="1" si="10"/>
        <v/>
      </c>
      <c r="BM16">
        <f t="shared" ca="1" si="11"/>
        <v>0</v>
      </c>
      <c r="BN16" t="str">
        <f t="shared" ca="1" si="12"/>
        <v/>
      </c>
      <c r="BO16">
        <f t="shared" ca="1" si="13"/>
        <v>0</v>
      </c>
      <c r="BP16" t="str">
        <f t="shared" ca="1" si="14"/>
        <v/>
      </c>
      <c r="BQ16">
        <f t="shared" ca="1" si="15"/>
        <v>0</v>
      </c>
      <c r="BR16" t="str">
        <f t="shared" ca="1" si="16"/>
        <v/>
      </c>
      <c r="BS16">
        <f t="shared" ca="1" si="17"/>
        <v>0</v>
      </c>
      <c r="BT16" t="str">
        <f t="shared" ca="1" si="18"/>
        <v/>
      </c>
      <c r="BU16">
        <f t="shared" ca="1" si="19"/>
        <v>0</v>
      </c>
      <c r="BV16" t="str">
        <f t="shared" ca="1" si="20"/>
        <v/>
      </c>
      <c r="BW16">
        <f t="shared" ca="1" si="21"/>
        <v>0</v>
      </c>
      <c r="BX16" t="str">
        <f t="shared" ca="1" si="22"/>
        <v/>
      </c>
      <c r="BY16">
        <f t="shared" ca="1" si="23"/>
        <v>0</v>
      </c>
      <c r="BZ16" t="str">
        <f t="shared" ca="1" si="24"/>
        <v/>
      </c>
      <c r="CA16">
        <f t="shared" ca="1" si="25"/>
        <v>0</v>
      </c>
      <c r="CB16" t="str">
        <f t="shared" ca="1" si="26"/>
        <v/>
      </c>
      <c r="CC16">
        <f t="shared" ca="1" si="27"/>
        <v>0</v>
      </c>
    </row>
    <row r="17" spans="2:8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>
        <f t="shared" si="1"/>
        <v>3000</v>
      </c>
      <c r="G17" s="52"/>
      <c r="H17" s="52"/>
      <c r="I17" s="52"/>
      <c r="J17" s="52">
        <f t="shared" si="29"/>
        <v>3000</v>
      </c>
      <c r="K17" s="52"/>
      <c r="L17" s="52"/>
      <c r="M17" s="52"/>
      <c r="N17" s="52">
        <f t="shared" si="30"/>
        <v>3000</v>
      </c>
      <c r="O17" s="52"/>
      <c r="P17" s="52"/>
      <c r="Q17" s="52"/>
      <c r="R17" s="52">
        <f t="shared" si="31"/>
        <v>3000</v>
      </c>
      <c r="S17" s="52"/>
      <c r="T17" s="52"/>
      <c r="U17" s="52"/>
      <c r="V17" s="52">
        <f t="shared" si="32"/>
        <v>3000</v>
      </c>
      <c r="W17" s="52"/>
      <c r="X17" s="52"/>
      <c r="Y17" s="52"/>
      <c r="Z17" s="52">
        <f t="shared" si="33"/>
        <v>3000</v>
      </c>
      <c r="AA17" s="52"/>
      <c r="AB17" s="52"/>
      <c r="AC17" s="52"/>
      <c r="AD17" s="52">
        <f t="shared" si="28"/>
        <v>3000</v>
      </c>
      <c r="AE17" s="52"/>
      <c r="AF17" s="52"/>
      <c r="AG17" s="52"/>
      <c r="AH17" s="52">
        <f t="shared" si="34"/>
        <v>3000</v>
      </c>
      <c r="AI17" s="52"/>
      <c r="AJ17" s="52"/>
      <c r="AK17" s="52"/>
      <c r="AL17" s="52">
        <f t="shared" si="35"/>
        <v>3000</v>
      </c>
      <c r="AM17" s="52"/>
      <c r="AN17" s="52"/>
      <c r="AO17" s="52"/>
      <c r="AP17" s="52">
        <f t="shared" si="36"/>
        <v>3000</v>
      </c>
      <c r="AQ17" s="52"/>
      <c r="AR17" s="52"/>
      <c r="AS17" s="52"/>
      <c r="AT17" s="52">
        <f t="shared" si="37"/>
        <v>3000</v>
      </c>
      <c r="AU17" s="52"/>
      <c r="AV17" s="52"/>
      <c r="AW17" s="52"/>
      <c r="AX17" s="52">
        <f t="shared" si="38"/>
        <v>3000</v>
      </c>
      <c r="AY17" s="52"/>
      <c r="AZ17" s="52"/>
      <c r="BA17" s="52"/>
      <c r="BB17" s="52">
        <f t="shared" si="2"/>
        <v>36000</v>
      </c>
      <c r="BC17" s="52">
        <f t="shared" si="3"/>
        <v>0</v>
      </c>
      <c r="BE17">
        <f ca="1">'Monthly Collection-2024)'!CC17</f>
        <v>0</v>
      </c>
      <c r="BF17" t="str">
        <f t="shared" ca="1" si="4"/>
        <v/>
      </c>
      <c r="BG17">
        <f t="shared" ca="1" si="5"/>
        <v>0</v>
      </c>
      <c r="BH17" t="str">
        <f t="shared" ca="1" si="6"/>
        <v/>
      </c>
      <c r="BI17">
        <f t="shared" ca="1" si="7"/>
        <v>0</v>
      </c>
      <c r="BJ17" t="str">
        <f t="shared" ca="1" si="8"/>
        <v/>
      </c>
      <c r="BK17">
        <f t="shared" ca="1" si="9"/>
        <v>0</v>
      </c>
      <c r="BL17" t="str">
        <f t="shared" ca="1" si="10"/>
        <v/>
      </c>
      <c r="BM17">
        <f t="shared" ca="1" si="11"/>
        <v>0</v>
      </c>
      <c r="BN17" t="str">
        <f t="shared" ca="1" si="12"/>
        <v/>
      </c>
      <c r="BO17">
        <f t="shared" ca="1" si="13"/>
        <v>0</v>
      </c>
      <c r="BP17" t="str">
        <f t="shared" ca="1" si="14"/>
        <v/>
      </c>
      <c r="BQ17">
        <f t="shared" ca="1" si="15"/>
        <v>0</v>
      </c>
      <c r="BR17" t="str">
        <f t="shared" ca="1" si="16"/>
        <v/>
      </c>
      <c r="BS17">
        <f t="shared" ca="1" si="17"/>
        <v>0</v>
      </c>
      <c r="BT17" t="str">
        <f t="shared" ca="1" si="18"/>
        <v/>
      </c>
      <c r="BU17">
        <f t="shared" ca="1" si="19"/>
        <v>0</v>
      </c>
      <c r="BV17" t="str">
        <f t="shared" ca="1" si="20"/>
        <v/>
      </c>
      <c r="BW17">
        <f t="shared" ca="1" si="21"/>
        <v>0</v>
      </c>
      <c r="BX17" t="str">
        <f t="shared" ca="1" si="22"/>
        <v/>
      </c>
      <c r="BY17">
        <f t="shared" ca="1" si="23"/>
        <v>0</v>
      </c>
      <c r="BZ17" t="str">
        <f t="shared" ca="1" si="24"/>
        <v/>
      </c>
      <c r="CA17">
        <f t="shared" ca="1" si="25"/>
        <v>0</v>
      </c>
      <c r="CB17" t="str">
        <f t="shared" ca="1" si="26"/>
        <v/>
      </c>
      <c r="CC17">
        <f t="shared" ca="1" si="27"/>
        <v>0</v>
      </c>
    </row>
    <row r="18" spans="2:8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>
        <f t="shared" si="1"/>
        <v>3000</v>
      </c>
      <c r="G18" s="56"/>
      <c r="H18" s="56"/>
      <c r="I18" s="56"/>
      <c r="J18" s="56">
        <f t="shared" si="29"/>
        <v>3000</v>
      </c>
      <c r="K18" s="56"/>
      <c r="L18" s="56"/>
      <c r="M18" s="56"/>
      <c r="N18" s="56">
        <f t="shared" si="30"/>
        <v>3000</v>
      </c>
      <c r="O18" s="56"/>
      <c r="P18" s="56"/>
      <c r="Q18" s="56"/>
      <c r="R18" s="56">
        <f t="shared" si="31"/>
        <v>3000</v>
      </c>
      <c r="S18" s="56"/>
      <c r="T18" s="56"/>
      <c r="U18" s="56"/>
      <c r="V18" s="56">
        <f t="shared" si="32"/>
        <v>3000</v>
      </c>
      <c r="W18" s="56"/>
      <c r="X18" s="56"/>
      <c r="Y18" s="56"/>
      <c r="Z18" s="56">
        <f t="shared" si="33"/>
        <v>3000</v>
      </c>
      <c r="AA18" s="56"/>
      <c r="AB18" s="56"/>
      <c r="AC18" s="56"/>
      <c r="AD18" s="56">
        <f t="shared" si="28"/>
        <v>3000</v>
      </c>
      <c r="AE18" s="56"/>
      <c r="AF18" s="56"/>
      <c r="AG18" s="56"/>
      <c r="AH18" s="56">
        <f t="shared" si="34"/>
        <v>3000</v>
      </c>
      <c r="AI18" s="56"/>
      <c r="AJ18" s="56"/>
      <c r="AK18" s="56"/>
      <c r="AL18" s="56">
        <f t="shared" si="35"/>
        <v>3000</v>
      </c>
      <c r="AM18" s="56"/>
      <c r="AN18" s="56"/>
      <c r="AO18" s="56"/>
      <c r="AP18" s="56">
        <f t="shared" si="36"/>
        <v>3000</v>
      </c>
      <c r="AQ18" s="56"/>
      <c r="AR18" s="56"/>
      <c r="AS18" s="56"/>
      <c r="AT18" s="56">
        <f t="shared" si="37"/>
        <v>3000</v>
      </c>
      <c r="AU18" s="56"/>
      <c r="AV18" s="56"/>
      <c r="AW18" s="56"/>
      <c r="AX18" s="56">
        <f t="shared" si="38"/>
        <v>3000</v>
      </c>
      <c r="AY18" s="56"/>
      <c r="AZ18" s="56"/>
      <c r="BA18" s="56"/>
      <c r="BB18" s="56">
        <f t="shared" si="2"/>
        <v>36000</v>
      </c>
      <c r="BC18" s="56">
        <f t="shared" si="3"/>
        <v>0</v>
      </c>
      <c r="BE18">
        <f ca="1">'Monthly Collection-2024)'!CC18</f>
        <v>0</v>
      </c>
      <c r="BF18" t="str">
        <f t="shared" ca="1" si="4"/>
        <v/>
      </c>
      <c r="BG18">
        <f t="shared" ca="1" si="5"/>
        <v>0</v>
      </c>
      <c r="BH18" t="str">
        <f t="shared" ca="1" si="6"/>
        <v/>
      </c>
      <c r="BI18">
        <f t="shared" ca="1" si="7"/>
        <v>0</v>
      </c>
      <c r="BJ18" t="str">
        <f t="shared" ca="1" si="8"/>
        <v/>
      </c>
      <c r="BK18">
        <f t="shared" ca="1" si="9"/>
        <v>0</v>
      </c>
      <c r="BL18" t="str">
        <f t="shared" ca="1" si="10"/>
        <v/>
      </c>
      <c r="BM18">
        <f t="shared" ca="1" si="11"/>
        <v>0</v>
      </c>
      <c r="BN18" t="str">
        <f t="shared" ca="1" si="12"/>
        <v/>
      </c>
      <c r="BO18">
        <f t="shared" ca="1" si="13"/>
        <v>0</v>
      </c>
      <c r="BP18" t="str">
        <f t="shared" ca="1" si="14"/>
        <v/>
      </c>
      <c r="BQ18">
        <f t="shared" ca="1" si="15"/>
        <v>0</v>
      </c>
      <c r="BR18" t="str">
        <f t="shared" ca="1" si="16"/>
        <v/>
      </c>
      <c r="BS18">
        <f t="shared" ca="1" si="17"/>
        <v>0</v>
      </c>
      <c r="BT18" t="str">
        <f t="shared" ca="1" si="18"/>
        <v/>
      </c>
      <c r="BU18">
        <f t="shared" ca="1" si="19"/>
        <v>0</v>
      </c>
      <c r="BV18" t="str">
        <f t="shared" ca="1" si="20"/>
        <v/>
      </c>
      <c r="BW18">
        <f t="shared" ca="1" si="21"/>
        <v>0</v>
      </c>
      <c r="BX18" t="str">
        <f t="shared" ca="1" si="22"/>
        <v/>
      </c>
      <c r="BY18">
        <f t="shared" ca="1" si="23"/>
        <v>0</v>
      </c>
      <c r="BZ18" t="str">
        <f t="shared" ca="1" si="24"/>
        <v/>
      </c>
      <c r="CA18">
        <f t="shared" ca="1" si="25"/>
        <v>0</v>
      </c>
      <c r="CB18" t="str">
        <f t="shared" ca="1" si="26"/>
        <v/>
      </c>
      <c r="CC18">
        <f t="shared" ca="1" si="27"/>
        <v>0</v>
      </c>
    </row>
    <row r="19" spans="2:8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52">
        <f t="shared" si="1"/>
        <v>2000</v>
      </c>
      <c r="G19" s="52"/>
      <c r="H19" s="52">
        <v>2000</v>
      </c>
      <c r="I19" s="52">
        <v>100</v>
      </c>
      <c r="J19" s="52">
        <f t="shared" si="29"/>
        <v>2000</v>
      </c>
      <c r="K19" s="52"/>
      <c r="L19" s="52"/>
      <c r="M19" s="52"/>
      <c r="N19" s="243"/>
      <c r="O19" s="52"/>
      <c r="P19" s="52"/>
      <c r="Q19" s="52"/>
      <c r="R19" s="52">
        <f t="shared" si="31"/>
        <v>2000</v>
      </c>
      <c r="S19" s="52"/>
      <c r="T19" s="52">
        <v>2000</v>
      </c>
      <c r="U19" s="52">
        <v>100</v>
      </c>
      <c r="V19" s="52">
        <f t="shared" si="32"/>
        <v>2000</v>
      </c>
      <c r="W19" s="52"/>
      <c r="X19" s="52"/>
      <c r="Y19" s="52"/>
      <c r="Z19" s="52">
        <f t="shared" si="33"/>
        <v>2000</v>
      </c>
      <c r="AA19" s="52"/>
      <c r="AB19" s="52"/>
      <c r="AC19" s="52"/>
      <c r="AD19" s="52">
        <f t="shared" si="28"/>
        <v>2000</v>
      </c>
      <c r="AE19" s="52"/>
      <c r="AF19" s="52"/>
      <c r="AG19" s="52"/>
      <c r="AH19" s="52">
        <f t="shared" si="34"/>
        <v>2000</v>
      </c>
      <c r="AI19" s="52"/>
      <c r="AJ19" s="52"/>
      <c r="AK19" s="52"/>
      <c r="AL19" s="52">
        <f t="shared" si="35"/>
        <v>2000</v>
      </c>
      <c r="AM19" s="52"/>
      <c r="AN19" s="52"/>
      <c r="AO19" s="52"/>
      <c r="AP19" s="52">
        <f t="shared" si="36"/>
        <v>2000</v>
      </c>
      <c r="AQ19" s="52"/>
      <c r="AR19" s="52"/>
      <c r="AS19" s="52"/>
      <c r="AT19" s="52">
        <f t="shared" si="37"/>
        <v>2000</v>
      </c>
      <c r="AU19" s="52"/>
      <c r="AV19" s="52"/>
      <c r="AW19" s="52"/>
      <c r="AX19" s="52">
        <f t="shared" si="38"/>
        <v>2000</v>
      </c>
      <c r="AY19" s="52"/>
      <c r="AZ19" s="52"/>
      <c r="BA19" s="52"/>
      <c r="BB19" s="52">
        <f t="shared" si="2"/>
        <v>26000</v>
      </c>
      <c r="BC19" s="52">
        <f t="shared" si="3"/>
        <v>200</v>
      </c>
      <c r="BE19">
        <f ca="1">'Monthly Collection-2024)'!CC19</f>
        <v>0</v>
      </c>
      <c r="BF19" t="str">
        <f t="shared" ca="1" si="4"/>
        <v/>
      </c>
      <c r="BG19">
        <f t="shared" ca="1" si="5"/>
        <v>0</v>
      </c>
      <c r="BH19" t="str">
        <f t="shared" ca="1" si="6"/>
        <v/>
      </c>
      <c r="BI19">
        <f t="shared" ca="1" si="7"/>
        <v>0</v>
      </c>
      <c r="BJ19" t="str">
        <f t="shared" ca="1" si="8"/>
        <v>R</v>
      </c>
      <c r="BK19">
        <f t="shared" ca="1" si="9"/>
        <v>0</v>
      </c>
      <c r="BL19" t="str">
        <f t="shared" ca="1" si="10"/>
        <v/>
      </c>
      <c r="BM19">
        <f t="shared" ca="1" si="11"/>
        <v>0</v>
      </c>
      <c r="BN19" t="str">
        <f t="shared" ca="1" si="12"/>
        <v/>
      </c>
      <c r="BO19">
        <f t="shared" ca="1" si="13"/>
        <v>0</v>
      </c>
      <c r="BP19" t="str">
        <f t="shared" ca="1" si="14"/>
        <v/>
      </c>
      <c r="BQ19">
        <f t="shared" ca="1" si="15"/>
        <v>0</v>
      </c>
      <c r="BR19" t="str">
        <f t="shared" ca="1" si="16"/>
        <v/>
      </c>
      <c r="BS19">
        <f t="shared" ca="1" si="17"/>
        <v>0</v>
      </c>
      <c r="BT19" t="str">
        <f t="shared" ca="1" si="18"/>
        <v/>
      </c>
      <c r="BU19">
        <f t="shared" ca="1" si="19"/>
        <v>0</v>
      </c>
      <c r="BV19" t="str">
        <f t="shared" ca="1" si="20"/>
        <v/>
      </c>
      <c r="BW19">
        <f t="shared" ca="1" si="21"/>
        <v>0</v>
      </c>
      <c r="BX19" t="str">
        <f t="shared" ca="1" si="22"/>
        <v/>
      </c>
      <c r="BY19">
        <f t="shared" ca="1" si="23"/>
        <v>0</v>
      </c>
      <c r="BZ19" t="str">
        <f t="shared" ca="1" si="24"/>
        <v/>
      </c>
      <c r="CA19">
        <f t="shared" ca="1" si="25"/>
        <v>0</v>
      </c>
      <c r="CB19" t="str">
        <f t="shared" ca="1" si="26"/>
        <v/>
      </c>
      <c r="CC19">
        <f t="shared" ca="1" si="27"/>
        <v>0</v>
      </c>
    </row>
    <row r="20" spans="2:8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>
        <f t="shared" si="1"/>
        <v>2000</v>
      </c>
      <c r="G20" s="56"/>
      <c r="H20" s="56"/>
      <c r="I20" s="56"/>
      <c r="J20" s="56">
        <f t="shared" si="29"/>
        <v>2000</v>
      </c>
      <c r="K20" s="56"/>
      <c r="L20" s="56"/>
      <c r="M20" s="56"/>
      <c r="N20" s="56">
        <f t="shared" ref="N20:N41" si="39">$E20*1000</f>
        <v>2000</v>
      </c>
      <c r="O20" s="56"/>
      <c r="P20" s="56"/>
      <c r="Q20" s="56"/>
      <c r="R20" s="56">
        <f t="shared" si="31"/>
        <v>2000</v>
      </c>
      <c r="S20" s="56"/>
      <c r="T20" s="56"/>
      <c r="U20" s="56"/>
      <c r="V20" s="56">
        <f t="shared" si="32"/>
        <v>2000</v>
      </c>
      <c r="W20" s="56"/>
      <c r="X20" s="56"/>
      <c r="Y20" s="56"/>
      <c r="Z20" s="56">
        <f t="shared" si="33"/>
        <v>2000</v>
      </c>
      <c r="AA20" s="56"/>
      <c r="AB20" s="56"/>
      <c r="AC20" s="56"/>
      <c r="AD20" s="56">
        <f t="shared" si="28"/>
        <v>2000</v>
      </c>
      <c r="AE20" s="56"/>
      <c r="AF20" s="56"/>
      <c r="AG20" s="56"/>
      <c r="AH20" s="56">
        <f t="shared" si="34"/>
        <v>2000</v>
      </c>
      <c r="AI20" s="56"/>
      <c r="AJ20" s="56"/>
      <c r="AK20" s="56"/>
      <c r="AL20" s="56">
        <f t="shared" si="35"/>
        <v>2000</v>
      </c>
      <c r="AM20" s="56"/>
      <c r="AN20" s="56"/>
      <c r="AO20" s="56"/>
      <c r="AP20" s="56">
        <f t="shared" si="36"/>
        <v>2000</v>
      </c>
      <c r="AQ20" s="56"/>
      <c r="AR20" s="56"/>
      <c r="AS20" s="56"/>
      <c r="AT20" s="56">
        <f t="shared" si="37"/>
        <v>2000</v>
      </c>
      <c r="AU20" s="56"/>
      <c r="AV20" s="56"/>
      <c r="AW20" s="56"/>
      <c r="AX20" s="56">
        <f t="shared" si="38"/>
        <v>2000</v>
      </c>
      <c r="AY20" s="56"/>
      <c r="AZ20" s="56"/>
      <c r="BA20" s="56"/>
      <c r="BB20" s="56">
        <f t="shared" si="2"/>
        <v>24000</v>
      </c>
      <c r="BC20" s="56">
        <f t="shared" si="3"/>
        <v>0</v>
      </c>
      <c r="BE20">
        <f ca="1">'Monthly Collection-2024)'!CC20</f>
        <v>0</v>
      </c>
      <c r="BF20" t="str">
        <f t="shared" ca="1" si="4"/>
        <v/>
      </c>
      <c r="BG20">
        <f t="shared" ca="1" si="5"/>
        <v>0</v>
      </c>
      <c r="BH20" t="str">
        <f t="shared" ca="1" si="6"/>
        <v/>
      </c>
      <c r="BI20">
        <f t="shared" ca="1" si="7"/>
        <v>0</v>
      </c>
      <c r="BJ20" t="str">
        <f t="shared" ca="1" si="8"/>
        <v/>
      </c>
      <c r="BK20">
        <f t="shared" ca="1" si="9"/>
        <v>0</v>
      </c>
      <c r="BL20" t="str">
        <f t="shared" ca="1" si="10"/>
        <v/>
      </c>
      <c r="BM20">
        <f t="shared" ca="1" si="11"/>
        <v>0</v>
      </c>
      <c r="BN20" t="str">
        <f t="shared" ca="1" si="12"/>
        <v/>
      </c>
      <c r="BO20">
        <f t="shared" ca="1" si="13"/>
        <v>0</v>
      </c>
      <c r="BP20" t="str">
        <f t="shared" ca="1" si="14"/>
        <v/>
      </c>
      <c r="BQ20">
        <f t="shared" ca="1" si="15"/>
        <v>0</v>
      </c>
      <c r="BR20" t="str">
        <f t="shared" ca="1" si="16"/>
        <v/>
      </c>
      <c r="BS20">
        <f t="shared" ca="1" si="17"/>
        <v>0</v>
      </c>
      <c r="BT20" t="str">
        <f t="shared" ca="1" si="18"/>
        <v/>
      </c>
      <c r="BU20">
        <f t="shared" ca="1" si="19"/>
        <v>0</v>
      </c>
      <c r="BV20" t="str">
        <f t="shared" ca="1" si="20"/>
        <v/>
      </c>
      <c r="BW20">
        <f t="shared" ca="1" si="21"/>
        <v>0</v>
      </c>
      <c r="BX20" t="str">
        <f t="shared" ca="1" si="22"/>
        <v/>
      </c>
      <c r="BY20">
        <f t="shared" ca="1" si="23"/>
        <v>0</v>
      </c>
      <c r="BZ20" t="str">
        <f t="shared" ca="1" si="24"/>
        <v/>
      </c>
      <c r="CA20">
        <f t="shared" ca="1" si="25"/>
        <v>0</v>
      </c>
      <c r="CB20" t="str">
        <f t="shared" ca="1" si="26"/>
        <v/>
      </c>
      <c r="CC20">
        <f t="shared" ca="1" si="27"/>
        <v>0</v>
      </c>
    </row>
    <row r="21" spans="2:8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>
        <f t="shared" si="1"/>
        <v>2000</v>
      </c>
      <c r="G21" s="52"/>
      <c r="H21" s="52"/>
      <c r="I21" s="52"/>
      <c r="J21" s="52">
        <f t="shared" si="29"/>
        <v>2000</v>
      </c>
      <c r="K21" s="52"/>
      <c r="L21" s="52"/>
      <c r="M21" s="52"/>
      <c r="N21" s="52">
        <f t="shared" si="39"/>
        <v>2000</v>
      </c>
      <c r="O21" s="52"/>
      <c r="P21" s="52"/>
      <c r="Q21" s="52"/>
      <c r="R21" s="52">
        <f t="shared" si="31"/>
        <v>2000</v>
      </c>
      <c r="S21" s="52"/>
      <c r="T21" s="52"/>
      <c r="U21" s="52"/>
      <c r="V21" s="52">
        <f t="shared" si="32"/>
        <v>2000</v>
      </c>
      <c r="W21" s="52"/>
      <c r="X21" s="52"/>
      <c r="Y21" s="52"/>
      <c r="Z21" s="52">
        <f t="shared" si="33"/>
        <v>2000</v>
      </c>
      <c r="AA21" s="52"/>
      <c r="AB21" s="52"/>
      <c r="AC21" s="52"/>
      <c r="AD21" s="52">
        <f t="shared" si="28"/>
        <v>2000</v>
      </c>
      <c r="AE21" s="52"/>
      <c r="AF21" s="52"/>
      <c r="AG21" s="52"/>
      <c r="AH21" s="52">
        <f t="shared" si="34"/>
        <v>2000</v>
      </c>
      <c r="AI21" s="52"/>
      <c r="AJ21" s="52"/>
      <c r="AK21" s="52"/>
      <c r="AL21" s="52">
        <f t="shared" si="35"/>
        <v>2000</v>
      </c>
      <c r="AM21" s="52"/>
      <c r="AN21" s="52"/>
      <c r="AO21" s="52"/>
      <c r="AP21" s="52">
        <f t="shared" si="36"/>
        <v>2000</v>
      </c>
      <c r="AQ21" s="52"/>
      <c r="AR21" s="52"/>
      <c r="AS21" s="52"/>
      <c r="AT21" s="52">
        <f t="shared" si="37"/>
        <v>2000</v>
      </c>
      <c r="AU21" s="52"/>
      <c r="AV21" s="52"/>
      <c r="AW21" s="52"/>
      <c r="AX21" s="52">
        <f t="shared" si="38"/>
        <v>2000</v>
      </c>
      <c r="AY21" s="52"/>
      <c r="AZ21" s="52"/>
      <c r="BA21" s="52"/>
      <c r="BB21" s="52">
        <f t="shared" si="2"/>
        <v>24000</v>
      </c>
      <c r="BC21" s="52">
        <f t="shared" si="3"/>
        <v>0</v>
      </c>
      <c r="BE21">
        <f ca="1">'Monthly Collection-2024)'!CC21</f>
        <v>0</v>
      </c>
      <c r="BF21" t="str">
        <f t="shared" ca="1" si="4"/>
        <v/>
      </c>
      <c r="BG21">
        <f t="shared" ca="1" si="5"/>
        <v>0</v>
      </c>
      <c r="BH21" t="str">
        <f t="shared" ca="1" si="6"/>
        <v/>
      </c>
      <c r="BI21">
        <f t="shared" ca="1" si="7"/>
        <v>0</v>
      </c>
      <c r="BJ21" t="str">
        <f t="shared" ca="1" si="8"/>
        <v/>
      </c>
      <c r="BK21">
        <f t="shared" ca="1" si="9"/>
        <v>0</v>
      </c>
      <c r="BL21" t="str">
        <f t="shared" ca="1" si="10"/>
        <v/>
      </c>
      <c r="BM21">
        <f t="shared" ca="1" si="11"/>
        <v>0</v>
      </c>
      <c r="BN21" t="str">
        <f t="shared" ca="1" si="12"/>
        <v/>
      </c>
      <c r="BO21">
        <f t="shared" ca="1" si="13"/>
        <v>0</v>
      </c>
      <c r="BP21" t="str">
        <f t="shared" ca="1" si="14"/>
        <v/>
      </c>
      <c r="BQ21">
        <f t="shared" ca="1" si="15"/>
        <v>0</v>
      </c>
      <c r="BR21" t="str">
        <f t="shared" ca="1" si="16"/>
        <v/>
      </c>
      <c r="BS21">
        <f t="shared" ca="1" si="17"/>
        <v>0</v>
      </c>
      <c r="BT21" t="str">
        <f t="shared" ca="1" si="18"/>
        <v/>
      </c>
      <c r="BU21">
        <f t="shared" ca="1" si="19"/>
        <v>0</v>
      </c>
      <c r="BV21" t="str">
        <f t="shared" ca="1" si="20"/>
        <v/>
      </c>
      <c r="BW21">
        <f t="shared" ca="1" si="21"/>
        <v>0</v>
      </c>
      <c r="BX21" t="str">
        <f t="shared" ca="1" si="22"/>
        <v/>
      </c>
      <c r="BY21">
        <f t="shared" ca="1" si="23"/>
        <v>0</v>
      </c>
      <c r="BZ21" t="str">
        <f t="shared" ca="1" si="24"/>
        <v/>
      </c>
      <c r="CA21">
        <f t="shared" ca="1" si="25"/>
        <v>0</v>
      </c>
      <c r="CB21" t="str">
        <f t="shared" ca="1" si="26"/>
        <v/>
      </c>
      <c r="CC21">
        <f t="shared" ca="1" si="27"/>
        <v>0</v>
      </c>
    </row>
    <row r="22" spans="2:8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>
        <f t="shared" si="1"/>
        <v>1000</v>
      </c>
      <c r="G22" s="56"/>
      <c r="H22" s="56"/>
      <c r="I22" s="56"/>
      <c r="J22" s="56">
        <f t="shared" si="29"/>
        <v>1000</v>
      </c>
      <c r="K22" s="56"/>
      <c r="L22" s="56"/>
      <c r="M22" s="56"/>
      <c r="N22" s="56">
        <f t="shared" si="39"/>
        <v>1000</v>
      </c>
      <c r="O22" s="56"/>
      <c r="P22" s="56"/>
      <c r="Q22" s="56"/>
      <c r="R22" s="56">
        <f t="shared" si="31"/>
        <v>1000</v>
      </c>
      <c r="S22" s="56"/>
      <c r="T22" s="56"/>
      <c r="U22" s="56"/>
      <c r="V22" s="56">
        <f t="shared" si="32"/>
        <v>1000</v>
      </c>
      <c r="W22" s="56"/>
      <c r="X22" s="56"/>
      <c r="Y22" s="56"/>
      <c r="Z22" s="56">
        <f t="shared" si="33"/>
        <v>1000</v>
      </c>
      <c r="AA22" s="56"/>
      <c r="AB22" s="56"/>
      <c r="AC22" s="56"/>
      <c r="AD22" s="56">
        <f t="shared" si="28"/>
        <v>1000</v>
      </c>
      <c r="AE22" s="56"/>
      <c r="AF22" s="56"/>
      <c r="AG22" s="56"/>
      <c r="AH22" s="56">
        <f t="shared" si="34"/>
        <v>1000</v>
      </c>
      <c r="AI22" s="56"/>
      <c r="AJ22" s="56"/>
      <c r="AK22" s="56"/>
      <c r="AL22" s="56">
        <f t="shared" si="35"/>
        <v>1000</v>
      </c>
      <c r="AM22" s="56"/>
      <c r="AN22" s="56"/>
      <c r="AO22" s="56"/>
      <c r="AP22" s="56">
        <f t="shared" si="36"/>
        <v>1000</v>
      </c>
      <c r="AQ22" s="56"/>
      <c r="AR22" s="56"/>
      <c r="AS22" s="56"/>
      <c r="AT22" s="56">
        <f t="shared" si="37"/>
        <v>1000</v>
      </c>
      <c r="AU22" s="56"/>
      <c r="AV22" s="56"/>
      <c r="AW22" s="56"/>
      <c r="AX22" s="56">
        <f t="shared" si="38"/>
        <v>1000</v>
      </c>
      <c r="AY22" s="56"/>
      <c r="AZ22" s="56"/>
      <c r="BA22" s="56"/>
      <c r="BB22" s="56">
        <f t="shared" si="2"/>
        <v>12000</v>
      </c>
      <c r="BC22" s="56">
        <f t="shared" si="3"/>
        <v>0</v>
      </c>
      <c r="BE22">
        <f ca="1">'Monthly Collection-2024)'!CC22</f>
        <v>0</v>
      </c>
      <c r="BF22" t="str">
        <f t="shared" ca="1" si="4"/>
        <v/>
      </c>
      <c r="BG22">
        <f t="shared" ca="1" si="5"/>
        <v>0</v>
      </c>
      <c r="BH22" t="str">
        <f t="shared" ca="1" si="6"/>
        <v/>
      </c>
      <c r="BI22">
        <f t="shared" ca="1" si="7"/>
        <v>0</v>
      </c>
      <c r="BJ22" t="str">
        <f t="shared" ca="1" si="8"/>
        <v/>
      </c>
      <c r="BK22">
        <f t="shared" ca="1" si="9"/>
        <v>0</v>
      </c>
      <c r="BL22" t="str">
        <f t="shared" ca="1" si="10"/>
        <v/>
      </c>
      <c r="BM22">
        <f t="shared" ca="1" si="11"/>
        <v>0</v>
      </c>
      <c r="BN22" t="str">
        <f t="shared" ca="1" si="12"/>
        <v/>
      </c>
      <c r="BO22">
        <f t="shared" ca="1" si="13"/>
        <v>0</v>
      </c>
      <c r="BP22" t="str">
        <f t="shared" ca="1" si="14"/>
        <v/>
      </c>
      <c r="BQ22">
        <f t="shared" ca="1" si="15"/>
        <v>0</v>
      </c>
      <c r="BR22" t="str">
        <f t="shared" ca="1" si="16"/>
        <v/>
      </c>
      <c r="BS22">
        <f t="shared" ca="1" si="17"/>
        <v>0</v>
      </c>
      <c r="BT22" t="str">
        <f t="shared" ca="1" si="18"/>
        <v/>
      </c>
      <c r="BU22">
        <f t="shared" ca="1" si="19"/>
        <v>0</v>
      </c>
      <c r="BV22" t="str">
        <f t="shared" ca="1" si="20"/>
        <v/>
      </c>
      <c r="BW22">
        <f t="shared" ca="1" si="21"/>
        <v>0</v>
      </c>
      <c r="BX22" t="str">
        <f t="shared" ca="1" si="22"/>
        <v/>
      </c>
      <c r="BY22">
        <f t="shared" ca="1" si="23"/>
        <v>0</v>
      </c>
      <c r="BZ22" t="str">
        <f t="shared" ca="1" si="24"/>
        <v/>
      </c>
      <c r="CA22">
        <f t="shared" ca="1" si="25"/>
        <v>0</v>
      </c>
      <c r="CB22" t="str">
        <f t="shared" ca="1" si="26"/>
        <v/>
      </c>
      <c r="CC22">
        <f t="shared" ca="1" si="27"/>
        <v>0</v>
      </c>
    </row>
    <row r="23" spans="2:8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>
        <f t="shared" si="1"/>
        <v>2000</v>
      </c>
      <c r="G23" s="52"/>
      <c r="H23" s="52"/>
      <c r="I23" s="52"/>
      <c r="J23" s="52">
        <f t="shared" si="29"/>
        <v>2000</v>
      </c>
      <c r="K23" s="52"/>
      <c r="L23" s="52"/>
      <c r="M23" s="52"/>
      <c r="N23" s="52">
        <f t="shared" si="39"/>
        <v>2000</v>
      </c>
      <c r="O23" s="52"/>
      <c r="P23" s="52"/>
      <c r="Q23" s="52"/>
      <c r="R23" s="52">
        <f t="shared" si="31"/>
        <v>2000</v>
      </c>
      <c r="S23" s="52"/>
      <c r="T23" s="52"/>
      <c r="U23" s="52"/>
      <c r="V23" s="52">
        <f t="shared" si="32"/>
        <v>2000</v>
      </c>
      <c r="W23" s="52"/>
      <c r="X23" s="52"/>
      <c r="Y23" s="52"/>
      <c r="Z23" s="52">
        <f t="shared" si="33"/>
        <v>2000</v>
      </c>
      <c r="AA23" s="52"/>
      <c r="AB23" s="52"/>
      <c r="AC23" s="52"/>
      <c r="AD23" s="52">
        <f t="shared" si="28"/>
        <v>2000</v>
      </c>
      <c r="AE23" s="52"/>
      <c r="AF23" s="52"/>
      <c r="AG23" s="52"/>
      <c r="AH23" s="52">
        <f t="shared" si="34"/>
        <v>2000</v>
      </c>
      <c r="AI23" s="52"/>
      <c r="AJ23" s="52"/>
      <c r="AK23" s="52"/>
      <c r="AL23" s="52">
        <f t="shared" si="35"/>
        <v>2000</v>
      </c>
      <c r="AM23" s="52"/>
      <c r="AN23" s="52"/>
      <c r="AO23" s="52"/>
      <c r="AP23" s="52">
        <f t="shared" si="36"/>
        <v>2000</v>
      </c>
      <c r="AQ23" s="52"/>
      <c r="AR23" s="52"/>
      <c r="AS23" s="52"/>
      <c r="AT23" s="52">
        <f t="shared" si="37"/>
        <v>2000</v>
      </c>
      <c r="AU23" s="52"/>
      <c r="AV23" s="52"/>
      <c r="AW23" s="52"/>
      <c r="AX23" s="52">
        <f t="shared" si="38"/>
        <v>2000</v>
      </c>
      <c r="AY23" s="52"/>
      <c r="AZ23" s="52"/>
      <c r="BA23" s="52"/>
      <c r="BB23" s="52">
        <f t="shared" si="2"/>
        <v>24000</v>
      </c>
      <c r="BC23" s="52">
        <f t="shared" si="3"/>
        <v>0</v>
      </c>
      <c r="BE23">
        <f ca="1">'Monthly Collection-2024)'!CC23</f>
        <v>0</v>
      </c>
      <c r="BF23" t="str">
        <f t="shared" ca="1" si="4"/>
        <v/>
      </c>
      <c r="BG23">
        <f t="shared" ca="1" si="5"/>
        <v>0</v>
      </c>
      <c r="BH23" t="str">
        <f t="shared" ca="1" si="6"/>
        <v/>
      </c>
      <c r="BI23">
        <f t="shared" ca="1" si="7"/>
        <v>0</v>
      </c>
      <c r="BJ23" t="str">
        <f t="shared" ca="1" si="8"/>
        <v/>
      </c>
      <c r="BK23">
        <f t="shared" ca="1" si="9"/>
        <v>0</v>
      </c>
      <c r="BL23" t="str">
        <f t="shared" ca="1" si="10"/>
        <v/>
      </c>
      <c r="BM23">
        <f t="shared" ca="1" si="11"/>
        <v>0</v>
      </c>
      <c r="BN23" t="str">
        <f t="shared" ca="1" si="12"/>
        <v/>
      </c>
      <c r="BO23">
        <f t="shared" ca="1" si="13"/>
        <v>0</v>
      </c>
      <c r="BP23" t="str">
        <f t="shared" ca="1" si="14"/>
        <v/>
      </c>
      <c r="BQ23">
        <f t="shared" ca="1" si="15"/>
        <v>0</v>
      </c>
      <c r="BR23" t="str">
        <f t="shared" ca="1" si="16"/>
        <v/>
      </c>
      <c r="BS23">
        <f t="shared" ca="1" si="17"/>
        <v>0</v>
      </c>
      <c r="BT23" t="str">
        <f t="shared" ca="1" si="18"/>
        <v/>
      </c>
      <c r="BU23">
        <f t="shared" ca="1" si="19"/>
        <v>0</v>
      </c>
      <c r="BV23" t="str">
        <f t="shared" ca="1" si="20"/>
        <v/>
      </c>
      <c r="BW23">
        <f t="shared" ca="1" si="21"/>
        <v>0</v>
      </c>
      <c r="BX23" t="str">
        <f t="shared" ca="1" si="22"/>
        <v/>
      </c>
      <c r="BY23">
        <f t="shared" ca="1" si="23"/>
        <v>0</v>
      </c>
      <c r="BZ23" t="str">
        <f t="shared" ca="1" si="24"/>
        <v/>
      </c>
      <c r="CA23">
        <f t="shared" ca="1" si="25"/>
        <v>0</v>
      </c>
      <c r="CB23" t="str">
        <f t="shared" ca="1" si="26"/>
        <v/>
      </c>
      <c r="CC23">
        <f t="shared" ca="1" si="27"/>
        <v>0</v>
      </c>
    </row>
    <row r="24" spans="2:8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56">
        <f t="shared" si="1"/>
        <v>1000</v>
      </c>
      <c r="G24" s="56"/>
      <c r="H24" s="56"/>
      <c r="I24" s="56"/>
      <c r="J24" s="56">
        <f t="shared" si="29"/>
        <v>1000</v>
      </c>
      <c r="K24" s="56"/>
      <c r="L24" s="56"/>
      <c r="M24" s="56"/>
      <c r="N24" s="56">
        <f t="shared" si="39"/>
        <v>1000</v>
      </c>
      <c r="O24" s="56"/>
      <c r="P24" s="56"/>
      <c r="Q24" s="56"/>
      <c r="R24" s="56">
        <f t="shared" si="31"/>
        <v>1000</v>
      </c>
      <c r="S24" s="56"/>
      <c r="T24" s="56"/>
      <c r="U24" s="56"/>
      <c r="V24" s="56">
        <f t="shared" si="32"/>
        <v>1000</v>
      </c>
      <c r="W24" s="56"/>
      <c r="X24" s="56"/>
      <c r="Y24" s="56"/>
      <c r="Z24" s="56">
        <f t="shared" si="33"/>
        <v>1000</v>
      </c>
      <c r="AA24" s="56"/>
      <c r="AB24" s="56"/>
      <c r="AC24" s="56"/>
      <c r="AD24" s="56">
        <f t="shared" si="28"/>
        <v>1000</v>
      </c>
      <c r="AE24" s="56"/>
      <c r="AF24" s="56"/>
      <c r="AG24" s="56"/>
      <c r="AH24" s="56">
        <f t="shared" si="34"/>
        <v>1000</v>
      </c>
      <c r="AI24" s="56"/>
      <c r="AJ24" s="56"/>
      <c r="AK24" s="56"/>
      <c r="AL24" s="56">
        <f t="shared" si="35"/>
        <v>1000</v>
      </c>
      <c r="AM24" s="56"/>
      <c r="AN24" s="56"/>
      <c r="AO24" s="56"/>
      <c r="AP24" s="56">
        <f t="shared" si="36"/>
        <v>1000</v>
      </c>
      <c r="AQ24" s="56"/>
      <c r="AR24" s="56"/>
      <c r="AS24" s="56"/>
      <c r="AT24" s="56">
        <f t="shared" si="37"/>
        <v>1000</v>
      </c>
      <c r="AU24" s="56"/>
      <c r="AV24" s="56"/>
      <c r="AW24" s="56"/>
      <c r="AX24" s="56">
        <f t="shared" si="38"/>
        <v>1000</v>
      </c>
      <c r="AY24" s="56"/>
      <c r="AZ24" s="56"/>
      <c r="BA24" s="56"/>
      <c r="BB24" s="56">
        <f t="shared" si="2"/>
        <v>12000</v>
      </c>
      <c r="BC24" s="56">
        <f t="shared" si="3"/>
        <v>0</v>
      </c>
      <c r="BE24">
        <f ca="1">'Monthly Collection-2024)'!CC24</f>
        <v>0</v>
      </c>
      <c r="BF24" t="str">
        <f t="shared" ca="1" si="4"/>
        <v/>
      </c>
      <c r="BG24">
        <f t="shared" ca="1" si="5"/>
        <v>0</v>
      </c>
      <c r="BH24" t="str">
        <f t="shared" ca="1" si="6"/>
        <v/>
      </c>
      <c r="BI24">
        <f t="shared" ca="1" si="7"/>
        <v>0</v>
      </c>
      <c r="BJ24" t="str">
        <f t="shared" ca="1" si="8"/>
        <v/>
      </c>
      <c r="BK24">
        <f t="shared" ca="1" si="9"/>
        <v>0</v>
      </c>
      <c r="BL24" t="str">
        <f t="shared" ca="1" si="10"/>
        <v/>
      </c>
      <c r="BM24">
        <f t="shared" ca="1" si="11"/>
        <v>0</v>
      </c>
      <c r="BN24" t="str">
        <f t="shared" ca="1" si="12"/>
        <v/>
      </c>
      <c r="BO24">
        <f t="shared" ca="1" si="13"/>
        <v>0</v>
      </c>
      <c r="BP24" t="str">
        <f t="shared" ca="1" si="14"/>
        <v/>
      </c>
      <c r="BQ24">
        <f t="shared" ca="1" si="15"/>
        <v>0</v>
      </c>
      <c r="BR24" t="str">
        <f t="shared" ca="1" si="16"/>
        <v/>
      </c>
      <c r="BS24">
        <f t="shared" ca="1" si="17"/>
        <v>0</v>
      </c>
      <c r="BT24" t="str">
        <f t="shared" ca="1" si="18"/>
        <v/>
      </c>
      <c r="BU24">
        <f t="shared" ca="1" si="19"/>
        <v>0</v>
      </c>
      <c r="BV24" t="str">
        <f t="shared" ca="1" si="20"/>
        <v/>
      </c>
      <c r="BW24">
        <f t="shared" ca="1" si="21"/>
        <v>0</v>
      </c>
      <c r="BX24" t="str">
        <f t="shared" ca="1" si="22"/>
        <v/>
      </c>
      <c r="BY24">
        <f t="shared" ca="1" si="23"/>
        <v>0</v>
      </c>
      <c r="BZ24" t="str">
        <f t="shared" ca="1" si="24"/>
        <v/>
      </c>
      <c r="CA24">
        <f t="shared" ca="1" si="25"/>
        <v>0</v>
      </c>
      <c r="CB24" t="str">
        <f t="shared" ca="1" si="26"/>
        <v/>
      </c>
      <c r="CC24">
        <f t="shared" ca="1" si="27"/>
        <v>0</v>
      </c>
    </row>
    <row r="25" spans="2:8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>
        <f t="shared" si="1"/>
        <v>1000</v>
      </c>
      <c r="G25" s="52"/>
      <c r="H25" s="52"/>
      <c r="I25" s="52"/>
      <c r="J25" s="52">
        <f t="shared" si="29"/>
        <v>1000</v>
      </c>
      <c r="K25" s="52"/>
      <c r="L25" s="52"/>
      <c r="M25" s="52"/>
      <c r="N25" s="52">
        <f t="shared" si="39"/>
        <v>1000</v>
      </c>
      <c r="O25" s="52"/>
      <c r="P25" s="52"/>
      <c r="Q25" s="52"/>
      <c r="R25" s="52">
        <f t="shared" si="31"/>
        <v>1000</v>
      </c>
      <c r="S25" s="52"/>
      <c r="T25" s="52"/>
      <c r="U25" s="52"/>
      <c r="V25" s="243"/>
      <c r="W25" s="52"/>
      <c r="X25" s="52"/>
      <c r="Y25" s="52"/>
      <c r="Z25" s="52">
        <f t="shared" si="33"/>
        <v>1000</v>
      </c>
      <c r="AA25" s="52"/>
      <c r="AB25" s="52">
        <v>1000</v>
      </c>
      <c r="AC25" s="52">
        <v>50</v>
      </c>
      <c r="AD25" s="52">
        <f t="shared" si="28"/>
        <v>1000</v>
      </c>
      <c r="AE25" s="52"/>
      <c r="AF25" s="52"/>
      <c r="AG25" s="52"/>
      <c r="AH25" s="52">
        <f t="shared" si="34"/>
        <v>1000</v>
      </c>
      <c r="AI25" s="52"/>
      <c r="AJ25" s="52"/>
      <c r="AK25" s="52">
        <v>50</v>
      </c>
      <c r="AL25" s="52">
        <f t="shared" si="35"/>
        <v>1000</v>
      </c>
      <c r="AM25" s="52"/>
      <c r="AN25" s="52"/>
      <c r="AO25" s="52"/>
      <c r="AP25" s="52">
        <f t="shared" si="36"/>
        <v>1000</v>
      </c>
      <c r="AQ25" s="52"/>
      <c r="AR25" s="52"/>
      <c r="AS25" s="52"/>
      <c r="AT25" s="52">
        <f t="shared" si="37"/>
        <v>1000</v>
      </c>
      <c r="AU25" s="52"/>
      <c r="AV25" s="52"/>
      <c r="AW25" s="52"/>
      <c r="AX25" s="52">
        <f t="shared" si="38"/>
        <v>1000</v>
      </c>
      <c r="AY25" s="52"/>
      <c r="AZ25" s="52"/>
      <c r="BA25" s="52"/>
      <c r="BB25" s="52">
        <f t="shared" si="2"/>
        <v>12000</v>
      </c>
      <c r="BC25" s="52">
        <f t="shared" si="3"/>
        <v>100</v>
      </c>
      <c r="BE25">
        <f ca="1">'Monthly Collection-2024)'!CC25</f>
        <v>0</v>
      </c>
      <c r="BF25" t="str">
        <f t="shared" ca="1" si="4"/>
        <v/>
      </c>
      <c r="BG25">
        <f t="shared" ca="1" si="5"/>
        <v>0</v>
      </c>
      <c r="BH25" t="str">
        <f t="shared" ca="1" si="6"/>
        <v/>
      </c>
      <c r="BI25">
        <f t="shared" ca="1" si="7"/>
        <v>0</v>
      </c>
      <c r="BJ25" t="str">
        <f t="shared" ca="1" si="8"/>
        <v/>
      </c>
      <c r="BK25">
        <f t="shared" ca="1" si="9"/>
        <v>0</v>
      </c>
      <c r="BL25" t="str">
        <f t="shared" ca="1" si="10"/>
        <v/>
      </c>
      <c r="BM25">
        <f t="shared" ca="1" si="11"/>
        <v>0</v>
      </c>
      <c r="BN25" t="str">
        <f t="shared" ca="1" si="12"/>
        <v>R</v>
      </c>
      <c r="BO25">
        <f t="shared" ca="1" si="13"/>
        <v>0</v>
      </c>
      <c r="BP25" t="str">
        <f t="shared" ca="1" si="14"/>
        <v/>
      </c>
      <c r="BQ25">
        <f t="shared" ca="1" si="15"/>
        <v>0</v>
      </c>
      <c r="BR25" t="str">
        <f t="shared" ca="1" si="16"/>
        <v/>
      </c>
      <c r="BS25">
        <f t="shared" ca="1" si="17"/>
        <v>0</v>
      </c>
      <c r="BT25" t="str">
        <f t="shared" ca="1" si="18"/>
        <v/>
      </c>
      <c r="BU25">
        <f t="shared" ca="1" si="19"/>
        <v>0</v>
      </c>
      <c r="BV25" t="str">
        <f t="shared" ca="1" si="20"/>
        <v/>
      </c>
      <c r="BW25">
        <f t="shared" ca="1" si="21"/>
        <v>0</v>
      </c>
      <c r="BX25" t="str">
        <f t="shared" ca="1" si="22"/>
        <v/>
      </c>
      <c r="BY25">
        <f t="shared" ca="1" si="23"/>
        <v>0</v>
      </c>
      <c r="BZ25" t="str">
        <f t="shared" ca="1" si="24"/>
        <v/>
      </c>
      <c r="CA25">
        <f t="shared" ca="1" si="25"/>
        <v>0</v>
      </c>
      <c r="CB25" t="str">
        <f t="shared" ca="1" si="26"/>
        <v/>
      </c>
      <c r="CC25">
        <f t="shared" ca="1" si="27"/>
        <v>0</v>
      </c>
    </row>
    <row r="26" spans="2:8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>
        <f t="shared" si="1"/>
        <v>1000</v>
      </c>
      <c r="G26" s="56"/>
      <c r="H26" s="56">
        <v>6000</v>
      </c>
      <c r="I26" s="56">
        <v>300</v>
      </c>
      <c r="J26" s="56">
        <f t="shared" si="29"/>
        <v>1000</v>
      </c>
      <c r="K26" s="56"/>
      <c r="L26" s="56"/>
      <c r="M26" s="56"/>
      <c r="N26" s="56">
        <f t="shared" si="39"/>
        <v>1000</v>
      </c>
      <c r="O26" s="56"/>
      <c r="P26" s="56"/>
      <c r="Q26" s="56"/>
      <c r="R26" s="56">
        <f t="shared" si="31"/>
        <v>1000</v>
      </c>
      <c r="S26" s="56"/>
      <c r="T26" s="56"/>
      <c r="U26" s="56"/>
      <c r="V26" s="56">
        <f t="shared" ref="V26:V35" si="40">$E26*1000</f>
        <v>1000</v>
      </c>
      <c r="W26" s="56"/>
      <c r="X26" s="56"/>
      <c r="Y26" s="56"/>
      <c r="Z26" s="56">
        <f t="shared" si="33"/>
        <v>1000</v>
      </c>
      <c r="AA26" s="56"/>
      <c r="AB26" s="56"/>
      <c r="AC26" s="56"/>
      <c r="AD26" s="56">
        <f t="shared" si="28"/>
        <v>1000</v>
      </c>
      <c r="AE26" s="56"/>
      <c r="AF26" s="56"/>
      <c r="AG26" s="56"/>
      <c r="AH26" s="56">
        <f t="shared" si="34"/>
        <v>1000</v>
      </c>
      <c r="AI26" s="56"/>
      <c r="AJ26" s="56"/>
      <c r="AK26" s="56"/>
      <c r="AL26" s="56">
        <f t="shared" si="35"/>
        <v>1000</v>
      </c>
      <c r="AM26" s="56"/>
      <c r="AN26" s="56"/>
      <c r="AO26" s="56"/>
      <c r="AP26" s="56">
        <f t="shared" si="36"/>
        <v>1000</v>
      </c>
      <c r="AQ26" s="56"/>
      <c r="AR26" s="56"/>
      <c r="AS26" s="56"/>
      <c r="AT26" s="56">
        <f t="shared" si="37"/>
        <v>1000</v>
      </c>
      <c r="AU26" s="56"/>
      <c r="AV26" s="56"/>
      <c r="AW26" s="56"/>
      <c r="AX26" s="56">
        <f t="shared" si="38"/>
        <v>1000</v>
      </c>
      <c r="AY26" s="56"/>
      <c r="AZ26" s="56"/>
      <c r="BA26" s="56"/>
      <c r="BB26" s="56">
        <f t="shared" si="2"/>
        <v>18000</v>
      </c>
      <c r="BC26" s="56">
        <f t="shared" si="3"/>
        <v>300</v>
      </c>
      <c r="BE26">
        <f ca="1">'Monthly Collection-2024)'!CC26</f>
        <v>0</v>
      </c>
      <c r="BF26" t="str">
        <f t="shared" ca="1" si="4"/>
        <v/>
      </c>
      <c r="BG26">
        <f t="shared" ca="1" si="5"/>
        <v>0</v>
      </c>
      <c r="BH26" t="str">
        <f t="shared" ca="1" si="6"/>
        <v/>
      </c>
      <c r="BI26">
        <f t="shared" ca="1" si="7"/>
        <v>0</v>
      </c>
      <c r="BJ26" t="str">
        <f t="shared" ca="1" si="8"/>
        <v/>
      </c>
      <c r="BK26">
        <f t="shared" ca="1" si="9"/>
        <v>0</v>
      </c>
      <c r="BL26" t="str">
        <f t="shared" ca="1" si="10"/>
        <v/>
      </c>
      <c r="BM26">
        <f t="shared" ca="1" si="11"/>
        <v>0</v>
      </c>
      <c r="BN26" t="str">
        <f t="shared" ca="1" si="12"/>
        <v/>
      </c>
      <c r="BO26">
        <f t="shared" ca="1" si="13"/>
        <v>0</v>
      </c>
      <c r="BP26" t="str">
        <f t="shared" ca="1" si="14"/>
        <v/>
      </c>
      <c r="BQ26">
        <f t="shared" ca="1" si="15"/>
        <v>0</v>
      </c>
      <c r="BR26" t="str">
        <f t="shared" ca="1" si="16"/>
        <v/>
      </c>
      <c r="BS26">
        <f t="shared" ca="1" si="17"/>
        <v>0</v>
      </c>
      <c r="BT26" t="str">
        <f t="shared" ca="1" si="18"/>
        <v/>
      </c>
      <c r="BU26">
        <f t="shared" ca="1" si="19"/>
        <v>0</v>
      </c>
      <c r="BV26" t="str">
        <f t="shared" ca="1" si="20"/>
        <v/>
      </c>
      <c r="BW26">
        <f t="shared" ca="1" si="21"/>
        <v>0</v>
      </c>
      <c r="BX26" t="str">
        <f t="shared" ca="1" si="22"/>
        <v/>
      </c>
      <c r="BY26">
        <f t="shared" ca="1" si="23"/>
        <v>0</v>
      </c>
      <c r="BZ26" t="str">
        <f t="shared" ca="1" si="24"/>
        <v/>
      </c>
      <c r="CA26">
        <f t="shared" ca="1" si="25"/>
        <v>0</v>
      </c>
      <c r="CB26" t="str">
        <f t="shared" ca="1" si="26"/>
        <v/>
      </c>
      <c r="CC26">
        <f t="shared" ca="1" si="27"/>
        <v>0</v>
      </c>
    </row>
    <row r="27" spans="2:8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>
        <f t="shared" si="1"/>
        <v>1000</v>
      </c>
      <c r="G27" s="52"/>
      <c r="H27" s="52"/>
      <c r="I27" s="52"/>
      <c r="J27" s="52">
        <f t="shared" si="29"/>
        <v>1000</v>
      </c>
      <c r="K27" s="52"/>
      <c r="L27" s="52"/>
      <c r="M27" s="52"/>
      <c r="N27" s="52">
        <f t="shared" si="39"/>
        <v>1000</v>
      </c>
      <c r="O27" s="52"/>
      <c r="P27" s="52"/>
      <c r="Q27" s="52"/>
      <c r="R27" s="52">
        <f t="shared" si="31"/>
        <v>1000</v>
      </c>
      <c r="S27" s="52"/>
      <c r="T27" s="52"/>
      <c r="U27" s="52"/>
      <c r="V27" s="52">
        <f t="shared" si="40"/>
        <v>1000</v>
      </c>
      <c r="W27" s="52"/>
      <c r="X27" s="52"/>
      <c r="Y27" s="52"/>
      <c r="Z27" s="52">
        <f t="shared" si="33"/>
        <v>1000</v>
      </c>
      <c r="AA27" s="52"/>
      <c r="AB27" s="52"/>
      <c r="AC27" s="52"/>
      <c r="AD27" s="52">
        <f t="shared" si="28"/>
        <v>1000</v>
      </c>
      <c r="AE27" s="52"/>
      <c r="AF27" s="52"/>
      <c r="AG27" s="52"/>
      <c r="AH27" s="243"/>
      <c r="AI27" s="52"/>
      <c r="AJ27" s="52"/>
      <c r="AK27" s="52"/>
      <c r="AL27" s="52">
        <f t="shared" si="35"/>
        <v>1000</v>
      </c>
      <c r="AM27" s="52"/>
      <c r="AN27" s="52">
        <v>1000</v>
      </c>
      <c r="AO27" s="52">
        <v>50</v>
      </c>
      <c r="AP27" s="243"/>
      <c r="AQ27" s="52"/>
      <c r="AR27" s="52"/>
      <c r="AS27" s="52"/>
      <c r="AT27" s="52">
        <f t="shared" si="37"/>
        <v>1000</v>
      </c>
      <c r="AU27" s="52"/>
      <c r="AV27" s="52">
        <v>1000</v>
      </c>
      <c r="AW27" s="52">
        <v>50</v>
      </c>
      <c r="AX27" s="243"/>
      <c r="AY27" s="52"/>
      <c r="AZ27" s="52"/>
      <c r="BA27" s="52"/>
      <c r="BB27" s="52">
        <f t="shared" si="2"/>
        <v>11000</v>
      </c>
      <c r="BC27" s="52">
        <f t="shared" si="3"/>
        <v>100</v>
      </c>
      <c r="BE27">
        <f ca="1">'Monthly Collection-2024)'!CC27</f>
        <v>0</v>
      </c>
      <c r="BF27" t="str">
        <f t="shared" ca="1" si="4"/>
        <v/>
      </c>
      <c r="BG27">
        <f t="shared" ca="1" si="5"/>
        <v>0</v>
      </c>
      <c r="BH27" t="str">
        <f t="shared" ca="1" si="6"/>
        <v/>
      </c>
      <c r="BI27">
        <f t="shared" ca="1" si="7"/>
        <v>0</v>
      </c>
      <c r="BJ27" t="str">
        <f t="shared" ca="1" si="8"/>
        <v/>
      </c>
      <c r="BK27">
        <f t="shared" ca="1" si="9"/>
        <v>0</v>
      </c>
      <c r="BL27" t="str">
        <f t="shared" ca="1" si="10"/>
        <v/>
      </c>
      <c r="BM27">
        <f t="shared" ca="1" si="11"/>
        <v>0</v>
      </c>
      <c r="BN27" t="str">
        <f t="shared" ca="1" si="12"/>
        <v/>
      </c>
      <c r="BO27">
        <f t="shared" ca="1" si="13"/>
        <v>0</v>
      </c>
      <c r="BP27" t="str">
        <f t="shared" ca="1" si="14"/>
        <v/>
      </c>
      <c r="BQ27">
        <f t="shared" ca="1" si="15"/>
        <v>0</v>
      </c>
      <c r="BR27" t="str">
        <f t="shared" ca="1" si="16"/>
        <v/>
      </c>
      <c r="BS27">
        <f t="shared" ca="1" si="17"/>
        <v>0</v>
      </c>
      <c r="BT27" t="str">
        <f t="shared" ca="1" si="18"/>
        <v>R</v>
      </c>
      <c r="BU27">
        <f t="shared" ca="1" si="19"/>
        <v>0</v>
      </c>
      <c r="BV27" t="str">
        <f t="shared" ca="1" si="20"/>
        <v/>
      </c>
      <c r="BW27">
        <f t="shared" ca="1" si="21"/>
        <v>0</v>
      </c>
      <c r="BX27" t="str">
        <f t="shared" ca="1" si="22"/>
        <v>R</v>
      </c>
      <c r="BY27">
        <f t="shared" ca="1" si="23"/>
        <v>0</v>
      </c>
      <c r="BZ27" t="str">
        <f t="shared" ca="1" si="24"/>
        <v/>
      </c>
      <c r="CA27">
        <f t="shared" ca="1" si="25"/>
        <v>0</v>
      </c>
      <c r="CB27" t="str">
        <f t="shared" ca="1" si="26"/>
        <v>R</v>
      </c>
      <c r="CC27">
        <f t="shared" ca="1" si="27"/>
        <v>0</v>
      </c>
    </row>
    <row r="28" spans="2:8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>
        <f t="shared" si="1"/>
        <v>1000</v>
      </c>
      <c r="G28" s="56"/>
      <c r="H28" s="56"/>
      <c r="I28" s="56"/>
      <c r="J28" s="56">
        <f t="shared" si="29"/>
        <v>1000</v>
      </c>
      <c r="K28" s="56"/>
      <c r="L28" s="56"/>
      <c r="M28" s="56"/>
      <c r="N28" s="56">
        <f t="shared" si="39"/>
        <v>1000</v>
      </c>
      <c r="O28" s="56"/>
      <c r="P28" s="56"/>
      <c r="Q28" s="56"/>
      <c r="R28" s="56">
        <f t="shared" si="31"/>
        <v>1000</v>
      </c>
      <c r="S28" s="56"/>
      <c r="T28" s="56"/>
      <c r="U28" s="56"/>
      <c r="V28" s="56">
        <f t="shared" si="40"/>
        <v>1000</v>
      </c>
      <c r="W28" s="56">
        <v>1000</v>
      </c>
      <c r="X28" s="56"/>
      <c r="Y28" s="56">
        <v>50</v>
      </c>
      <c r="Z28" s="244"/>
      <c r="AA28" s="56"/>
      <c r="AB28" s="56"/>
      <c r="AC28" s="56"/>
      <c r="AD28" s="241"/>
      <c r="AE28" s="56"/>
      <c r="AF28" s="56"/>
      <c r="AG28" s="56"/>
      <c r="AH28" s="56">
        <f t="shared" ref="AH28:AH35" si="41">$E28*1000</f>
        <v>1000</v>
      </c>
      <c r="AI28" s="56"/>
      <c r="AJ28" s="56">
        <v>1000</v>
      </c>
      <c r="AK28" s="56">
        <v>50</v>
      </c>
      <c r="AL28" s="56">
        <f t="shared" si="35"/>
        <v>1000</v>
      </c>
      <c r="AM28" s="56"/>
      <c r="AN28" s="56"/>
      <c r="AO28" s="56"/>
      <c r="AP28" s="56">
        <f t="shared" ref="AP28:AP35" si="42">$E28*1000</f>
        <v>1000</v>
      </c>
      <c r="AQ28" s="56">
        <v>1000</v>
      </c>
      <c r="AR28" s="56"/>
      <c r="AS28" s="56"/>
      <c r="AT28" s="244"/>
      <c r="AU28" s="56"/>
      <c r="AV28" s="56"/>
      <c r="AW28" s="56"/>
      <c r="AX28" s="56">
        <f t="shared" ref="AX28:AX43" si="43">$E28*1000</f>
        <v>1000</v>
      </c>
      <c r="AY28" s="56"/>
      <c r="AZ28" s="56"/>
      <c r="BA28" s="56"/>
      <c r="BB28" s="56">
        <f t="shared" si="2"/>
        <v>12000</v>
      </c>
      <c r="BC28" s="56">
        <f t="shared" si="3"/>
        <v>100</v>
      </c>
      <c r="BE28">
        <f ca="1">'Monthly Collection-2024)'!CC28</f>
        <v>0</v>
      </c>
      <c r="BF28" t="str">
        <f t="shared" ca="1" si="4"/>
        <v/>
      </c>
      <c r="BG28">
        <f t="shared" ca="1" si="5"/>
        <v>0</v>
      </c>
      <c r="BH28" t="str">
        <f t="shared" ca="1" si="6"/>
        <v/>
      </c>
      <c r="BI28">
        <f t="shared" ca="1" si="7"/>
        <v>0</v>
      </c>
      <c r="BJ28" t="str">
        <f t="shared" ca="1" si="8"/>
        <v/>
      </c>
      <c r="BK28">
        <f t="shared" ca="1" si="9"/>
        <v>0</v>
      </c>
      <c r="BL28" t="str">
        <f t="shared" ca="1" si="10"/>
        <v/>
      </c>
      <c r="BM28">
        <f t="shared" ca="1" si="11"/>
        <v>0</v>
      </c>
      <c r="BN28" t="str">
        <f t="shared" ca="1" si="12"/>
        <v/>
      </c>
      <c r="BO28">
        <f t="shared" ca="1" si="13"/>
        <v>1000</v>
      </c>
      <c r="BP28" t="str">
        <f t="shared" ca="1" si="14"/>
        <v>G</v>
      </c>
      <c r="BQ28">
        <f t="shared" ca="1" si="15"/>
        <v>0</v>
      </c>
      <c r="BR28" t="str">
        <f t="shared" ca="1" si="16"/>
        <v>R</v>
      </c>
      <c r="BS28">
        <f t="shared" ca="1" si="17"/>
        <v>0</v>
      </c>
      <c r="BT28" t="str">
        <f t="shared" ca="1" si="18"/>
        <v/>
      </c>
      <c r="BU28">
        <f t="shared" ca="1" si="19"/>
        <v>0</v>
      </c>
      <c r="BV28" t="str">
        <f t="shared" ca="1" si="20"/>
        <v/>
      </c>
      <c r="BW28">
        <f t="shared" ca="1" si="21"/>
        <v>0</v>
      </c>
      <c r="BX28" t="str">
        <f t="shared" ca="1" si="22"/>
        <v/>
      </c>
      <c r="BY28">
        <f t="shared" ca="1" si="23"/>
        <v>1000</v>
      </c>
      <c r="BZ28" t="str">
        <f t="shared" ca="1" si="24"/>
        <v>G</v>
      </c>
      <c r="CA28">
        <f t="shared" ca="1" si="25"/>
        <v>0</v>
      </c>
      <c r="CB28" t="str">
        <f t="shared" ca="1" si="26"/>
        <v/>
      </c>
      <c r="CC28">
        <f t="shared" ca="1" si="27"/>
        <v>0</v>
      </c>
    </row>
    <row r="29" spans="2:8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>
        <f t="shared" si="1"/>
        <v>3000</v>
      </c>
      <c r="G29" s="52"/>
      <c r="H29" s="52"/>
      <c r="I29" s="52"/>
      <c r="J29" s="52">
        <f t="shared" si="29"/>
        <v>3000</v>
      </c>
      <c r="K29" s="52"/>
      <c r="L29" s="52"/>
      <c r="M29" s="52"/>
      <c r="N29" s="52">
        <f t="shared" si="39"/>
        <v>3000</v>
      </c>
      <c r="O29" s="52"/>
      <c r="P29" s="52"/>
      <c r="Q29" s="52"/>
      <c r="R29" s="52">
        <f t="shared" si="31"/>
        <v>3000</v>
      </c>
      <c r="S29" s="52"/>
      <c r="T29" s="52"/>
      <c r="U29" s="52"/>
      <c r="V29" s="52">
        <f t="shared" si="40"/>
        <v>3000</v>
      </c>
      <c r="W29" s="52"/>
      <c r="X29" s="52"/>
      <c r="Y29" s="52"/>
      <c r="Z29" s="52">
        <f t="shared" ref="Z29:Z35" si="44">$E29*1000</f>
        <v>3000</v>
      </c>
      <c r="AA29" s="52"/>
      <c r="AB29" s="52"/>
      <c r="AC29" s="52"/>
      <c r="AD29" s="52">
        <f>$E29*1000</f>
        <v>3000</v>
      </c>
      <c r="AE29" s="52"/>
      <c r="AF29" s="52"/>
      <c r="AG29" s="52"/>
      <c r="AH29" s="52">
        <f t="shared" si="41"/>
        <v>3000</v>
      </c>
      <c r="AI29" s="52"/>
      <c r="AJ29" s="52"/>
      <c r="AK29" s="52"/>
      <c r="AL29" s="52">
        <f t="shared" si="35"/>
        <v>3000</v>
      </c>
      <c r="AM29" s="52"/>
      <c r="AN29" s="52"/>
      <c r="AO29" s="52"/>
      <c r="AP29" s="52">
        <f t="shared" si="42"/>
        <v>3000</v>
      </c>
      <c r="AQ29" s="52"/>
      <c r="AR29" s="52"/>
      <c r="AS29" s="52"/>
      <c r="AT29" s="52">
        <f t="shared" ref="AT29:AT41" si="45">$E29*1000</f>
        <v>3000</v>
      </c>
      <c r="AU29" s="52"/>
      <c r="AV29" s="52"/>
      <c r="AW29" s="52"/>
      <c r="AX29" s="52">
        <f t="shared" si="43"/>
        <v>3000</v>
      </c>
      <c r="AY29" s="52"/>
      <c r="AZ29" s="52"/>
      <c r="BA29" s="52"/>
      <c r="BB29" s="52">
        <f t="shared" si="2"/>
        <v>36000</v>
      </c>
      <c r="BC29" s="52">
        <f t="shared" si="3"/>
        <v>0</v>
      </c>
      <c r="BE29">
        <f ca="1">'Monthly Collection-2024)'!CC29</f>
        <v>0</v>
      </c>
      <c r="BF29" t="str">
        <f t="shared" ca="1" si="4"/>
        <v/>
      </c>
      <c r="BG29">
        <f t="shared" ca="1" si="5"/>
        <v>0</v>
      </c>
      <c r="BH29" t="str">
        <f t="shared" ca="1" si="6"/>
        <v/>
      </c>
      <c r="BI29">
        <f t="shared" ca="1" si="7"/>
        <v>0</v>
      </c>
      <c r="BJ29" t="str">
        <f t="shared" ca="1" si="8"/>
        <v/>
      </c>
      <c r="BK29">
        <f t="shared" ca="1" si="9"/>
        <v>0</v>
      </c>
      <c r="BL29" t="str">
        <f t="shared" ca="1" si="10"/>
        <v/>
      </c>
      <c r="BM29">
        <f t="shared" ca="1" si="11"/>
        <v>0</v>
      </c>
      <c r="BN29" t="str">
        <f t="shared" ca="1" si="12"/>
        <v/>
      </c>
      <c r="BO29">
        <f t="shared" ca="1" si="13"/>
        <v>0</v>
      </c>
      <c r="BP29" t="str">
        <f t="shared" ca="1" si="14"/>
        <v/>
      </c>
      <c r="BQ29">
        <f t="shared" ca="1" si="15"/>
        <v>0</v>
      </c>
      <c r="BR29" t="str">
        <f t="shared" ca="1" si="16"/>
        <v/>
      </c>
      <c r="BS29">
        <f t="shared" ca="1" si="17"/>
        <v>0</v>
      </c>
      <c r="BT29" t="str">
        <f t="shared" ca="1" si="18"/>
        <v/>
      </c>
      <c r="BU29">
        <f t="shared" ca="1" si="19"/>
        <v>0</v>
      </c>
      <c r="BV29" t="str">
        <f t="shared" ca="1" si="20"/>
        <v/>
      </c>
      <c r="BW29">
        <f t="shared" ca="1" si="21"/>
        <v>0</v>
      </c>
      <c r="BX29" t="str">
        <f t="shared" ca="1" si="22"/>
        <v/>
      </c>
      <c r="BY29">
        <f t="shared" ca="1" si="23"/>
        <v>0</v>
      </c>
      <c r="BZ29" t="str">
        <f t="shared" ca="1" si="24"/>
        <v/>
      </c>
      <c r="CA29">
        <f t="shared" ca="1" si="25"/>
        <v>0</v>
      </c>
      <c r="CB29" t="str">
        <f t="shared" ca="1" si="26"/>
        <v/>
      </c>
      <c r="CC29">
        <f t="shared" ca="1" si="27"/>
        <v>0</v>
      </c>
    </row>
    <row r="30" spans="2:8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>
        <f t="shared" si="1"/>
        <v>1000</v>
      </c>
      <c r="G30" s="56"/>
      <c r="H30" s="56"/>
      <c r="I30" s="56"/>
      <c r="J30" s="56">
        <f t="shared" si="29"/>
        <v>1000</v>
      </c>
      <c r="K30" s="56"/>
      <c r="L30" s="56"/>
      <c r="M30" s="56"/>
      <c r="N30" s="56">
        <f t="shared" si="39"/>
        <v>1000</v>
      </c>
      <c r="O30" s="56"/>
      <c r="P30" s="56"/>
      <c r="Q30" s="56"/>
      <c r="R30" s="56">
        <f t="shared" si="31"/>
        <v>1000</v>
      </c>
      <c r="S30" s="56"/>
      <c r="T30" s="56"/>
      <c r="U30" s="56"/>
      <c r="V30" s="56">
        <f t="shared" si="40"/>
        <v>1000</v>
      </c>
      <c r="W30" s="56"/>
      <c r="X30" s="56"/>
      <c r="Y30" s="56"/>
      <c r="Z30" s="56">
        <f t="shared" si="44"/>
        <v>1000</v>
      </c>
      <c r="AA30" s="56"/>
      <c r="AB30" s="56"/>
      <c r="AC30" s="56"/>
      <c r="AD30" s="56">
        <f>$E30*1000</f>
        <v>1000</v>
      </c>
      <c r="AE30" s="56"/>
      <c r="AF30" s="56"/>
      <c r="AG30" s="56"/>
      <c r="AH30" s="56">
        <f t="shared" si="41"/>
        <v>1000</v>
      </c>
      <c r="AI30" s="56"/>
      <c r="AJ30" s="56"/>
      <c r="AK30" s="56"/>
      <c r="AL30" s="56">
        <f t="shared" si="35"/>
        <v>1000</v>
      </c>
      <c r="AM30" s="56"/>
      <c r="AN30" s="56"/>
      <c r="AO30" s="56"/>
      <c r="AP30" s="56">
        <f t="shared" si="42"/>
        <v>1000</v>
      </c>
      <c r="AQ30" s="56"/>
      <c r="AR30" s="56"/>
      <c r="AS30" s="56"/>
      <c r="AT30" s="56">
        <f t="shared" si="45"/>
        <v>1000</v>
      </c>
      <c r="AU30" s="56"/>
      <c r="AV30" s="56"/>
      <c r="AW30" s="56"/>
      <c r="AX30" s="56">
        <f t="shared" si="43"/>
        <v>1000</v>
      </c>
      <c r="AY30" s="56"/>
      <c r="AZ30" s="56"/>
      <c r="BA30" s="56"/>
      <c r="BB30" s="56">
        <f t="shared" si="2"/>
        <v>12000</v>
      </c>
      <c r="BC30" s="56">
        <f t="shared" si="3"/>
        <v>0</v>
      </c>
      <c r="BE30">
        <f ca="1">'Monthly Collection-2024)'!CC30</f>
        <v>0</v>
      </c>
      <c r="BF30" t="str">
        <f t="shared" ca="1" si="4"/>
        <v/>
      </c>
      <c r="BG30">
        <f t="shared" ca="1" si="5"/>
        <v>0</v>
      </c>
      <c r="BH30" t="str">
        <f t="shared" ca="1" si="6"/>
        <v/>
      </c>
      <c r="BI30">
        <f t="shared" ca="1" si="7"/>
        <v>0</v>
      </c>
      <c r="BJ30" t="str">
        <f t="shared" ca="1" si="8"/>
        <v/>
      </c>
      <c r="BK30">
        <f t="shared" ca="1" si="9"/>
        <v>0</v>
      </c>
      <c r="BL30" t="str">
        <f t="shared" ca="1" si="10"/>
        <v/>
      </c>
      <c r="BM30">
        <f t="shared" ca="1" si="11"/>
        <v>0</v>
      </c>
      <c r="BN30" t="str">
        <f t="shared" ca="1" si="12"/>
        <v/>
      </c>
      <c r="BO30">
        <f t="shared" ca="1" si="13"/>
        <v>0</v>
      </c>
      <c r="BP30" t="str">
        <f t="shared" ca="1" si="14"/>
        <v/>
      </c>
      <c r="BQ30">
        <f t="shared" ca="1" si="15"/>
        <v>0</v>
      </c>
      <c r="BR30" t="str">
        <f t="shared" ca="1" si="16"/>
        <v/>
      </c>
      <c r="BS30">
        <f t="shared" ca="1" si="17"/>
        <v>0</v>
      </c>
      <c r="BT30" t="str">
        <f t="shared" ca="1" si="18"/>
        <v/>
      </c>
      <c r="BU30">
        <f t="shared" ca="1" si="19"/>
        <v>0</v>
      </c>
      <c r="BV30" t="str">
        <f t="shared" ca="1" si="20"/>
        <v/>
      </c>
      <c r="BW30">
        <f t="shared" ca="1" si="21"/>
        <v>0</v>
      </c>
      <c r="BX30" t="str">
        <f t="shared" ca="1" si="22"/>
        <v/>
      </c>
      <c r="BY30">
        <f t="shared" ca="1" si="23"/>
        <v>0</v>
      </c>
      <c r="BZ30" t="str">
        <f t="shared" ca="1" si="24"/>
        <v/>
      </c>
      <c r="CA30">
        <f t="shared" ca="1" si="25"/>
        <v>0</v>
      </c>
      <c r="CB30" t="str">
        <f t="shared" ca="1" si="26"/>
        <v/>
      </c>
      <c r="CC30">
        <f t="shared" ca="1" si="27"/>
        <v>0</v>
      </c>
    </row>
    <row r="31" spans="2:8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>
        <f t="shared" si="1"/>
        <v>1000</v>
      </c>
      <c r="G31" s="52"/>
      <c r="H31" s="52"/>
      <c r="I31" s="52"/>
      <c r="J31" s="52">
        <f t="shared" si="29"/>
        <v>1000</v>
      </c>
      <c r="K31" s="52"/>
      <c r="L31" s="52"/>
      <c r="M31" s="52">
        <v>50</v>
      </c>
      <c r="N31" s="52">
        <f t="shared" si="39"/>
        <v>1000</v>
      </c>
      <c r="O31" s="52"/>
      <c r="P31" s="52"/>
      <c r="Q31" s="52"/>
      <c r="R31" s="243"/>
      <c r="S31" s="52"/>
      <c r="T31" s="52"/>
      <c r="U31" s="52"/>
      <c r="V31" s="52">
        <f t="shared" si="40"/>
        <v>1000</v>
      </c>
      <c r="W31" s="52"/>
      <c r="X31" s="52">
        <v>1000</v>
      </c>
      <c r="Y31" s="52">
        <v>50</v>
      </c>
      <c r="Z31" s="52">
        <f t="shared" si="44"/>
        <v>1000</v>
      </c>
      <c r="AA31" s="52"/>
      <c r="AB31" s="52"/>
      <c r="AC31" s="52"/>
      <c r="AD31" s="52">
        <f>$E31*1000</f>
        <v>1000</v>
      </c>
      <c r="AE31" s="52"/>
      <c r="AF31" s="52"/>
      <c r="AG31" s="52"/>
      <c r="AH31" s="52">
        <f t="shared" si="41"/>
        <v>1000</v>
      </c>
      <c r="AI31" s="52"/>
      <c r="AJ31" s="52"/>
      <c r="AK31" s="52"/>
      <c r="AL31" s="52">
        <f t="shared" si="35"/>
        <v>1000</v>
      </c>
      <c r="AM31" s="52"/>
      <c r="AN31" s="52"/>
      <c r="AO31" s="52"/>
      <c r="AP31" s="52">
        <f t="shared" si="42"/>
        <v>1000</v>
      </c>
      <c r="AQ31" s="52"/>
      <c r="AR31" s="52"/>
      <c r="AS31" s="52"/>
      <c r="AT31" s="52">
        <f t="shared" si="45"/>
        <v>1000</v>
      </c>
      <c r="AU31" s="52"/>
      <c r="AV31" s="52"/>
      <c r="AW31" s="52"/>
      <c r="AX31" s="52">
        <f t="shared" si="43"/>
        <v>1000</v>
      </c>
      <c r="AY31" s="52"/>
      <c r="AZ31" s="52"/>
      <c r="BA31" s="52"/>
      <c r="BB31" s="52">
        <f t="shared" si="2"/>
        <v>12000</v>
      </c>
      <c r="BC31" s="52">
        <f t="shared" si="3"/>
        <v>100</v>
      </c>
      <c r="BE31">
        <f ca="1">'Monthly Collection-2024)'!CC31</f>
        <v>0</v>
      </c>
      <c r="BF31" t="str">
        <f t="shared" ca="1" si="4"/>
        <v/>
      </c>
      <c r="BG31">
        <f t="shared" ca="1" si="5"/>
        <v>0</v>
      </c>
      <c r="BH31" t="str">
        <f t="shared" ca="1" si="6"/>
        <v/>
      </c>
      <c r="BI31">
        <f t="shared" ca="1" si="7"/>
        <v>0</v>
      </c>
      <c r="BJ31" t="str">
        <f t="shared" ca="1" si="8"/>
        <v/>
      </c>
      <c r="BK31">
        <f t="shared" ca="1" si="9"/>
        <v>0</v>
      </c>
      <c r="BL31" t="str">
        <f t="shared" ca="1" si="10"/>
        <v>R</v>
      </c>
      <c r="BM31">
        <f t="shared" ca="1" si="11"/>
        <v>0</v>
      </c>
      <c r="BN31" t="str">
        <f t="shared" ca="1" si="12"/>
        <v/>
      </c>
      <c r="BO31">
        <f t="shared" ca="1" si="13"/>
        <v>0</v>
      </c>
      <c r="BP31" t="str">
        <f t="shared" ca="1" si="14"/>
        <v/>
      </c>
      <c r="BQ31">
        <f t="shared" ca="1" si="15"/>
        <v>0</v>
      </c>
      <c r="BR31" t="str">
        <f t="shared" ca="1" si="16"/>
        <v/>
      </c>
      <c r="BS31">
        <f t="shared" ca="1" si="17"/>
        <v>0</v>
      </c>
      <c r="BT31" t="str">
        <f t="shared" ca="1" si="18"/>
        <v/>
      </c>
      <c r="BU31">
        <f t="shared" ca="1" si="19"/>
        <v>0</v>
      </c>
      <c r="BV31" t="str">
        <f t="shared" ca="1" si="20"/>
        <v/>
      </c>
      <c r="BW31">
        <f t="shared" ca="1" si="21"/>
        <v>0</v>
      </c>
      <c r="BX31" t="str">
        <f t="shared" ca="1" si="22"/>
        <v/>
      </c>
      <c r="BY31">
        <f t="shared" ca="1" si="23"/>
        <v>0</v>
      </c>
      <c r="BZ31" t="str">
        <f t="shared" ca="1" si="24"/>
        <v/>
      </c>
      <c r="CA31">
        <f t="shared" ca="1" si="25"/>
        <v>0</v>
      </c>
      <c r="CB31" t="str">
        <f t="shared" ca="1" si="26"/>
        <v/>
      </c>
      <c r="CC31">
        <f t="shared" ca="1" si="27"/>
        <v>0</v>
      </c>
    </row>
    <row r="32" spans="2:8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>
        <f t="shared" si="1"/>
        <v>1000</v>
      </c>
      <c r="G32" s="56"/>
      <c r="H32" s="56"/>
      <c r="I32" s="56"/>
      <c r="J32" s="56">
        <f t="shared" si="29"/>
        <v>1000</v>
      </c>
      <c r="K32" s="56"/>
      <c r="L32" s="56"/>
      <c r="M32" s="56">
        <v>50</v>
      </c>
      <c r="N32" s="56">
        <f t="shared" si="39"/>
        <v>1000</v>
      </c>
      <c r="O32" s="56"/>
      <c r="P32" s="56"/>
      <c r="Q32" s="56"/>
      <c r="R32" s="241"/>
      <c r="S32" s="56"/>
      <c r="T32" s="56"/>
      <c r="U32" s="56"/>
      <c r="V32" s="56">
        <f t="shared" si="40"/>
        <v>1000</v>
      </c>
      <c r="W32" s="56"/>
      <c r="X32" s="56">
        <v>1000</v>
      </c>
      <c r="Y32" s="56">
        <v>50</v>
      </c>
      <c r="Z32" s="56">
        <f t="shared" si="44"/>
        <v>1000</v>
      </c>
      <c r="AA32" s="56"/>
      <c r="AB32" s="56"/>
      <c r="AC32" s="56"/>
      <c r="AD32" s="56">
        <f>$E32*1000</f>
        <v>1000</v>
      </c>
      <c r="AE32" s="56"/>
      <c r="AF32" s="56"/>
      <c r="AG32" s="56"/>
      <c r="AH32" s="56">
        <f t="shared" si="41"/>
        <v>1000</v>
      </c>
      <c r="AI32" s="56"/>
      <c r="AJ32" s="56"/>
      <c r="AK32" s="56"/>
      <c r="AL32" s="56">
        <f t="shared" si="35"/>
        <v>1000</v>
      </c>
      <c r="AM32" s="56"/>
      <c r="AN32" s="56"/>
      <c r="AO32" s="56"/>
      <c r="AP32" s="56">
        <f t="shared" si="42"/>
        <v>1000</v>
      </c>
      <c r="AQ32" s="56"/>
      <c r="AR32" s="56"/>
      <c r="AS32" s="56"/>
      <c r="AT32" s="56">
        <f t="shared" si="45"/>
        <v>1000</v>
      </c>
      <c r="AU32" s="56"/>
      <c r="AV32" s="56"/>
      <c r="AW32" s="56"/>
      <c r="AX32" s="56">
        <f t="shared" si="43"/>
        <v>1000</v>
      </c>
      <c r="AY32" s="56"/>
      <c r="AZ32" s="56"/>
      <c r="BA32" s="56"/>
      <c r="BB32" s="56">
        <f t="shared" si="2"/>
        <v>12000</v>
      </c>
      <c r="BC32" s="56">
        <f t="shared" si="3"/>
        <v>100</v>
      </c>
      <c r="BE32">
        <f ca="1">'Monthly Collection-2024)'!CC32</f>
        <v>0</v>
      </c>
      <c r="BF32" t="str">
        <f t="shared" ca="1" si="4"/>
        <v/>
      </c>
      <c r="BG32">
        <f t="shared" ca="1" si="5"/>
        <v>0</v>
      </c>
      <c r="BH32" t="str">
        <f t="shared" ca="1" si="6"/>
        <v/>
      </c>
      <c r="BI32">
        <f t="shared" ca="1" si="7"/>
        <v>0</v>
      </c>
      <c r="BJ32" t="str">
        <f t="shared" ca="1" si="8"/>
        <v/>
      </c>
      <c r="BK32">
        <f t="shared" ca="1" si="9"/>
        <v>0</v>
      </c>
      <c r="BL32" t="str">
        <f t="shared" ca="1" si="10"/>
        <v>R</v>
      </c>
      <c r="BM32">
        <f t="shared" ca="1" si="11"/>
        <v>0</v>
      </c>
      <c r="BN32" t="str">
        <f t="shared" ca="1" si="12"/>
        <v/>
      </c>
      <c r="BO32">
        <f t="shared" ca="1" si="13"/>
        <v>0</v>
      </c>
      <c r="BP32" t="str">
        <f t="shared" ca="1" si="14"/>
        <v/>
      </c>
      <c r="BQ32">
        <f t="shared" ca="1" si="15"/>
        <v>0</v>
      </c>
      <c r="BR32" t="str">
        <f t="shared" ca="1" si="16"/>
        <v/>
      </c>
      <c r="BS32">
        <f t="shared" ca="1" si="17"/>
        <v>0</v>
      </c>
      <c r="BT32" t="str">
        <f t="shared" ca="1" si="18"/>
        <v/>
      </c>
      <c r="BU32">
        <f t="shared" ca="1" si="19"/>
        <v>0</v>
      </c>
      <c r="BV32" t="str">
        <f t="shared" ca="1" si="20"/>
        <v/>
      </c>
      <c r="BW32">
        <f t="shared" ca="1" si="21"/>
        <v>0</v>
      </c>
      <c r="BX32" t="str">
        <f t="shared" ca="1" si="22"/>
        <v/>
      </c>
      <c r="BY32">
        <f t="shared" ca="1" si="23"/>
        <v>0</v>
      </c>
      <c r="BZ32" t="str">
        <f t="shared" ca="1" si="24"/>
        <v/>
      </c>
      <c r="CA32">
        <f t="shared" ca="1" si="25"/>
        <v>0</v>
      </c>
      <c r="CB32" t="str">
        <f t="shared" ca="1" si="26"/>
        <v/>
      </c>
      <c r="CC32">
        <f t="shared" ca="1" si="27"/>
        <v>0</v>
      </c>
    </row>
    <row r="33" spans="2:8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>
        <f t="shared" si="1"/>
        <v>2000</v>
      </c>
      <c r="G33" s="52"/>
      <c r="H33" s="52"/>
      <c r="I33" s="52"/>
      <c r="J33" s="52">
        <f t="shared" si="29"/>
        <v>2000</v>
      </c>
      <c r="K33" s="52"/>
      <c r="L33" s="52"/>
      <c r="M33" s="52"/>
      <c r="N33" s="52">
        <f t="shared" si="39"/>
        <v>2000</v>
      </c>
      <c r="O33" s="52"/>
      <c r="P33" s="52"/>
      <c r="Q33" s="52"/>
      <c r="R33" s="52">
        <f t="shared" ref="R33:R41" si="46">$E33*1000</f>
        <v>2000</v>
      </c>
      <c r="S33" s="52"/>
      <c r="T33" s="52"/>
      <c r="U33" s="52"/>
      <c r="V33" s="52">
        <f t="shared" si="40"/>
        <v>2000</v>
      </c>
      <c r="W33" s="52"/>
      <c r="X33" s="52"/>
      <c r="Y33" s="52"/>
      <c r="Z33" s="52">
        <f t="shared" si="44"/>
        <v>2000</v>
      </c>
      <c r="AA33" s="52"/>
      <c r="AB33" s="52"/>
      <c r="AC33" s="52"/>
      <c r="AD33" s="243"/>
      <c r="AE33" s="52"/>
      <c r="AF33" s="52"/>
      <c r="AG33" s="52"/>
      <c r="AH33" s="52">
        <f t="shared" si="41"/>
        <v>2000</v>
      </c>
      <c r="AI33" s="52"/>
      <c r="AJ33" s="52">
        <v>2000</v>
      </c>
      <c r="AK33" s="52">
        <v>100</v>
      </c>
      <c r="AL33" s="52">
        <f t="shared" si="35"/>
        <v>2000</v>
      </c>
      <c r="AM33" s="52"/>
      <c r="AN33" s="52"/>
      <c r="AO33" s="52"/>
      <c r="AP33" s="52">
        <f t="shared" si="42"/>
        <v>2000</v>
      </c>
      <c r="AQ33" s="52"/>
      <c r="AR33" s="52"/>
      <c r="AS33" s="52"/>
      <c r="AT33" s="52">
        <f t="shared" si="45"/>
        <v>2000</v>
      </c>
      <c r="AU33" s="52"/>
      <c r="AV33" s="52"/>
      <c r="AW33" s="52"/>
      <c r="AX33" s="52">
        <f t="shared" si="43"/>
        <v>2000</v>
      </c>
      <c r="AY33" s="52"/>
      <c r="AZ33" s="52"/>
      <c r="BA33" s="52"/>
      <c r="BB33" s="52">
        <f t="shared" si="2"/>
        <v>24000</v>
      </c>
      <c r="BC33" s="52">
        <f t="shared" si="3"/>
        <v>100</v>
      </c>
      <c r="BE33">
        <f ca="1">'Monthly Collection-2024)'!CC33</f>
        <v>0</v>
      </c>
      <c r="BF33" t="str">
        <f t="shared" ca="1" si="4"/>
        <v/>
      </c>
      <c r="BG33">
        <f t="shared" ca="1" si="5"/>
        <v>0</v>
      </c>
      <c r="BH33" t="str">
        <f t="shared" ca="1" si="6"/>
        <v/>
      </c>
      <c r="BI33">
        <f t="shared" ca="1" si="7"/>
        <v>0</v>
      </c>
      <c r="BJ33" t="str">
        <f t="shared" ca="1" si="8"/>
        <v/>
      </c>
      <c r="BK33">
        <f t="shared" ca="1" si="9"/>
        <v>0</v>
      </c>
      <c r="BL33" t="str">
        <f t="shared" ca="1" si="10"/>
        <v/>
      </c>
      <c r="BM33">
        <f t="shared" ca="1" si="11"/>
        <v>0</v>
      </c>
      <c r="BN33" t="str">
        <f t="shared" ca="1" si="12"/>
        <v/>
      </c>
      <c r="BO33">
        <f t="shared" ca="1" si="13"/>
        <v>0</v>
      </c>
      <c r="BP33" t="str">
        <f t="shared" ca="1" si="14"/>
        <v/>
      </c>
      <c r="BQ33">
        <f t="shared" ca="1" si="15"/>
        <v>0</v>
      </c>
      <c r="BR33" t="str">
        <f t="shared" ca="1" si="16"/>
        <v>R</v>
      </c>
      <c r="BS33">
        <f t="shared" ca="1" si="17"/>
        <v>0</v>
      </c>
      <c r="BT33" t="str">
        <f t="shared" ca="1" si="18"/>
        <v/>
      </c>
      <c r="BU33">
        <f t="shared" ca="1" si="19"/>
        <v>0</v>
      </c>
      <c r="BV33" t="str">
        <f t="shared" ca="1" si="20"/>
        <v/>
      </c>
      <c r="BW33">
        <f t="shared" ca="1" si="21"/>
        <v>0</v>
      </c>
      <c r="BX33" t="str">
        <f t="shared" ca="1" si="22"/>
        <v/>
      </c>
      <c r="BY33">
        <f t="shared" ca="1" si="23"/>
        <v>0</v>
      </c>
      <c r="BZ33" t="str">
        <f t="shared" ca="1" si="24"/>
        <v/>
      </c>
      <c r="CA33">
        <f t="shared" ca="1" si="25"/>
        <v>0</v>
      </c>
      <c r="CB33" t="str">
        <f t="shared" ca="1" si="26"/>
        <v/>
      </c>
      <c r="CC33">
        <f t="shared" ca="1" si="27"/>
        <v>0</v>
      </c>
    </row>
    <row r="34" spans="2:8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>
        <f t="shared" si="1"/>
        <v>2000</v>
      </c>
      <c r="G34" s="56"/>
      <c r="H34" s="56"/>
      <c r="I34" s="56"/>
      <c r="J34" s="241"/>
      <c r="K34" s="56"/>
      <c r="L34" s="56"/>
      <c r="M34" s="56"/>
      <c r="N34" s="56">
        <f t="shared" si="39"/>
        <v>2000</v>
      </c>
      <c r="O34" s="56"/>
      <c r="P34" s="56">
        <v>2000</v>
      </c>
      <c r="Q34" s="56">
        <v>100</v>
      </c>
      <c r="R34" s="56">
        <f t="shared" si="46"/>
        <v>2000</v>
      </c>
      <c r="S34" s="56"/>
      <c r="T34" s="56"/>
      <c r="U34" s="56"/>
      <c r="V34" s="56">
        <f t="shared" si="40"/>
        <v>2000</v>
      </c>
      <c r="W34" s="56"/>
      <c r="X34" s="56"/>
      <c r="Y34" s="56"/>
      <c r="Z34" s="56">
        <f t="shared" si="44"/>
        <v>2000</v>
      </c>
      <c r="AA34" s="56"/>
      <c r="AB34" s="56"/>
      <c r="AC34" s="56"/>
      <c r="AD34" s="56">
        <f>$E34*1000</f>
        <v>2000</v>
      </c>
      <c r="AE34" s="56"/>
      <c r="AF34" s="56"/>
      <c r="AG34" s="56"/>
      <c r="AH34" s="56">
        <f t="shared" si="41"/>
        <v>2000</v>
      </c>
      <c r="AI34" s="56"/>
      <c r="AJ34" s="56"/>
      <c r="AK34" s="56"/>
      <c r="AL34" s="56">
        <f t="shared" si="35"/>
        <v>2000</v>
      </c>
      <c r="AM34" s="56"/>
      <c r="AN34" s="56"/>
      <c r="AO34" s="56"/>
      <c r="AP34" s="56">
        <f t="shared" si="42"/>
        <v>2000</v>
      </c>
      <c r="AQ34" s="56"/>
      <c r="AR34" s="56"/>
      <c r="AS34" s="56"/>
      <c r="AT34" s="56">
        <f t="shared" si="45"/>
        <v>2000</v>
      </c>
      <c r="AU34" s="56"/>
      <c r="AV34" s="56"/>
      <c r="AW34" s="56"/>
      <c r="AX34" s="56">
        <f t="shared" si="43"/>
        <v>2000</v>
      </c>
      <c r="AY34" s="56"/>
      <c r="AZ34" s="56"/>
      <c r="BA34" s="56"/>
      <c r="BB34" s="56">
        <f t="shared" si="2"/>
        <v>24000</v>
      </c>
      <c r="BC34" s="56">
        <f t="shared" si="3"/>
        <v>100</v>
      </c>
      <c r="BE34">
        <f ca="1">'Monthly Collection-2024)'!CC34</f>
        <v>0</v>
      </c>
      <c r="BF34" t="str">
        <f t="shared" ca="1" si="4"/>
        <v/>
      </c>
      <c r="BG34">
        <f t="shared" ca="1" si="5"/>
        <v>0</v>
      </c>
      <c r="BH34" t="str">
        <f t="shared" ca="1" si="6"/>
        <v>R</v>
      </c>
      <c r="BI34">
        <f t="shared" ca="1" si="7"/>
        <v>0</v>
      </c>
      <c r="BJ34" t="str">
        <f t="shared" ca="1" si="8"/>
        <v/>
      </c>
      <c r="BK34">
        <f t="shared" ca="1" si="9"/>
        <v>0</v>
      </c>
      <c r="BL34" t="str">
        <f t="shared" ca="1" si="10"/>
        <v/>
      </c>
      <c r="BM34">
        <f t="shared" ca="1" si="11"/>
        <v>0</v>
      </c>
      <c r="BN34" t="str">
        <f t="shared" ca="1" si="12"/>
        <v/>
      </c>
      <c r="BO34">
        <f t="shared" ca="1" si="13"/>
        <v>0</v>
      </c>
      <c r="BP34" t="str">
        <f t="shared" ca="1" si="14"/>
        <v/>
      </c>
      <c r="BQ34">
        <f t="shared" ca="1" si="15"/>
        <v>0</v>
      </c>
      <c r="BR34" t="str">
        <f t="shared" ca="1" si="16"/>
        <v/>
      </c>
      <c r="BS34">
        <f t="shared" ca="1" si="17"/>
        <v>0</v>
      </c>
      <c r="BT34" t="str">
        <f t="shared" ca="1" si="18"/>
        <v/>
      </c>
      <c r="BU34">
        <f t="shared" ca="1" si="19"/>
        <v>0</v>
      </c>
      <c r="BV34" t="str">
        <f t="shared" ca="1" si="20"/>
        <v/>
      </c>
      <c r="BW34">
        <f t="shared" ca="1" si="21"/>
        <v>0</v>
      </c>
      <c r="BX34" t="str">
        <f t="shared" ca="1" si="22"/>
        <v/>
      </c>
      <c r="BY34">
        <f t="shared" ca="1" si="23"/>
        <v>0</v>
      </c>
      <c r="BZ34" t="str">
        <f t="shared" ca="1" si="24"/>
        <v/>
      </c>
      <c r="CA34">
        <f t="shared" ca="1" si="25"/>
        <v>0</v>
      </c>
      <c r="CB34" t="str">
        <f t="shared" ca="1" si="26"/>
        <v/>
      </c>
      <c r="CC34">
        <f t="shared" ca="1" si="27"/>
        <v>0</v>
      </c>
    </row>
    <row r="35" spans="2:8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243"/>
      <c r="G35" s="52"/>
      <c r="H35" s="52">
        <v>6000</v>
      </c>
      <c r="I35" s="52">
        <v>300</v>
      </c>
      <c r="J35" s="52">
        <f t="shared" ref="J35:J47" si="47">$E35*1000</f>
        <v>2000</v>
      </c>
      <c r="K35" s="52"/>
      <c r="L35" s="52">
        <v>2000</v>
      </c>
      <c r="M35" s="52">
        <v>100</v>
      </c>
      <c r="N35" s="52">
        <f t="shared" si="39"/>
        <v>2000</v>
      </c>
      <c r="O35" s="52"/>
      <c r="P35" s="52"/>
      <c r="Q35" s="52"/>
      <c r="R35" s="52">
        <f t="shared" si="46"/>
        <v>2000</v>
      </c>
      <c r="S35" s="52"/>
      <c r="T35" s="52"/>
      <c r="U35" s="52"/>
      <c r="V35" s="52">
        <f t="shared" si="40"/>
        <v>2000</v>
      </c>
      <c r="W35" s="52"/>
      <c r="X35" s="52"/>
      <c r="Y35" s="52"/>
      <c r="Z35" s="52">
        <f t="shared" si="44"/>
        <v>2000</v>
      </c>
      <c r="AA35" s="52"/>
      <c r="AB35" s="52"/>
      <c r="AC35" s="52"/>
      <c r="AD35" s="52">
        <f>$E35*1000</f>
        <v>2000</v>
      </c>
      <c r="AE35" s="52"/>
      <c r="AF35" s="52"/>
      <c r="AG35" s="52"/>
      <c r="AH35" s="52">
        <f t="shared" si="41"/>
        <v>2000</v>
      </c>
      <c r="AI35" s="52"/>
      <c r="AJ35" s="52"/>
      <c r="AK35" s="52"/>
      <c r="AL35" s="52">
        <f t="shared" si="35"/>
        <v>2000</v>
      </c>
      <c r="AM35" s="52"/>
      <c r="AN35" s="52"/>
      <c r="AO35" s="52"/>
      <c r="AP35" s="52">
        <f t="shared" si="42"/>
        <v>2000</v>
      </c>
      <c r="AQ35" s="52"/>
      <c r="AR35" s="52"/>
      <c r="AS35" s="52"/>
      <c r="AT35" s="52">
        <f t="shared" si="45"/>
        <v>2000</v>
      </c>
      <c r="AU35" s="52"/>
      <c r="AV35" s="52"/>
      <c r="AW35" s="52"/>
      <c r="AX35" s="52">
        <f t="shared" si="43"/>
        <v>2000</v>
      </c>
      <c r="AY35" s="52"/>
      <c r="AZ35" s="52"/>
      <c r="BA35" s="52"/>
      <c r="BB35" s="52">
        <f t="shared" si="2"/>
        <v>30000</v>
      </c>
      <c r="BC35" s="52">
        <f t="shared" si="3"/>
        <v>400</v>
      </c>
      <c r="BE35">
        <f ca="1">'Monthly Collection-2024)'!CC35</f>
        <v>0</v>
      </c>
      <c r="BF35" t="str">
        <f t="shared" ca="1" si="4"/>
        <v>R</v>
      </c>
      <c r="BG35">
        <f t="shared" ca="1" si="5"/>
        <v>0</v>
      </c>
      <c r="BH35" t="str">
        <f t="shared" ca="1" si="6"/>
        <v/>
      </c>
      <c r="BI35">
        <f t="shared" ca="1" si="7"/>
        <v>0</v>
      </c>
      <c r="BJ35" t="str">
        <f t="shared" ca="1" si="8"/>
        <v/>
      </c>
      <c r="BK35">
        <f t="shared" ca="1" si="9"/>
        <v>0</v>
      </c>
      <c r="BL35" t="str">
        <f t="shared" ca="1" si="10"/>
        <v/>
      </c>
      <c r="BM35">
        <f t="shared" ca="1" si="11"/>
        <v>0</v>
      </c>
      <c r="BN35" t="str">
        <f t="shared" ca="1" si="12"/>
        <v/>
      </c>
      <c r="BO35">
        <f t="shared" ca="1" si="13"/>
        <v>0</v>
      </c>
      <c r="BP35" t="str">
        <f t="shared" ca="1" si="14"/>
        <v/>
      </c>
      <c r="BQ35">
        <f t="shared" ca="1" si="15"/>
        <v>0</v>
      </c>
      <c r="BR35" t="str">
        <f t="shared" ca="1" si="16"/>
        <v/>
      </c>
      <c r="BS35">
        <f t="shared" ca="1" si="17"/>
        <v>0</v>
      </c>
      <c r="BT35" t="str">
        <f t="shared" ca="1" si="18"/>
        <v/>
      </c>
      <c r="BU35">
        <f t="shared" ca="1" si="19"/>
        <v>0</v>
      </c>
      <c r="BV35" t="str">
        <f t="shared" ca="1" si="20"/>
        <v/>
      </c>
      <c r="BW35">
        <f t="shared" ca="1" si="21"/>
        <v>0</v>
      </c>
      <c r="BX35" t="str">
        <f t="shared" ca="1" si="22"/>
        <v/>
      </c>
      <c r="BY35">
        <f t="shared" ca="1" si="23"/>
        <v>0</v>
      </c>
      <c r="BZ35" t="str">
        <f t="shared" ca="1" si="24"/>
        <v/>
      </c>
      <c r="CA35">
        <f t="shared" ca="1" si="25"/>
        <v>0</v>
      </c>
      <c r="CB35" t="str">
        <f t="shared" ca="1" si="26"/>
        <v/>
      </c>
      <c r="CC35">
        <f t="shared" ca="1" si="27"/>
        <v>0</v>
      </c>
    </row>
    <row r="36" spans="2:81" ht="14.25" customHeight="1" x14ac:dyDescent="0.3">
      <c r="B36" s="55">
        <f t="shared" ref="B36:B67" si="48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>
        <f t="shared" ref="F36:F43" si="49">$E36*1000</f>
        <v>1000</v>
      </c>
      <c r="G36" s="56"/>
      <c r="H36" s="56"/>
      <c r="I36" s="56"/>
      <c r="J36" s="56">
        <f t="shared" si="47"/>
        <v>1000</v>
      </c>
      <c r="K36" s="56"/>
      <c r="L36" s="56"/>
      <c r="M36" s="56"/>
      <c r="N36" s="56">
        <f t="shared" si="39"/>
        <v>1000</v>
      </c>
      <c r="O36" s="56"/>
      <c r="P36" s="56"/>
      <c r="Q36" s="56"/>
      <c r="R36" s="56">
        <f t="shared" si="46"/>
        <v>1000</v>
      </c>
      <c r="S36" s="56"/>
      <c r="T36" s="56"/>
      <c r="U36" s="56"/>
      <c r="V36" s="241"/>
      <c r="W36" s="56"/>
      <c r="X36" s="56"/>
      <c r="Y36" s="56"/>
      <c r="Z36" s="241"/>
      <c r="AA36" s="56"/>
      <c r="AB36" s="56"/>
      <c r="AC36" s="56"/>
      <c r="AD36" s="241"/>
      <c r="AE36" s="56"/>
      <c r="AF36" s="56"/>
      <c r="AG36" s="56"/>
      <c r="AH36" s="241"/>
      <c r="AI36" s="56"/>
      <c r="AJ36" s="56">
        <v>2000</v>
      </c>
      <c r="AK36" s="56">
        <v>100</v>
      </c>
      <c r="AL36" s="241"/>
      <c r="AM36" s="56"/>
      <c r="AN36" s="56"/>
      <c r="AO36" s="56"/>
      <c r="AP36" s="241"/>
      <c r="AQ36" s="56"/>
      <c r="AR36" s="56">
        <v>1000</v>
      </c>
      <c r="AS36" s="56">
        <v>50</v>
      </c>
      <c r="AT36" s="56">
        <f t="shared" si="45"/>
        <v>1000</v>
      </c>
      <c r="AU36" s="56"/>
      <c r="AV36" s="56">
        <v>3000</v>
      </c>
      <c r="AW36" s="56">
        <v>150</v>
      </c>
      <c r="AX36" s="56">
        <f t="shared" si="43"/>
        <v>1000</v>
      </c>
      <c r="AY36" s="56"/>
      <c r="AZ36" s="56"/>
      <c r="BA36" s="56"/>
      <c r="BB36" s="56">
        <f t="shared" ref="BB36:BB67" si="50">F36+G36+H36+J36+K36+L36+N36+O36+P36+R36+S36+T36+V36+W36+X36+Z36+AA36+AB36+AD36+AE36+AF36+AH36+AI36+AJ36+AL36+AM36+AN36+AP36+AQ36+AR36+AT36+AU36+AV36+AX36+AY36+AZ36</f>
        <v>12000</v>
      </c>
      <c r="BC36" s="56">
        <f t="shared" ref="BC36:BC67" si="51">I36+M36+Q36+U36+Y36+AC36+AG36+AK36+AO36+AS36+AW36+BA36</f>
        <v>300</v>
      </c>
      <c r="BE36">
        <f ca="1">'Monthly Collection-2024)'!CC36</f>
        <v>0</v>
      </c>
      <c r="BF36" t="str">
        <f t="shared" ref="BF36:BF67" ca="1" si="52">IF(N(F36)&gt;=$E36*1000,"",IF(AND($E36&gt;0,BE36&gt;=$E36*1000),"G",IF(F$2&lt;=TODAY(),"R","")))</f>
        <v/>
      </c>
      <c r="BG36">
        <f t="shared" ref="BG36:BG67" ca="1" si="53">BE36-IF(BF36="G",$E36*1000,0)+N(G36)</f>
        <v>0</v>
      </c>
      <c r="BH36" t="str">
        <f t="shared" ref="BH36:BH67" ca="1" si="54">IF(N(J36)&gt;=$E36*1000,"",IF(AND($E36&gt;0,BG36&gt;=$E36*1000),"G",IF(J$2&lt;=TODAY(),"R","")))</f>
        <v/>
      </c>
      <c r="BI36">
        <f t="shared" ref="BI36:BI67" ca="1" si="55">BG36-IF(BH36="G",$E36*1000,0)+N(K36)</f>
        <v>0</v>
      </c>
      <c r="BJ36" t="str">
        <f t="shared" ref="BJ36:BJ67" ca="1" si="56">IF(N(N36)&gt;=$E36*1000,"",IF(AND($E36&gt;0,BI36&gt;=$E36*1000),"G",IF(N$2&lt;=TODAY(),"R","")))</f>
        <v/>
      </c>
      <c r="BK36">
        <f t="shared" ref="BK36:BK67" ca="1" si="57">BI36-IF(BJ36="G",$E36*1000,0)+N(O36)</f>
        <v>0</v>
      </c>
      <c r="BL36" t="str">
        <f t="shared" ref="BL36:BL67" ca="1" si="58">IF(N(R36)&gt;=$E36*1000,"",IF(AND($E36&gt;0,BK36&gt;=$E36*1000),"G",IF(R$2&lt;=TODAY(),"R","")))</f>
        <v/>
      </c>
      <c r="BM36">
        <f t="shared" ref="BM36:BM67" ca="1" si="59">BK36-IF(BL36="G",$E36*1000,0)+N(S36)</f>
        <v>0</v>
      </c>
      <c r="BN36" t="str">
        <f t="shared" ref="BN36:BN67" ca="1" si="60">IF(N(V36)&gt;=$E36*1000,"",IF(AND($E36&gt;0,BM36&gt;=$E36*1000),"G",IF(V$2&lt;=TODAY(),"R","")))</f>
        <v>R</v>
      </c>
      <c r="BO36">
        <f t="shared" ref="BO36:BO67" ca="1" si="61">BM36-IF(BN36="G",$E36*1000,0)+N(W36)</f>
        <v>0</v>
      </c>
      <c r="BP36" t="str">
        <f t="shared" ref="BP36:BP67" ca="1" si="62">IF(N(Z36)&gt;=$E36*1000,"",IF(AND($E36&gt;0,BO36&gt;=$E36*1000),"G",IF(Z$2&lt;=TODAY(),"R","")))</f>
        <v>R</v>
      </c>
      <c r="BQ36">
        <f t="shared" ref="BQ36:BQ67" ca="1" si="63">BO36-IF(BP36="G",$E36*1000,0)+N(AA36)</f>
        <v>0</v>
      </c>
      <c r="BR36" t="str">
        <f t="shared" ref="BR36:BR67" ca="1" si="64">IF(N(AD36)&gt;=$E36*1000,"",IF(AND($E36&gt;0,BQ36&gt;=$E36*1000),"G",IF(AD$2&lt;=TODAY(),"R","")))</f>
        <v>R</v>
      </c>
      <c r="BS36">
        <f t="shared" ref="BS36:BS67" ca="1" si="65">BQ36-IF(BR36="G",$E36*1000,0)+N(AE36)</f>
        <v>0</v>
      </c>
      <c r="BT36" t="str">
        <f t="shared" ref="BT36:BT67" ca="1" si="66">IF(N(AH36)&gt;=$E36*1000,"",IF(AND($E36&gt;0,BS36&gt;=$E36*1000),"G",IF(AH$2&lt;=TODAY(),"R","")))</f>
        <v>R</v>
      </c>
      <c r="BU36">
        <f t="shared" ref="BU36:BU67" ca="1" si="67">BS36-IF(BT36="G",$E36*1000,0)+N(AI36)</f>
        <v>0</v>
      </c>
      <c r="BV36" t="str">
        <f t="shared" ref="BV36:BV67" ca="1" si="68">IF(N(AL36)&gt;=$E36*1000,"",IF(AND($E36&gt;0,BU36&gt;=$E36*1000),"G",IF(AL$2&lt;=TODAY(),"R","")))</f>
        <v>R</v>
      </c>
      <c r="BW36">
        <f t="shared" ref="BW36:BW67" ca="1" si="69">BU36-IF(BV36="G",$E36*1000,0)+N(AM36)</f>
        <v>0</v>
      </c>
      <c r="BX36" t="str">
        <f t="shared" ref="BX36:BX67" ca="1" si="70">IF(N(AP36)&gt;=$E36*1000,"",IF(AND($E36&gt;0,BW36&gt;=$E36*1000),"G",IF(AP$2&lt;=TODAY(),"R","")))</f>
        <v>R</v>
      </c>
      <c r="BY36">
        <f t="shared" ref="BY36:BY67" ca="1" si="71">BW36-IF(BX36="G",$E36*1000,0)+N(AQ36)</f>
        <v>0</v>
      </c>
      <c r="BZ36" t="str">
        <f t="shared" ref="BZ36:BZ67" ca="1" si="72">IF(N(AT36)&gt;=$E36*1000,"",IF(AND($E36&gt;0,BY36&gt;=$E36*1000),"G",IF(AT$2&lt;=TODAY(),"R","")))</f>
        <v/>
      </c>
      <c r="CA36">
        <f t="shared" ref="CA36:CA67" ca="1" si="73">BY36-IF(BZ36="G",$E36*1000,0)+N(AU36)</f>
        <v>0</v>
      </c>
      <c r="CB36" t="str">
        <f t="shared" ref="CB36:CB67" ca="1" si="74">IF(N(AX36)&gt;=$E36*1000,"",IF(AND($E36&gt;0,CA36&gt;=$E36*1000),"G",IF(AX$2&lt;=TODAY(),"R","")))</f>
        <v/>
      </c>
      <c r="CC36">
        <f t="shared" ref="CC36:CC67" ca="1" si="75">CA36-IF(CB36="G",$E36*1000,0)+N(AY36)</f>
        <v>0</v>
      </c>
    </row>
    <row r="37" spans="2:81" ht="14.25" customHeight="1" x14ac:dyDescent="0.3">
      <c r="B37" s="51">
        <f t="shared" si="48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>
        <f t="shared" si="49"/>
        <v>1000</v>
      </c>
      <c r="G37" s="52"/>
      <c r="H37" s="52"/>
      <c r="I37" s="52"/>
      <c r="J37" s="52">
        <f t="shared" si="47"/>
        <v>1000</v>
      </c>
      <c r="K37" s="52"/>
      <c r="L37" s="52"/>
      <c r="M37" s="52"/>
      <c r="N37" s="52">
        <f t="shared" si="39"/>
        <v>1000</v>
      </c>
      <c r="O37" s="52"/>
      <c r="P37" s="52"/>
      <c r="Q37" s="52"/>
      <c r="R37" s="52">
        <f t="shared" si="46"/>
        <v>1000</v>
      </c>
      <c r="S37" s="52"/>
      <c r="T37" s="52"/>
      <c r="U37" s="52"/>
      <c r="V37" s="52">
        <f t="shared" ref="V37:V43" si="76">$E37*1000</f>
        <v>1000</v>
      </c>
      <c r="W37" s="52"/>
      <c r="X37" s="52"/>
      <c r="Y37" s="52"/>
      <c r="Z37" s="52">
        <f>$E37*1000</f>
        <v>1000</v>
      </c>
      <c r="AA37" s="52"/>
      <c r="AB37" s="52"/>
      <c r="AC37" s="52"/>
      <c r="AD37" s="52">
        <f>$E37*1000</f>
        <v>1000</v>
      </c>
      <c r="AE37" s="52"/>
      <c r="AF37" s="52"/>
      <c r="AG37" s="52"/>
      <c r="AH37" s="52">
        <f>$E37*1000</f>
        <v>1000</v>
      </c>
      <c r="AI37" s="52"/>
      <c r="AJ37" s="52"/>
      <c r="AK37" s="52"/>
      <c r="AL37" s="52">
        <f>$E37*1000</f>
        <v>1000</v>
      </c>
      <c r="AM37" s="52"/>
      <c r="AN37" s="52"/>
      <c r="AO37" s="52"/>
      <c r="AP37" s="52">
        <f>$E37*1000</f>
        <v>1000</v>
      </c>
      <c r="AQ37" s="52"/>
      <c r="AR37" s="52"/>
      <c r="AS37" s="52"/>
      <c r="AT37" s="52">
        <f t="shared" si="45"/>
        <v>1000</v>
      </c>
      <c r="AU37" s="52"/>
      <c r="AV37" s="52"/>
      <c r="AW37" s="52"/>
      <c r="AX37" s="52">
        <f t="shared" si="43"/>
        <v>1000</v>
      </c>
      <c r="AY37" s="52"/>
      <c r="AZ37" s="52"/>
      <c r="BA37" s="52"/>
      <c r="BB37" s="52">
        <f t="shared" si="50"/>
        <v>12000</v>
      </c>
      <c r="BC37" s="52">
        <f t="shared" si="51"/>
        <v>0</v>
      </c>
      <c r="BE37">
        <f ca="1">'Monthly Collection-2024)'!CC37</f>
        <v>0</v>
      </c>
      <c r="BF37" t="str">
        <f t="shared" ca="1" si="52"/>
        <v/>
      </c>
      <c r="BG37">
        <f t="shared" ca="1" si="53"/>
        <v>0</v>
      </c>
      <c r="BH37" t="str">
        <f t="shared" ca="1" si="54"/>
        <v/>
      </c>
      <c r="BI37">
        <f t="shared" ca="1" si="55"/>
        <v>0</v>
      </c>
      <c r="BJ37" t="str">
        <f t="shared" ca="1" si="56"/>
        <v/>
      </c>
      <c r="BK37">
        <f t="shared" ca="1" si="57"/>
        <v>0</v>
      </c>
      <c r="BL37" t="str">
        <f t="shared" ca="1" si="58"/>
        <v/>
      </c>
      <c r="BM37">
        <f t="shared" ca="1" si="59"/>
        <v>0</v>
      </c>
      <c r="BN37" t="str">
        <f t="shared" ca="1" si="60"/>
        <v/>
      </c>
      <c r="BO37">
        <f t="shared" ca="1" si="61"/>
        <v>0</v>
      </c>
      <c r="BP37" t="str">
        <f t="shared" ca="1" si="62"/>
        <v/>
      </c>
      <c r="BQ37">
        <f t="shared" ca="1" si="63"/>
        <v>0</v>
      </c>
      <c r="BR37" t="str">
        <f t="shared" ca="1" si="64"/>
        <v/>
      </c>
      <c r="BS37">
        <f t="shared" ca="1" si="65"/>
        <v>0</v>
      </c>
      <c r="BT37" t="str">
        <f t="shared" ca="1" si="66"/>
        <v/>
      </c>
      <c r="BU37">
        <f t="shared" ca="1" si="67"/>
        <v>0</v>
      </c>
      <c r="BV37" t="str">
        <f t="shared" ca="1" si="68"/>
        <v/>
      </c>
      <c r="BW37">
        <f t="shared" ca="1" si="69"/>
        <v>0</v>
      </c>
      <c r="BX37" t="str">
        <f t="shared" ca="1" si="70"/>
        <v/>
      </c>
      <c r="BY37">
        <f t="shared" ca="1" si="71"/>
        <v>0</v>
      </c>
      <c r="BZ37" t="str">
        <f t="shared" ca="1" si="72"/>
        <v/>
      </c>
      <c r="CA37">
        <f t="shared" ca="1" si="73"/>
        <v>0</v>
      </c>
      <c r="CB37" t="str">
        <f t="shared" ca="1" si="74"/>
        <v/>
      </c>
      <c r="CC37">
        <f t="shared" ca="1" si="75"/>
        <v>0</v>
      </c>
    </row>
    <row r="38" spans="2:81" ht="14.25" customHeight="1" x14ac:dyDescent="0.3">
      <c r="B38" s="55">
        <f t="shared" si="48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>
        <f t="shared" si="49"/>
        <v>2000</v>
      </c>
      <c r="G38" s="56"/>
      <c r="H38" s="56"/>
      <c r="I38" s="56"/>
      <c r="J38" s="56">
        <f t="shared" si="47"/>
        <v>2000</v>
      </c>
      <c r="K38" s="56"/>
      <c r="L38" s="56"/>
      <c r="M38" s="56"/>
      <c r="N38" s="56">
        <f t="shared" si="39"/>
        <v>2000</v>
      </c>
      <c r="O38" s="56"/>
      <c r="P38" s="56"/>
      <c r="Q38" s="56"/>
      <c r="R38" s="56">
        <f t="shared" si="46"/>
        <v>2000</v>
      </c>
      <c r="S38" s="56"/>
      <c r="T38" s="56"/>
      <c r="U38" s="56"/>
      <c r="V38" s="56">
        <f t="shared" si="76"/>
        <v>2000</v>
      </c>
      <c r="W38" s="56"/>
      <c r="X38" s="56"/>
      <c r="Y38" s="56"/>
      <c r="Z38" s="56">
        <f>$E38*1000</f>
        <v>2000</v>
      </c>
      <c r="AA38" s="56"/>
      <c r="AB38" s="56"/>
      <c r="AC38" s="56"/>
      <c r="AD38" s="56">
        <f>$E38*1000</f>
        <v>2000</v>
      </c>
      <c r="AE38" s="56"/>
      <c r="AF38" s="56"/>
      <c r="AG38" s="56"/>
      <c r="AH38" s="56">
        <f>$E38*1000</f>
        <v>2000</v>
      </c>
      <c r="AI38" s="56"/>
      <c r="AJ38" s="56"/>
      <c r="AK38" s="56"/>
      <c r="AL38" s="56">
        <f>$E38*1000</f>
        <v>2000</v>
      </c>
      <c r="AM38" s="56"/>
      <c r="AN38" s="56"/>
      <c r="AO38" s="56"/>
      <c r="AP38" s="56">
        <f>$E38*1000</f>
        <v>2000</v>
      </c>
      <c r="AQ38" s="56"/>
      <c r="AR38" s="56"/>
      <c r="AS38" s="56"/>
      <c r="AT38" s="56">
        <f t="shared" si="45"/>
        <v>2000</v>
      </c>
      <c r="AU38" s="56"/>
      <c r="AV38" s="56"/>
      <c r="AW38" s="56"/>
      <c r="AX38" s="56">
        <f t="shared" si="43"/>
        <v>2000</v>
      </c>
      <c r="AY38" s="56"/>
      <c r="AZ38" s="56"/>
      <c r="BA38" s="56"/>
      <c r="BB38" s="56">
        <f t="shared" si="50"/>
        <v>24000</v>
      </c>
      <c r="BC38" s="56">
        <f t="shared" si="51"/>
        <v>0</v>
      </c>
      <c r="BE38">
        <f ca="1">'Monthly Collection-2024)'!CC38</f>
        <v>0</v>
      </c>
      <c r="BF38" t="str">
        <f t="shared" ca="1" si="52"/>
        <v/>
      </c>
      <c r="BG38">
        <f t="shared" ca="1" si="53"/>
        <v>0</v>
      </c>
      <c r="BH38" t="str">
        <f t="shared" ca="1" si="54"/>
        <v/>
      </c>
      <c r="BI38">
        <f t="shared" ca="1" si="55"/>
        <v>0</v>
      </c>
      <c r="BJ38" t="str">
        <f t="shared" ca="1" si="56"/>
        <v/>
      </c>
      <c r="BK38">
        <f t="shared" ca="1" si="57"/>
        <v>0</v>
      </c>
      <c r="BL38" t="str">
        <f t="shared" ca="1" si="58"/>
        <v/>
      </c>
      <c r="BM38">
        <f t="shared" ca="1" si="59"/>
        <v>0</v>
      </c>
      <c r="BN38" t="str">
        <f t="shared" ca="1" si="60"/>
        <v/>
      </c>
      <c r="BO38">
        <f t="shared" ca="1" si="61"/>
        <v>0</v>
      </c>
      <c r="BP38" t="str">
        <f t="shared" ca="1" si="62"/>
        <v/>
      </c>
      <c r="BQ38">
        <f t="shared" ca="1" si="63"/>
        <v>0</v>
      </c>
      <c r="BR38" t="str">
        <f t="shared" ca="1" si="64"/>
        <v/>
      </c>
      <c r="BS38">
        <f t="shared" ca="1" si="65"/>
        <v>0</v>
      </c>
      <c r="BT38" t="str">
        <f t="shared" ca="1" si="66"/>
        <v/>
      </c>
      <c r="BU38">
        <f t="shared" ca="1" si="67"/>
        <v>0</v>
      </c>
      <c r="BV38" t="str">
        <f t="shared" ca="1" si="68"/>
        <v/>
      </c>
      <c r="BW38">
        <f t="shared" ca="1" si="69"/>
        <v>0</v>
      </c>
      <c r="BX38" t="str">
        <f t="shared" ca="1" si="70"/>
        <v/>
      </c>
      <c r="BY38">
        <f t="shared" ca="1" si="71"/>
        <v>0</v>
      </c>
      <c r="BZ38" t="str">
        <f t="shared" ca="1" si="72"/>
        <v/>
      </c>
      <c r="CA38">
        <f t="shared" ca="1" si="73"/>
        <v>0</v>
      </c>
      <c r="CB38" t="str">
        <f t="shared" ca="1" si="74"/>
        <v/>
      </c>
      <c r="CC38">
        <f t="shared" ca="1" si="75"/>
        <v>0</v>
      </c>
    </row>
    <row r="39" spans="2:81" ht="14.25" customHeight="1" x14ac:dyDescent="0.3">
      <c r="B39" s="51">
        <f t="shared" si="48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>
        <f t="shared" si="49"/>
        <v>1000</v>
      </c>
      <c r="G39" s="52"/>
      <c r="H39" s="52"/>
      <c r="I39" s="52"/>
      <c r="J39" s="52">
        <f t="shared" si="47"/>
        <v>1000</v>
      </c>
      <c r="K39" s="52"/>
      <c r="L39" s="52"/>
      <c r="M39" s="52"/>
      <c r="N39" s="52">
        <f t="shared" si="39"/>
        <v>1000</v>
      </c>
      <c r="O39" s="52"/>
      <c r="P39" s="52"/>
      <c r="Q39" s="52"/>
      <c r="R39" s="52">
        <f t="shared" si="46"/>
        <v>1000</v>
      </c>
      <c r="S39" s="52"/>
      <c r="T39" s="52"/>
      <c r="U39" s="52"/>
      <c r="V39" s="52">
        <f t="shared" si="76"/>
        <v>1000</v>
      </c>
      <c r="W39" s="52"/>
      <c r="X39" s="52"/>
      <c r="Y39" s="52"/>
      <c r="Z39" s="52">
        <f>$E39*1000</f>
        <v>1000</v>
      </c>
      <c r="AA39" s="52"/>
      <c r="AB39" s="52"/>
      <c r="AC39" s="52"/>
      <c r="AD39" s="52">
        <f>$E39*1000</f>
        <v>1000</v>
      </c>
      <c r="AE39" s="52"/>
      <c r="AF39" s="52"/>
      <c r="AG39" s="52"/>
      <c r="AH39" s="52">
        <f>$E39*1000</f>
        <v>1000</v>
      </c>
      <c r="AI39" s="52"/>
      <c r="AJ39" s="52"/>
      <c r="AK39" s="52"/>
      <c r="AL39" s="52">
        <f>$E39*1000</f>
        <v>1000</v>
      </c>
      <c r="AM39" s="52"/>
      <c r="AN39" s="52"/>
      <c r="AO39" s="52"/>
      <c r="AP39" s="52">
        <f>$E39*1000</f>
        <v>1000</v>
      </c>
      <c r="AQ39" s="52"/>
      <c r="AR39" s="52"/>
      <c r="AS39" s="52"/>
      <c r="AT39" s="52">
        <f t="shared" si="45"/>
        <v>1000</v>
      </c>
      <c r="AU39" s="52"/>
      <c r="AV39" s="52"/>
      <c r="AW39" s="52"/>
      <c r="AX39" s="52">
        <f t="shared" si="43"/>
        <v>1000</v>
      </c>
      <c r="AY39" s="52"/>
      <c r="AZ39" s="52"/>
      <c r="BA39" s="52"/>
      <c r="BB39" s="52">
        <f t="shared" si="50"/>
        <v>12000</v>
      </c>
      <c r="BC39" s="52">
        <f t="shared" si="51"/>
        <v>0</v>
      </c>
      <c r="BE39">
        <f ca="1">'Monthly Collection-2024)'!CC39</f>
        <v>0</v>
      </c>
      <c r="BF39" t="str">
        <f t="shared" ca="1" si="52"/>
        <v/>
      </c>
      <c r="BG39">
        <f t="shared" ca="1" si="53"/>
        <v>0</v>
      </c>
      <c r="BH39" t="str">
        <f t="shared" ca="1" si="54"/>
        <v/>
      </c>
      <c r="BI39">
        <f t="shared" ca="1" si="55"/>
        <v>0</v>
      </c>
      <c r="BJ39" t="str">
        <f t="shared" ca="1" si="56"/>
        <v/>
      </c>
      <c r="BK39">
        <f t="shared" ca="1" si="57"/>
        <v>0</v>
      </c>
      <c r="BL39" t="str">
        <f t="shared" ca="1" si="58"/>
        <v/>
      </c>
      <c r="BM39">
        <f t="shared" ca="1" si="59"/>
        <v>0</v>
      </c>
      <c r="BN39" t="str">
        <f t="shared" ca="1" si="60"/>
        <v/>
      </c>
      <c r="BO39">
        <f t="shared" ca="1" si="61"/>
        <v>0</v>
      </c>
      <c r="BP39" t="str">
        <f t="shared" ca="1" si="62"/>
        <v/>
      </c>
      <c r="BQ39">
        <f t="shared" ca="1" si="63"/>
        <v>0</v>
      </c>
      <c r="BR39" t="str">
        <f t="shared" ca="1" si="64"/>
        <v/>
      </c>
      <c r="BS39">
        <f t="shared" ca="1" si="65"/>
        <v>0</v>
      </c>
      <c r="BT39" t="str">
        <f t="shared" ca="1" si="66"/>
        <v/>
      </c>
      <c r="BU39">
        <f t="shared" ca="1" si="67"/>
        <v>0</v>
      </c>
      <c r="BV39" t="str">
        <f t="shared" ca="1" si="68"/>
        <v/>
      </c>
      <c r="BW39">
        <f t="shared" ca="1" si="69"/>
        <v>0</v>
      </c>
      <c r="BX39" t="str">
        <f t="shared" ca="1" si="70"/>
        <v/>
      </c>
      <c r="BY39">
        <f t="shared" ca="1" si="71"/>
        <v>0</v>
      </c>
      <c r="BZ39" t="str">
        <f t="shared" ca="1" si="72"/>
        <v/>
      </c>
      <c r="CA39">
        <f t="shared" ca="1" si="73"/>
        <v>0</v>
      </c>
      <c r="CB39" t="str">
        <f t="shared" ca="1" si="74"/>
        <v/>
      </c>
      <c r="CC39">
        <f t="shared" ca="1" si="75"/>
        <v>0</v>
      </c>
    </row>
    <row r="40" spans="2:81" ht="14.25" customHeight="1" x14ac:dyDescent="0.3">
      <c r="B40" s="55">
        <f t="shared" si="48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>
        <f t="shared" si="49"/>
        <v>2000</v>
      </c>
      <c r="G40" s="56"/>
      <c r="H40" s="56"/>
      <c r="I40" s="56"/>
      <c r="J40" s="56">
        <f t="shared" si="47"/>
        <v>2000</v>
      </c>
      <c r="K40" s="56"/>
      <c r="L40" s="56"/>
      <c r="M40" s="56"/>
      <c r="N40" s="56">
        <f t="shared" si="39"/>
        <v>2000</v>
      </c>
      <c r="O40" s="56"/>
      <c r="P40" s="56"/>
      <c r="Q40" s="56"/>
      <c r="R40" s="56">
        <f t="shared" si="46"/>
        <v>2000</v>
      </c>
      <c r="S40" s="56"/>
      <c r="T40" s="56"/>
      <c r="U40" s="56"/>
      <c r="V40" s="56">
        <f t="shared" si="76"/>
        <v>2000</v>
      </c>
      <c r="W40" s="56"/>
      <c r="X40" s="56"/>
      <c r="Y40" s="56"/>
      <c r="Z40" s="56">
        <f>$E40*1000</f>
        <v>2000</v>
      </c>
      <c r="AA40" s="56"/>
      <c r="AB40" s="56"/>
      <c r="AC40" s="56"/>
      <c r="AD40" s="56">
        <f>$E40*1000</f>
        <v>2000</v>
      </c>
      <c r="AE40" s="56"/>
      <c r="AF40" s="56"/>
      <c r="AG40" s="56"/>
      <c r="AH40" s="56">
        <f>$E40*1000</f>
        <v>2000</v>
      </c>
      <c r="AI40" s="56"/>
      <c r="AJ40" s="56"/>
      <c r="AK40" s="56"/>
      <c r="AL40" s="241"/>
      <c r="AM40" s="56"/>
      <c r="AN40" s="56"/>
      <c r="AO40" s="56"/>
      <c r="AP40" s="56">
        <f>$E40*1000</f>
        <v>2000</v>
      </c>
      <c r="AQ40" s="56"/>
      <c r="AR40" s="56">
        <v>2000</v>
      </c>
      <c r="AS40" s="56">
        <v>100</v>
      </c>
      <c r="AT40" s="56">
        <f t="shared" si="45"/>
        <v>2000</v>
      </c>
      <c r="AU40" s="56"/>
      <c r="AV40" s="56"/>
      <c r="AW40" s="56"/>
      <c r="AX40" s="56">
        <f t="shared" si="43"/>
        <v>2000</v>
      </c>
      <c r="AY40" s="56"/>
      <c r="AZ40" s="56"/>
      <c r="BA40" s="56"/>
      <c r="BB40" s="56">
        <f t="shared" si="50"/>
        <v>24000</v>
      </c>
      <c r="BC40" s="56">
        <f t="shared" si="51"/>
        <v>100</v>
      </c>
      <c r="BE40">
        <f ca="1">'Monthly Collection-2024)'!CC40</f>
        <v>0</v>
      </c>
      <c r="BF40" t="str">
        <f t="shared" ca="1" si="52"/>
        <v/>
      </c>
      <c r="BG40">
        <f t="shared" ca="1" si="53"/>
        <v>0</v>
      </c>
      <c r="BH40" t="str">
        <f t="shared" ca="1" si="54"/>
        <v/>
      </c>
      <c r="BI40">
        <f t="shared" ca="1" si="55"/>
        <v>0</v>
      </c>
      <c r="BJ40" t="str">
        <f t="shared" ca="1" si="56"/>
        <v/>
      </c>
      <c r="BK40">
        <f t="shared" ca="1" si="57"/>
        <v>0</v>
      </c>
      <c r="BL40" t="str">
        <f t="shared" ca="1" si="58"/>
        <v/>
      </c>
      <c r="BM40">
        <f t="shared" ca="1" si="59"/>
        <v>0</v>
      </c>
      <c r="BN40" t="str">
        <f t="shared" ca="1" si="60"/>
        <v/>
      </c>
      <c r="BO40">
        <f t="shared" ca="1" si="61"/>
        <v>0</v>
      </c>
      <c r="BP40" t="str">
        <f t="shared" ca="1" si="62"/>
        <v/>
      </c>
      <c r="BQ40">
        <f t="shared" ca="1" si="63"/>
        <v>0</v>
      </c>
      <c r="BR40" t="str">
        <f t="shared" ca="1" si="64"/>
        <v/>
      </c>
      <c r="BS40">
        <f t="shared" ca="1" si="65"/>
        <v>0</v>
      </c>
      <c r="BT40" t="str">
        <f t="shared" ca="1" si="66"/>
        <v/>
      </c>
      <c r="BU40">
        <f t="shared" ca="1" si="67"/>
        <v>0</v>
      </c>
      <c r="BV40" t="str">
        <f t="shared" ca="1" si="68"/>
        <v>R</v>
      </c>
      <c r="BW40">
        <f t="shared" ca="1" si="69"/>
        <v>0</v>
      </c>
      <c r="BX40" t="str">
        <f t="shared" ca="1" si="70"/>
        <v/>
      </c>
      <c r="BY40">
        <f t="shared" ca="1" si="71"/>
        <v>0</v>
      </c>
      <c r="BZ40" t="str">
        <f t="shared" ca="1" si="72"/>
        <v/>
      </c>
      <c r="CA40">
        <f t="shared" ca="1" si="73"/>
        <v>0</v>
      </c>
      <c r="CB40" t="str">
        <f t="shared" ca="1" si="74"/>
        <v/>
      </c>
      <c r="CC40">
        <f t="shared" ca="1" si="75"/>
        <v>0</v>
      </c>
    </row>
    <row r="41" spans="2:81" ht="14.25" customHeight="1" x14ac:dyDescent="0.3">
      <c r="B41" s="51">
        <f t="shared" si="48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>
        <f t="shared" si="49"/>
        <v>2000</v>
      </c>
      <c r="G41" s="52"/>
      <c r="H41" s="52"/>
      <c r="I41" s="52"/>
      <c r="J41" s="52">
        <f t="shared" si="47"/>
        <v>2000</v>
      </c>
      <c r="K41" s="52"/>
      <c r="L41" s="52"/>
      <c r="M41" s="52"/>
      <c r="N41" s="52">
        <f t="shared" si="39"/>
        <v>2000</v>
      </c>
      <c r="O41" s="52"/>
      <c r="P41" s="52"/>
      <c r="Q41" s="52"/>
      <c r="R41" s="52">
        <f t="shared" si="46"/>
        <v>2000</v>
      </c>
      <c r="S41" s="52"/>
      <c r="T41" s="52"/>
      <c r="U41" s="52"/>
      <c r="V41" s="52">
        <f t="shared" si="76"/>
        <v>2000</v>
      </c>
      <c r="W41" s="52"/>
      <c r="X41" s="52"/>
      <c r="Y41" s="52"/>
      <c r="Z41" s="52">
        <f>$E41*1000</f>
        <v>2000</v>
      </c>
      <c r="AA41" s="52"/>
      <c r="AB41" s="52"/>
      <c r="AC41" s="52"/>
      <c r="AD41" s="52">
        <f>$E41*1000</f>
        <v>2000</v>
      </c>
      <c r="AE41" s="52"/>
      <c r="AF41" s="52"/>
      <c r="AG41" s="52"/>
      <c r="AH41" s="52">
        <f>$E41*1000</f>
        <v>2000</v>
      </c>
      <c r="AI41" s="52"/>
      <c r="AJ41" s="52"/>
      <c r="AK41" s="52"/>
      <c r="AL41" s="52">
        <f>$E41*1000</f>
        <v>2000</v>
      </c>
      <c r="AM41" s="52"/>
      <c r="AN41" s="52"/>
      <c r="AO41" s="52"/>
      <c r="AP41" s="52">
        <f>$E41*1000</f>
        <v>2000</v>
      </c>
      <c r="AQ41" s="52"/>
      <c r="AR41" s="52"/>
      <c r="AS41" s="52"/>
      <c r="AT41" s="52">
        <f t="shared" si="45"/>
        <v>2000</v>
      </c>
      <c r="AU41" s="52"/>
      <c r="AV41" s="52"/>
      <c r="AW41" s="52"/>
      <c r="AX41" s="52">
        <f t="shared" si="43"/>
        <v>2000</v>
      </c>
      <c r="AY41" s="52"/>
      <c r="AZ41" s="52"/>
      <c r="BA41" s="52"/>
      <c r="BB41" s="52">
        <f t="shared" si="50"/>
        <v>24000</v>
      </c>
      <c r="BC41" s="52">
        <f t="shared" si="51"/>
        <v>0</v>
      </c>
      <c r="BE41">
        <f ca="1">'Monthly Collection-2024)'!CC41</f>
        <v>0</v>
      </c>
      <c r="BF41" t="str">
        <f t="shared" ca="1" si="52"/>
        <v/>
      </c>
      <c r="BG41">
        <f t="shared" ca="1" si="53"/>
        <v>0</v>
      </c>
      <c r="BH41" t="str">
        <f t="shared" ca="1" si="54"/>
        <v/>
      </c>
      <c r="BI41">
        <f t="shared" ca="1" si="55"/>
        <v>0</v>
      </c>
      <c r="BJ41" t="str">
        <f t="shared" ca="1" si="56"/>
        <v/>
      </c>
      <c r="BK41">
        <f t="shared" ca="1" si="57"/>
        <v>0</v>
      </c>
      <c r="BL41" t="str">
        <f t="shared" ca="1" si="58"/>
        <v/>
      </c>
      <c r="BM41">
        <f t="shared" ca="1" si="59"/>
        <v>0</v>
      </c>
      <c r="BN41" t="str">
        <f t="shared" ca="1" si="60"/>
        <v/>
      </c>
      <c r="BO41">
        <f t="shared" ca="1" si="61"/>
        <v>0</v>
      </c>
      <c r="BP41" t="str">
        <f t="shared" ca="1" si="62"/>
        <v/>
      </c>
      <c r="BQ41">
        <f t="shared" ca="1" si="63"/>
        <v>0</v>
      </c>
      <c r="BR41" t="str">
        <f t="shared" ca="1" si="64"/>
        <v/>
      </c>
      <c r="BS41">
        <f t="shared" ca="1" si="65"/>
        <v>0</v>
      </c>
      <c r="BT41" t="str">
        <f t="shared" ca="1" si="66"/>
        <v/>
      </c>
      <c r="BU41">
        <f t="shared" ca="1" si="67"/>
        <v>0</v>
      </c>
      <c r="BV41" t="str">
        <f t="shared" ca="1" si="68"/>
        <v/>
      </c>
      <c r="BW41">
        <f t="shared" ca="1" si="69"/>
        <v>0</v>
      </c>
      <c r="BX41" t="str">
        <f t="shared" ca="1" si="70"/>
        <v/>
      </c>
      <c r="BY41">
        <f t="shared" ca="1" si="71"/>
        <v>0</v>
      </c>
      <c r="BZ41" t="str">
        <f t="shared" ca="1" si="72"/>
        <v/>
      </c>
      <c r="CA41">
        <f t="shared" ca="1" si="73"/>
        <v>0</v>
      </c>
      <c r="CB41" t="str">
        <f t="shared" ca="1" si="74"/>
        <v/>
      </c>
      <c r="CC41">
        <f t="shared" ca="1" si="75"/>
        <v>0</v>
      </c>
    </row>
    <row r="42" spans="2:81" ht="14.25" customHeight="1" x14ac:dyDescent="0.3">
      <c r="B42" s="55">
        <f t="shared" si="48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>
        <f t="shared" si="49"/>
        <v>2000</v>
      </c>
      <c r="G42" s="56"/>
      <c r="H42" s="56"/>
      <c r="I42" s="56"/>
      <c r="J42" s="56">
        <f t="shared" si="47"/>
        <v>2000</v>
      </c>
      <c r="K42" s="56"/>
      <c r="L42" s="56"/>
      <c r="M42" s="56"/>
      <c r="N42" s="241"/>
      <c r="O42" s="56"/>
      <c r="P42" s="56"/>
      <c r="Q42" s="56"/>
      <c r="R42" s="241"/>
      <c r="S42" s="56"/>
      <c r="T42" s="56">
        <v>2000</v>
      </c>
      <c r="U42" s="56">
        <v>100</v>
      </c>
      <c r="V42" s="56">
        <f t="shared" si="76"/>
        <v>2000</v>
      </c>
      <c r="W42" s="56"/>
      <c r="X42" s="56">
        <v>2000</v>
      </c>
      <c r="Y42" s="56">
        <v>100</v>
      </c>
      <c r="Z42" s="241"/>
      <c r="AA42" s="56"/>
      <c r="AB42" s="56"/>
      <c r="AC42" s="56"/>
      <c r="AD42" s="241"/>
      <c r="AE42" s="56"/>
      <c r="AF42" s="56">
        <v>2000</v>
      </c>
      <c r="AG42" s="56">
        <v>100</v>
      </c>
      <c r="AH42" s="241"/>
      <c r="AI42" s="56"/>
      <c r="AJ42" s="56">
        <v>2000</v>
      </c>
      <c r="AK42" s="56">
        <v>100</v>
      </c>
      <c r="AL42" s="241"/>
      <c r="AM42" s="56"/>
      <c r="AN42" s="56"/>
      <c r="AO42" s="56"/>
      <c r="AP42" s="241"/>
      <c r="AQ42" s="56"/>
      <c r="AR42" s="56">
        <v>2000</v>
      </c>
      <c r="AS42" s="56">
        <v>100</v>
      </c>
      <c r="AT42" s="241"/>
      <c r="AU42" s="56"/>
      <c r="AV42" s="56"/>
      <c r="AW42" s="56"/>
      <c r="AX42" s="56">
        <f t="shared" si="43"/>
        <v>2000</v>
      </c>
      <c r="AY42" s="56"/>
      <c r="AZ42" s="56">
        <v>6000</v>
      </c>
      <c r="BA42" s="56">
        <v>300</v>
      </c>
      <c r="BB42" s="56">
        <f t="shared" si="50"/>
        <v>24000</v>
      </c>
      <c r="BC42" s="56">
        <f t="shared" si="51"/>
        <v>800</v>
      </c>
      <c r="BE42">
        <f ca="1">'Monthly Collection-2024)'!CC42</f>
        <v>0</v>
      </c>
      <c r="BF42" t="str">
        <f t="shared" ca="1" si="52"/>
        <v/>
      </c>
      <c r="BG42">
        <f t="shared" ca="1" si="53"/>
        <v>0</v>
      </c>
      <c r="BH42" t="str">
        <f t="shared" ca="1" si="54"/>
        <v/>
      </c>
      <c r="BI42">
        <f t="shared" ca="1" si="55"/>
        <v>0</v>
      </c>
      <c r="BJ42" t="str">
        <f t="shared" ca="1" si="56"/>
        <v>R</v>
      </c>
      <c r="BK42">
        <f t="shared" ca="1" si="57"/>
        <v>0</v>
      </c>
      <c r="BL42" t="str">
        <f t="shared" ca="1" si="58"/>
        <v>R</v>
      </c>
      <c r="BM42">
        <f t="shared" ca="1" si="59"/>
        <v>0</v>
      </c>
      <c r="BN42" t="str">
        <f t="shared" ca="1" si="60"/>
        <v/>
      </c>
      <c r="BO42">
        <f t="shared" ca="1" si="61"/>
        <v>0</v>
      </c>
      <c r="BP42" t="str">
        <f t="shared" ca="1" si="62"/>
        <v>R</v>
      </c>
      <c r="BQ42">
        <f t="shared" ca="1" si="63"/>
        <v>0</v>
      </c>
      <c r="BR42" t="str">
        <f t="shared" ca="1" si="64"/>
        <v>R</v>
      </c>
      <c r="BS42">
        <f t="shared" ca="1" si="65"/>
        <v>0</v>
      </c>
      <c r="BT42" t="str">
        <f t="shared" ca="1" si="66"/>
        <v>R</v>
      </c>
      <c r="BU42">
        <f t="shared" ca="1" si="67"/>
        <v>0</v>
      </c>
      <c r="BV42" t="str">
        <f t="shared" ca="1" si="68"/>
        <v>R</v>
      </c>
      <c r="BW42">
        <f t="shared" ca="1" si="69"/>
        <v>0</v>
      </c>
      <c r="BX42" t="str">
        <f t="shared" ca="1" si="70"/>
        <v>R</v>
      </c>
      <c r="BY42">
        <f t="shared" ca="1" si="71"/>
        <v>0</v>
      </c>
      <c r="BZ42" t="str">
        <f t="shared" ca="1" si="72"/>
        <v>R</v>
      </c>
      <c r="CA42">
        <f t="shared" ca="1" si="73"/>
        <v>0</v>
      </c>
      <c r="CB42" t="str">
        <f t="shared" ca="1" si="74"/>
        <v/>
      </c>
      <c r="CC42">
        <f t="shared" ca="1" si="75"/>
        <v>0</v>
      </c>
    </row>
    <row r="43" spans="2:81" ht="14.25" customHeight="1" x14ac:dyDescent="0.3">
      <c r="B43" s="51">
        <f t="shared" si="48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>
        <f t="shared" si="49"/>
        <v>2000</v>
      </c>
      <c r="G43" s="52"/>
      <c r="H43" s="52"/>
      <c r="I43" s="52"/>
      <c r="J43" s="52">
        <f t="shared" si="47"/>
        <v>2000</v>
      </c>
      <c r="K43" s="52"/>
      <c r="L43" s="52"/>
      <c r="M43" s="52"/>
      <c r="N43" s="52">
        <f>$E43*1000</f>
        <v>2000</v>
      </c>
      <c r="O43" s="52"/>
      <c r="P43" s="52"/>
      <c r="Q43" s="52"/>
      <c r="R43" s="52">
        <f>$E43*1000</f>
        <v>2000</v>
      </c>
      <c r="S43" s="52"/>
      <c r="T43" s="52"/>
      <c r="U43" s="52"/>
      <c r="V43" s="52">
        <f t="shared" si="76"/>
        <v>2000</v>
      </c>
      <c r="W43" s="52"/>
      <c r="X43" s="52"/>
      <c r="Y43" s="52"/>
      <c r="Z43" s="52">
        <f>$E43*1000</f>
        <v>2000</v>
      </c>
      <c r="AA43" s="52"/>
      <c r="AB43" s="52"/>
      <c r="AC43" s="52"/>
      <c r="AD43" s="52">
        <f>$E43*1000</f>
        <v>2000</v>
      </c>
      <c r="AE43" s="52"/>
      <c r="AF43" s="52"/>
      <c r="AG43" s="52"/>
      <c r="AH43" s="52">
        <f>$E43*1000</f>
        <v>2000</v>
      </c>
      <c r="AI43" s="52"/>
      <c r="AJ43" s="52"/>
      <c r="AK43" s="52"/>
      <c r="AL43" s="52">
        <f>$E43*1000</f>
        <v>2000</v>
      </c>
      <c r="AM43" s="52"/>
      <c r="AN43" s="52"/>
      <c r="AO43" s="52"/>
      <c r="AP43" s="52">
        <f>$E43*1000</f>
        <v>2000</v>
      </c>
      <c r="AQ43" s="52"/>
      <c r="AR43" s="52"/>
      <c r="AS43" s="52"/>
      <c r="AT43" s="52">
        <f>$E43*1000</f>
        <v>2000</v>
      </c>
      <c r="AU43" s="52"/>
      <c r="AV43" s="52"/>
      <c r="AW43" s="52"/>
      <c r="AX43" s="52">
        <f t="shared" si="43"/>
        <v>2000</v>
      </c>
      <c r="AY43" s="52"/>
      <c r="AZ43" s="52"/>
      <c r="BA43" s="52"/>
      <c r="BB43" s="52">
        <f t="shared" si="50"/>
        <v>24000</v>
      </c>
      <c r="BC43" s="52">
        <f t="shared" si="51"/>
        <v>0</v>
      </c>
      <c r="BE43">
        <f ca="1">'Monthly Collection-2024)'!CC43</f>
        <v>0</v>
      </c>
      <c r="BF43" t="str">
        <f t="shared" ca="1" si="52"/>
        <v/>
      </c>
      <c r="BG43">
        <f t="shared" ca="1" si="53"/>
        <v>0</v>
      </c>
      <c r="BH43" t="str">
        <f t="shared" ca="1" si="54"/>
        <v/>
      </c>
      <c r="BI43">
        <f t="shared" ca="1" si="55"/>
        <v>0</v>
      </c>
      <c r="BJ43" t="str">
        <f t="shared" ca="1" si="56"/>
        <v/>
      </c>
      <c r="BK43">
        <f t="shared" ca="1" si="57"/>
        <v>0</v>
      </c>
      <c r="BL43" t="str">
        <f t="shared" ca="1" si="58"/>
        <v/>
      </c>
      <c r="BM43">
        <f t="shared" ca="1" si="59"/>
        <v>0</v>
      </c>
      <c r="BN43" t="str">
        <f t="shared" ca="1" si="60"/>
        <v/>
      </c>
      <c r="BO43">
        <f t="shared" ca="1" si="61"/>
        <v>0</v>
      </c>
      <c r="BP43" t="str">
        <f t="shared" ca="1" si="62"/>
        <v/>
      </c>
      <c r="BQ43">
        <f t="shared" ca="1" si="63"/>
        <v>0</v>
      </c>
      <c r="BR43" t="str">
        <f t="shared" ca="1" si="64"/>
        <v/>
      </c>
      <c r="BS43">
        <f t="shared" ca="1" si="65"/>
        <v>0</v>
      </c>
      <c r="BT43" t="str">
        <f t="shared" ca="1" si="66"/>
        <v/>
      </c>
      <c r="BU43">
        <f t="shared" ca="1" si="67"/>
        <v>0</v>
      </c>
      <c r="BV43" t="str">
        <f t="shared" ca="1" si="68"/>
        <v/>
      </c>
      <c r="BW43">
        <f t="shared" ca="1" si="69"/>
        <v>0</v>
      </c>
      <c r="BX43" t="str">
        <f t="shared" ca="1" si="70"/>
        <v/>
      </c>
      <c r="BY43">
        <f t="shared" ca="1" si="71"/>
        <v>0</v>
      </c>
      <c r="BZ43" t="str">
        <f t="shared" ca="1" si="72"/>
        <v/>
      </c>
      <c r="CA43">
        <f t="shared" ca="1" si="73"/>
        <v>0</v>
      </c>
      <c r="CB43" t="str">
        <f t="shared" ca="1" si="74"/>
        <v/>
      </c>
      <c r="CC43">
        <f t="shared" ca="1" si="75"/>
        <v>0</v>
      </c>
    </row>
    <row r="44" spans="2:81" ht="14.25" customHeight="1" x14ac:dyDescent="0.3">
      <c r="B44" s="55">
        <f t="shared" si="48"/>
        <v>41</v>
      </c>
      <c r="C44" s="56" t="s">
        <v>111</v>
      </c>
      <c r="D44" s="12">
        <f>'Member Wise Deposit Summary'!D44</f>
        <v>1830621990</v>
      </c>
      <c r="E44" s="56">
        <v>2</v>
      </c>
      <c r="F44" s="241"/>
      <c r="G44" s="56"/>
      <c r="H44" s="56"/>
      <c r="I44" s="56"/>
      <c r="J44" s="56">
        <f t="shared" si="47"/>
        <v>2000</v>
      </c>
      <c r="K44" s="56"/>
      <c r="L44" s="56">
        <v>4000</v>
      </c>
      <c r="M44" s="56">
        <v>200</v>
      </c>
      <c r="N44" s="56">
        <v>2000</v>
      </c>
      <c r="O44" s="56">
        <v>4000</v>
      </c>
      <c r="P44" s="56"/>
      <c r="Q44" s="56"/>
      <c r="R44" s="244"/>
      <c r="S44" s="56"/>
      <c r="T44" s="56"/>
      <c r="U44" s="56"/>
      <c r="V44" s="244"/>
      <c r="W44" s="56"/>
      <c r="X44" s="56"/>
      <c r="Y44" s="56"/>
      <c r="Z44" s="56">
        <f>$E44*1000</f>
        <v>2000</v>
      </c>
      <c r="AA44" s="56"/>
      <c r="AB44" s="56"/>
      <c r="AC44" s="56"/>
      <c r="AD44" s="56">
        <f>$E44*1000</f>
        <v>2000</v>
      </c>
      <c r="AE44" s="56"/>
      <c r="AF44" s="56"/>
      <c r="AG44" s="56"/>
      <c r="AH44" s="56">
        <f>$E44*1000</f>
        <v>2000</v>
      </c>
      <c r="AI44" s="56"/>
      <c r="AJ44" s="56"/>
      <c r="AK44" s="56"/>
      <c r="AL44" s="241"/>
      <c r="AM44" s="56"/>
      <c r="AN44" s="56"/>
      <c r="AO44" s="56"/>
      <c r="AP44" s="56">
        <f>$E44*1000</f>
        <v>2000</v>
      </c>
      <c r="AQ44" s="56"/>
      <c r="AR44" s="56">
        <v>2000</v>
      </c>
      <c r="AS44" s="56">
        <v>200</v>
      </c>
      <c r="AT44" s="56">
        <f>$E44*1000</f>
        <v>2000</v>
      </c>
      <c r="AU44" s="56"/>
      <c r="AV44" s="56"/>
      <c r="AW44" s="56"/>
      <c r="AX44" s="241"/>
      <c r="AY44" s="56"/>
      <c r="AZ44" s="56"/>
      <c r="BA44" s="56"/>
      <c r="BB44" s="56">
        <f t="shared" si="50"/>
        <v>24000</v>
      </c>
      <c r="BC44" s="56">
        <f t="shared" si="51"/>
        <v>400</v>
      </c>
      <c r="BE44">
        <f ca="1">'Monthly Collection-2024)'!CC44</f>
        <v>0</v>
      </c>
      <c r="BF44" t="str">
        <f t="shared" ca="1" si="52"/>
        <v>R</v>
      </c>
      <c r="BG44">
        <f t="shared" ca="1" si="53"/>
        <v>0</v>
      </c>
      <c r="BH44" t="str">
        <f t="shared" ca="1" si="54"/>
        <v/>
      </c>
      <c r="BI44">
        <f t="shared" ca="1" si="55"/>
        <v>0</v>
      </c>
      <c r="BJ44" t="str">
        <f t="shared" ca="1" si="56"/>
        <v/>
      </c>
      <c r="BK44">
        <f t="shared" ca="1" si="57"/>
        <v>4000</v>
      </c>
      <c r="BL44" t="str">
        <f t="shared" ca="1" si="58"/>
        <v>G</v>
      </c>
      <c r="BM44">
        <f t="shared" ca="1" si="59"/>
        <v>2000</v>
      </c>
      <c r="BN44" t="str">
        <f t="shared" ca="1" si="60"/>
        <v>G</v>
      </c>
      <c r="BO44">
        <f t="shared" ca="1" si="61"/>
        <v>0</v>
      </c>
      <c r="BP44" t="str">
        <f t="shared" ca="1" si="62"/>
        <v/>
      </c>
      <c r="BQ44">
        <f t="shared" ca="1" si="63"/>
        <v>0</v>
      </c>
      <c r="BR44" t="str">
        <f t="shared" ca="1" si="64"/>
        <v/>
      </c>
      <c r="BS44">
        <f t="shared" ca="1" si="65"/>
        <v>0</v>
      </c>
      <c r="BT44" t="str">
        <f t="shared" ca="1" si="66"/>
        <v/>
      </c>
      <c r="BU44">
        <f t="shared" ca="1" si="67"/>
        <v>0</v>
      </c>
      <c r="BV44" t="str">
        <f t="shared" ca="1" si="68"/>
        <v>R</v>
      </c>
      <c r="BW44">
        <f t="shared" ca="1" si="69"/>
        <v>0</v>
      </c>
      <c r="BX44" t="str">
        <f t="shared" ca="1" si="70"/>
        <v/>
      </c>
      <c r="BY44">
        <f t="shared" ca="1" si="71"/>
        <v>0</v>
      </c>
      <c r="BZ44" t="str">
        <f t="shared" ca="1" si="72"/>
        <v/>
      </c>
      <c r="CA44">
        <f t="shared" ca="1" si="73"/>
        <v>0</v>
      </c>
      <c r="CB44" t="str">
        <f t="shared" ca="1" si="74"/>
        <v>R</v>
      </c>
      <c r="CC44">
        <f t="shared" ca="1" si="75"/>
        <v>0</v>
      </c>
    </row>
    <row r="45" spans="2:81" ht="14.25" customHeight="1" x14ac:dyDescent="0.3">
      <c r="B45" s="51">
        <f t="shared" si="48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>
        <f>$E45*1000</f>
        <v>6000</v>
      </c>
      <c r="G45" s="52"/>
      <c r="H45" s="52"/>
      <c r="I45" s="52"/>
      <c r="J45" s="52">
        <f t="shared" si="47"/>
        <v>6000</v>
      </c>
      <c r="K45" s="52"/>
      <c r="L45" s="52"/>
      <c r="M45" s="52"/>
      <c r="N45" s="52">
        <f>$E45*1000</f>
        <v>6000</v>
      </c>
      <c r="O45" s="52"/>
      <c r="P45" s="52"/>
      <c r="Q45" s="52"/>
      <c r="R45" s="52">
        <f>$E45*1000</f>
        <v>6000</v>
      </c>
      <c r="S45" s="52"/>
      <c r="T45" s="52"/>
      <c r="U45" s="52"/>
      <c r="V45" s="52">
        <f>$E45*1000</f>
        <v>6000</v>
      </c>
      <c r="W45" s="52"/>
      <c r="X45" s="52"/>
      <c r="Y45" s="52"/>
      <c r="Z45" s="52">
        <f>$E45*1000</f>
        <v>6000</v>
      </c>
      <c r="AA45" s="52"/>
      <c r="AB45" s="52"/>
      <c r="AC45" s="52"/>
      <c r="AD45" s="52">
        <f>$E45*1000</f>
        <v>6000</v>
      </c>
      <c r="AE45" s="52"/>
      <c r="AF45" s="52"/>
      <c r="AG45" s="52"/>
      <c r="AH45" s="52">
        <f>$E45*1000</f>
        <v>6000</v>
      </c>
      <c r="AI45" s="52"/>
      <c r="AJ45" s="52"/>
      <c r="AK45" s="52"/>
      <c r="AL45" s="52">
        <f>$E45*1000</f>
        <v>6000</v>
      </c>
      <c r="AM45" s="52"/>
      <c r="AN45" s="52"/>
      <c r="AO45" s="52"/>
      <c r="AP45" s="52">
        <f>$E45*1000</f>
        <v>6000</v>
      </c>
      <c r="AQ45" s="52"/>
      <c r="AR45" s="52"/>
      <c r="AS45" s="52"/>
      <c r="AT45" s="52">
        <f>$E45*1000</f>
        <v>6000</v>
      </c>
      <c r="AU45" s="52"/>
      <c r="AV45" s="52"/>
      <c r="AW45" s="52"/>
      <c r="AX45" s="52">
        <f>$E45*1000</f>
        <v>6000</v>
      </c>
      <c r="AY45" s="52"/>
      <c r="AZ45" s="52"/>
      <c r="BA45" s="52"/>
      <c r="BB45" s="52">
        <f t="shared" si="50"/>
        <v>72000</v>
      </c>
      <c r="BC45" s="52">
        <f t="shared" si="51"/>
        <v>0</v>
      </c>
      <c r="BE45">
        <f ca="1">'Monthly Collection-2024)'!CC45</f>
        <v>0</v>
      </c>
      <c r="BF45" t="str">
        <f t="shared" ca="1" si="52"/>
        <v/>
      </c>
      <c r="BG45">
        <f t="shared" ca="1" si="53"/>
        <v>0</v>
      </c>
      <c r="BH45" t="str">
        <f t="shared" ca="1" si="54"/>
        <v/>
      </c>
      <c r="BI45">
        <f t="shared" ca="1" si="55"/>
        <v>0</v>
      </c>
      <c r="BJ45" t="str">
        <f t="shared" ca="1" si="56"/>
        <v/>
      </c>
      <c r="BK45">
        <f t="shared" ca="1" si="57"/>
        <v>0</v>
      </c>
      <c r="BL45" t="str">
        <f t="shared" ca="1" si="58"/>
        <v/>
      </c>
      <c r="BM45">
        <f t="shared" ca="1" si="59"/>
        <v>0</v>
      </c>
      <c r="BN45" t="str">
        <f t="shared" ca="1" si="60"/>
        <v/>
      </c>
      <c r="BO45">
        <f t="shared" ca="1" si="61"/>
        <v>0</v>
      </c>
      <c r="BP45" t="str">
        <f t="shared" ca="1" si="62"/>
        <v/>
      </c>
      <c r="BQ45">
        <f t="shared" ca="1" si="63"/>
        <v>0</v>
      </c>
      <c r="BR45" t="str">
        <f t="shared" ca="1" si="64"/>
        <v/>
      </c>
      <c r="BS45">
        <f t="shared" ca="1" si="65"/>
        <v>0</v>
      </c>
      <c r="BT45" t="str">
        <f t="shared" ca="1" si="66"/>
        <v/>
      </c>
      <c r="BU45">
        <f t="shared" ca="1" si="67"/>
        <v>0</v>
      </c>
      <c r="BV45" t="str">
        <f t="shared" ca="1" si="68"/>
        <v/>
      </c>
      <c r="BW45">
        <f t="shared" ca="1" si="69"/>
        <v>0</v>
      </c>
      <c r="BX45" t="str">
        <f t="shared" ca="1" si="70"/>
        <v/>
      </c>
      <c r="BY45">
        <f t="shared" ca="1" si="71"/>
        <v>0</v>
      </c>
      <c r="BZ45" t="str">
        <f t="shared" ca="1" si="72"/>
        <v/>
      </c>
      <c r="CA45">
        <f t="shared" ca="1" si="73"/>
        <v>0</v>
      </c>
      <c r="CB45" t="str">
        <f t="shared" ca="1" si="74"/>
        <v/>
      </c>
      <c r="CC45">
        <f t="shared" ca="1" si="75"/>
        <v>0</v>
      </c>
    </row>
    <row r="46" spans="2:81" ht="14.25" customHeight="1" x14ac:dyDescent="0.3">
      <c r="B46" s="55">
        <f t="shared" si="48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>
        <f>$E46*1000</f>
        <v>2000</v>
      </c>
      <c r="G46" s="56"/>
      <c r="H46" s="56"/>
      <c r="I46" s="56"/>
      <c r="J46" s="56">
        <f t="shared" si="47"/>
        <v>2000</v>
      </c>
      <c r="K46" s="56"/>
      <c r="L46" s="56"/>
      <c r="M46" s="56"/>
      <c r="N46" s="56">
        <f>$E46*1000</f>
        <v>2000</v>
      </c>
      <c r="O46" s="56"/>
      <c r="P46" s="56"/>
      <c r="Q46" s="56"/>
      <c r="R46" s="56">
        <f>$E46*1000</f>
        <v>2000</v>
      </c>
      <c r="S46" s="56"/>
      <c r="T46" s="56"/>
      <c r="U46" s="56"/>
      <c r="V46" s="241"/>
      <c r="W46" s="56"/>
      <c r="X46" s="56"/>
      <c r="Y46" s="56"/>
      <c r="Z46" s="241"/>
      <c r="AA46" s="56"/>
      <c r="AB46" s="56">
        <v>2000</v>
      </c>
      <c r="AC46" s="56">
        <v>100</v>
      </c>
      <c r="AD46" s="241"/>
      <c r="AE46" s="56"/>
      <c r="AF46" s="56"/>
      <c r="AG46" s="56"/>
      <c r="AH46" s="56">
        <f>$E46*1000</f>
        <v>2000</v>
      </c>
      <c r="AI46" s="56"/>
      <c r="AJ46" s="56">
        <v>4000</v>
      </c>
      <c r="AK46" s="56">
        <v>200</v>
      </c>
      <c r="AL46" s="241"/>
      <c r="AM46" s="56"/>
      <c r="AN46" s="56"/>
      <c r="AO46" s="56"/>
      <c r="AP46" s="56">
        <f>$E46*1000</f>
        <v>2000</v>
      </c>
      <c r="AQ46" s="56"/>
      <c r="AR46" s="56">
        <v>2000</v>
      </c>
      <c r="AS46" s="56">
        <v>100</v>
      </c>
      <c r="AT46" s="56">
        <f>$E46*1000</f>
        <v>2000</v>
      </c>
      <c r="AU46" s="56"/>
      <c r="AV46" s="56"/>
      <c r="AW46" s="56"/>
      <c r="AX46" s="56">
        <f>$E46*1000</f>
        <v>2000</v>
      </c>
      <c r="AY46" s="56"/>
      <c r="AZ46" s="56"/>
      <c r="BA46" s="56"/>
      <c r="BB46" s="56">
        <f t="shared" si="50"/>
        <v>24000</v>
      </c>
      <c r="BC46" s="56">
        <f t="shared" si="51"/>
        <v>400</v>
      </c>
      <c r="BE46">
        <f ca="1">'Monthly Collection-2024)'!CC46</f>
        <v>0</v>
      </c>
      <c r="BF46" t="str">
        <f t="shared" ca="1" si="52"/>
        <v/>
      </c>
      <c r="BG46">
        <f t="shared" ca="1" si="53"/>
        <v>0</v>
      </c>
      <c r="BH46" t="str">
        <f t="shared" ca="1" si="54"/>
        <v/>
      </c>
      <c r="BI46">
        <f t="shared" ca="1" si="55"/>
        <v>0</v>
      </c>
      <c r="BJ46" t="str">
        <f t="shared" ca="1" si="56"/>
        <v/>
      </c>
      <c r="BK46">
        <f t="shared" ca="1" si="57"/>
        <v>0</v>
      </c>
      <c r="BL46" t="str">
        <f t="shared" ca="1" si="58"/>
        <v/>
      </c>
      <c r="BM46">
        <f t="shared" ca="1" si="59"/>
        <v>0</v>
      </c>
      <c r="BN46" t="str">
        <f t="shared" ca="1" si="60"/>
        <v>R</v>
      </c>
      <c r="BO46">
        <f t="shared" ca="1" si="61"/>
        <v>0</v>
      </c>
      <c r="BP46" t="str">
        <f t="shared" ca="1" si="62"/>
        <v>R</v>
      </c>
      <c r="BQ46">
        <f t="shared" ca="1" si="63"/>
        <v>0</v>
      </c>
      <c r="BR46" t="str">
        <f t="shared" ca="1" si="64"/>
        <v>R</v>
      </c>
      <c r="BS46">
        <f t="shared" ca="1" si="65"/>
        <v>0</v>
      </c>
      <c r="BT46" t="str">
        <f t="shared" ca="1" si="66"/>
        <v/>
      </c>
      <c r="BU46">
        <f t="shared" ca="1" si="67"/>
        <v>0</v>
      </c>
      <c r="BV46" t="str">
        <f t="shared" ca="1" si="68"/>
        <v>R</v>
      </c>
      <c r="BW46">
        <f t="shared" ca="1" si="69"/>
        <v>0</v>
      </c>
      <c r="BX46" t="str">
        <f t="shared" ca="1" si="70"/>
        <v/>
      </c>
      <c r="BY46">
        <f t="shared" ca="1" si="71"/>
        <v>0</v>
      </c>
      <c r="BZ46" t="str">
        <f t="shared" ca="1" si="72"/>
        <v/>
      </c>
      <c r="CA46">
        <f t="shared" ca="1" si="73"/>
        <v>0</v>
      </c>
      <c r="CB46" t="str">
        <f t="shared" ca="1" si="74"/>
        <v/>
      </c>
      <c r="CC46">
        <f t="shared" ca="1" si="75"/>
        <v>0</v>
      </c>
    </row>
    <row r="47" spans="2:81" ht="14.25" customHeight="1" x14ac:dyDescent="0.3">
      <c r="B47" s="51">
        <f t="shared" si="48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>
        <f>$E47*1000</f>
        <v>2000</v>
      </c>
      <c r="G47" s="52"/>
      <c r="H47" s="52"/>
      <c r="I47" s="52"/>
      <c r="J47" s="52">
        <f t="shared" si="47"/>
        <v>2000</v>
      </c>
      <c r="K47" s="52"/>
      <c r="L47" s="52"/>
      <c r="M47" s="52"/>
      <c r="N47" s="52">
        <f>$E47*1000</f>
        <v>2000</v>
      </c>
      <c r="O47" s="52"/>
      <c r="P47" s="52"/>
      <c r="Q47" s="52"/>
      <c r="R47" s="52">
        <f>$E47*1000</f>
        <v>2000</v>
      </c>
      <c r="S47" s="52"/>
      <c r="T47" s="52"/>
      <c r="U47" s="52"/>
      <c r="V47" s="243"/>
      <c r="W47" s="52"/>
      <c r="X47" s="52"/>
      <c r="Y47" s="52"/>
      <c r="Z47" s="243"/>
      <c r="AA47" s="52"/>
      <c r="AB47" s="52">
        <v>2000</v>
      </c>
      <c r="AC47" s="52">
        <v>100</v>
      </c>
      <c r="AD47" s="243"/>
      <c r="AE47" s="52"/>
      <c r="AF47" s="52"/>
      <c r="AG47" s="52"/>
      <c r="AH47" s="243"/>
      <c r="AI47" s="52"/>
      <c r="AJ47" s="52">
        <v>4000</v>
      </c>
      <c r="AK47" s="52">
        <v>200</v>
      </c>
      <c r="AL47" s="243"/>
      <c r="AM47" s="52"/>
      <c r="AN47" s="52"/>
      <c r="AO47" s="52"/>
      <c r="AP47" s="243"/>
      <c r="AQ47" s="52"/>
      <c r="AR47" s="52">
        <v>2000</v>
      </c>
      <c r="AS47" s="52">
        <v>100</v>
      </c>
      <c r="AT47" s="52">
        <f>$E47*1000</f>
        <v>2000</v>
      </c>
      <c r="AU47" s="52"/>
      <c r="AV47" s="52">
        <v>4000</v>
      </c>
      <c r="AW47" s="52">
        <v>200</v>
      </c>
      <c r="AX47" s="52">
        <f>$E47*1000</f>
        <v>2000</v>
      </c>
      <c r="AY47" s="52"/>
      <c r="AZ47" s="52"/>
      <c r="BA47" s="52"/>
      <c r="BB47" s="52">
        <f t="shared" si="50"/>
        <v>24000</v>
      </c>
      <c r="BC47" s="52">
        <f t="shared" si="51"/>
        <v>600</v>
      </c>
      <c r="BE47">
        <f ca="1">'Monthly Collection-2024)'!CC47</f>
        <v>0</v>
      </c>
      <c r="BF47" t="str">
        <f t="shared" ca="1" si="52"/>
        <v/>
      </c>
      <c r="BG47">
        <f t="shared" ca="1" si="53"/>
        <v>0</v>
      </c>
      <c r="BH47" t="str">
        <f t="shared" ca="1" si="54"/>
        <v/>
      </c>
      <c r="BI47">
        <f t="shared" ca="1" si="55"/>
        <v>0</v>
      </c>
      <c r="BJ47" t="str">
        <f t="shared" ca="1" si="56"/>
        <v/>
      </c>
      <c r="BK47">
        <f t="shared" ca="1" si="57"/>
        <v>0</v>
      </c>
      <c r="BL47" t="str">
        <f t="shared" ca="1" si="58"/>
        <v/>
      </c>
      <c r="BM47">
        <f t="shared" ca="1" si="59"/>
        <v>0</v>
      </c>
      <c r="BN47" t="str">
        <f t="shared" ca="1" si="60"/>
        <v>R</v>
      </c>
      <c r="BO47">
        <f t="shared" ca="1" si="61"/>
        <v>0</v>
      </c>
      <c r="BP47" t="str">
        <f t="shared" ca="1" si="62"/>
        <v>R</v>
      </c>
      <c r="BQ47">
        <f t="shared" ca="1" si="63"/>
        <v>0</v>
      </c>
      <c r="BR47" t="str">
        <f t="shared" ca="1" si="64"/>
        <v>R</v>
      </c>
      <c r="BS47">
        <f t="shared" ca="1" si="65"/>
        <v>0</v>
      </c>
      <c r="BT47" t="str">
        <f t="shared" ca="1" si="66"/>
        <v>R</v>
      </c>
      <c r="BU47">
        <f t="shared" ca="1" si="67"/>
        <v>0</v>
      </c>
      <c r="BV47" t="str">
        <f t="shared" ca="1" si="68"/>
        <v>R</v>
      </c>
      <c r="BW47">
        <f t="shared" ca="1" si="69"/>
        <v>0</v>
      </c>
      <c r="BX47" t="str">
        <f t="shared" ca="1" si="70"/>
        <v>R</v>
      </c>
      <c r="BY47">
        <f t="shared" ca="1" si="71"/>
        <v>0</v>
      </c>
      <c r="BZ47" t="str">
        <f t="shared" ca="1" si="72"/>
        <v/>
      </c>
      <c r="CA47">
        <f t="shared" ca="1" si="73"/>
        <v>0</v>
      </c>
      <c r="CB47" t="str">
        <f t="shared" ca="1" si="74"/>
        <v/>
      </c>
      <c r="CC47">
        <f t="shared" ca="1" si="75"/>
        <v>0</v>
      </c>
    </row>
    <row r="48" spans="2:81" ht="14.25" customHeight="1" x14ac:dyDescent="0.3">
      <c r="B48" s="55">
        <f t="shared" si="48"/>
        <v>45</v>
      </c>
      <c r="C48" s="56" t="s">
        <v>101</v>
      </c>
      <c r="D48" s="12">
        <f>'Member Wise Deposit Summary'!D48</f>
        <v>1840409753</v>
      </c>
      <c r="E48" s="56">
        <v>1</v>
      </c>
      <c r="F48" s="241"/>
      <c r="G48" s="56"/>
      <c r="H48" s="56"/>
      <c r="I48" s="56"/>
      <c r="J48" s="241"/>
      <c r="K48" s="56"/>
      <c r="L48" s="56">
        <v>3000</v>
      </c>
      <c r="M48" s="56">
        <v>150</v>
      </c>
      <c r="N48" s="56">
        <f>$E48*1000</f>
        <v>1000</v>
      </c>
      <c r="O48" s="56"/>
      <c r="P48" s="56">
        <v>1000</v>
      </c>
      <c r="Q48" s="56">
        <v>50</v>
      </c>
      <c r="R48" s="56">
        <f>$E48*1000</f>
        <v>1000</v>
      </c>
      <c r="S48" s="56"/>
      <c r="T48" s="56"/>
      <c r="U48" s="56"/>
      <c r="V48" s="241"/>
      <c r="W48" s="56"/>
      <c r="X48" s="56"/>
      <c r="Y48" s="56"/>
      <c r="Z48" s="241"/>
      <c r="AA48" s="56"/>
      <c r="AB48" s="56"/>
      <c r="AC48" s="56"/>
      <c r="AD48" s="241"/>
      <c r="AE48" s="56"/>
      <c r="AF48" s="56"/>
      <c r="AG48" s="56"/>
      <c r="AH48" s="241"/>
      <c r="AI48" s="56"/>
      <c r="AJ48" s="56">
        <v>2000</v>
      </c>
      <c r="AK48" s="56">
        <v>100</v>
      </c>
      <c r="AL48" s="241"/>
      <c r="AM48" s="56"/>
      <c r="AN48" s="56"/>
      <c r="AO48" s="56"/>
      <c r="AP48" s="241"/>
      <c r="AQ48" s="56"/>
      <c r="AR48" s="56"/>
      <c r="AS48" s="56"/>
      <c r="AT48" s="241"/>
      <c r="AU48" s="56"/>
      <c r="AV48" s="56"/>
      <c r="AW48" s="56"/>
      <c r="AX48" s="241"/>
      <c r="AY48" s="56"/>
      <c r="AZ48" s="56">
        <v>3000</v>
      </c>
      <c r="BA48" s="56">
        <v>150</v>
      </c>
      <c r="BB48" s="56">
        <f t="shared" si="50"/>
        <v>11000</v>
      </c>
      <c r="BC48" s="56">
        <f t="shared" si="51"/>
        <v>450</v>
      </c>
      <c r="BE48">
        <f ca="1">'Monthly Collection-2024)'!CC48</f>
        <v>0</v>
      </c>
      <c r="BF48" t="str">
        <f t="shared" ca="1" si="52"/>
        <v>R</v>
      </c>
      <c r="BG48">
        <f t="shared" ca="1" si="53"/>
        <v>0</v>
      </c>
      <c r="BH48" t="str">
        <f t="shared" ca="1" si="54"/>
        <v>R</v>
      </c>
      <c r="BI48">
        <f t="shared" ca="1" si="55"/>
        <v>0</v>
      </c>
      <c r="BJ48" t="str">
        <f t="shared" ca="1" si="56"/>
        <v/>
      </c>
      <c r="BK48">
        <f t="shared" ca="1" si="57"/>
        <v>0</v>
      </c>
      <c r="BL48" t="str">
        <f t="shared" ca="1" si="58"/>
        <v/>
      </c>
      <c r="BM48">
        <f t="shared" ca="1" si="59"/>
        <v>0</v>
      </c>
      <c r="BN48" t="str">
        <f t="shared" ca="1" si="60"/>
        <v>R</v>
      </c>
      <c r="BO48">
        <f t="shared" ca="1" si="61"/>
        <v>0</v>
      </c>
      <c r="BP48" t="str">
        <f t="shared" ca="1" si="62"/>
        <v>R</v>
      </c>
      <c r="BQ48">
        <f t="shared" ca="1" si="63"/>
        <v>0</v>
      </c>
      <c r="BR48" t="str">
        <f t="shared" ca="1" si="64"/>
        <v>R</v>
      </c>
      <c r="BS48">
        <f t="shared" ca="1" si="65"/>
        <v>0</v>
      </c>
      <c r="BT48" t="str">
        <f t="shared" ca="1" si="66"/>
        <v>R</v>
      </c>
      <c r="BU48">
        <f t="shared" ca="1" si="67"/>
        <v>0</v>
      </c>
      <c r="BV48" t="str">
        <f t="shared" ca="1" si="68"/>
        <v>R</v>
      </c>
      <c r="BW48">
        <f t="shared" ca="1" si="69"/>
        <v>0</v>
      </c>
      <c r="BX48" t="str">
        <f t="shared" ca="1" si="70"/>
        <v>R</v>
      </c>
      <c r="BY48">
        <f t="shared" ca="1" si="71"/>
        <v>0</v>
      </c>
      <c r="BZ48" t="str">
        <f t="shared" ca="1" si="72"/>
        <v>R</v>
      </c>
      <c r="CA48">
        <f t="shared" ca="1" si="73"/>
        <v>0</v>
      </c>
      <c r="CB48" t="str">
        <f t="shared" ca="1" si="74"/>
        <v>R</v>
      </c>
      <c r="CC48">
        <f t="shared" ca="1" si="75"/>
        <v>0</v>
      </c>
    </row>
    <row r="49" spans="2:81" ht="14.25" customHeight="1" x14ac:dyDescent="0.3">
      <c r="B49" s="51">
        <f t="shared" si="48"/>
        <v>46</v>
      </c>
      <c r="C49" s="52" t="s">
        <v>115</v>
      </c>
      <c r="D49" s="16">
        <f>'Member Wise Deposit Summary'!D49</f>
        <v>1871081769</v>
      </c>
      <c r="E49" s="52">
        <v>1</v>
      </c>
      <c r="F49" s="243"/>
      <c r="G49" s="52"/>
      <c r="H49" s="52">
        <v>1000</v>
      </c>
      <c r="I49" s="52">
        <v>50</v>
      </c>
      <c r="J49" s="243"/>
      <c r="K49" s="52"/>
      <c r="L49" s="52">
        <v>1000</v>
      </c>
      <c r="M49" s="52">
        <v>50</v>
      </c>
      <c r="N49" s="243"/>
      <c r="O49" s="52"/>
      <c r="P49" s="52"/>
      <c r="Q49" s="52"/>
      <c r="R49" s="243"/>
      <c r="S49" s="52"/>
      <c r="T49" s="52"/>
      <c r="U49" s="52"/>
      <c r="V49" s="52">
        <f t="shared" ref="V49:V54" si="77">$E49*1000</f>
        <v>1000</v>
      </c>
      <c r="W49" s="52"/>
      <c r="X49" s="52">
        <v>6000</v>
      </c>
      <c r="Y49" s="52">
        <v>300</v>
      </c>
      <c r="Z49" s="52">
        <f t="shared" ref="Z49:Z57" si="78">$E49*1000</f>
        <v>1000</v>
      </c>
      <c r="AA49" s="52"/>
      <c r="AB49" s="52"/>
      <c r="AC49" s="52"/>
      <c r="AD49" s="243"/>
      <c r="AE49" s="52"/>
      <c r="AF49" s="52"/>
      <c r="AG49" s="52"/>
      <c r="AH49" s="243"/>
      <c r="AI49" s="52"/>
      <c r="AJ49" s="52"/>
      <c r="AK49" s="52"/>
      <c r="AL49" s="243"/>
      <c r="AM49" s="52"/>
      <c r="AN49" s="52"/>
      <c r="AO49" s="52"/>
      <c r="AP49" s="243"/>
      <c r="AQ49" s="52"/>
      <c r="AR49" s="52"/>
      <c r="AS49" s="52"/>
      <c r="AT49" s="243"/>
      <c r="AU49" s="52"/>
      <c r="AV49" s="52"/>
      <c r="AW49" s="52"/>
      <c r="AX49" s="243"/>
      <c r="AY49" s="52"/>
      <c r="AZ49" s="52">
        <v>1000</v>
      </c>
      <c r="BA49" s="52">
        <v>50</v>
      </c>
      <c r="BB49" s="52">
        <f t="shared" si="50"/>
        <v>11000</v>
      </c>
      <c r="BC49" s="52">
        <f t="shared" si="51"/>
        <v>450</v>
      </c>
      <c r="BE49">
        <f ca="1">'Monthly Collection-2024)'!CC49</f>
        <v>0</v>
      </c>
      <c r="BF49" t="str">
        <f t="shared" ca="1" si="52"/>
        <v>R</v>
      </c>
      <c r="BG49">
        <f t="shared" ca="1" si="53"/>
        <v>0</v>
      </c>
      <c r="BH49" t="str">
        <f t="shared" ca="1" si="54"/>
        <v>R</v>
      </c>
      <c r="BI49">
        <f t="shared" ca="1" si="55"/>
        <v>0</v>
      </c>
      <c r="BJ49" t="str">
        <f t="shared" ca="1" si="56"/>
        <v>R</v>
      </c>
      <c r="BK49">
        <f t="shared" ca="1" si="57"/>
        <v>0</v>
      </c>
      <c r="BL49" t="str">
        <f t="shared" ca="1" si="58"/>
        <v>R</v>
      </c>
      <c r="BM49">
        <f t="shared" ca="1" si="59"/>
        <v>0</v>
      </c>
      <c r="BN49" t="str">
        <f t="shared" ca="1" si="60"/>
        <v/>
      </c>
      <c r="BO49">
        <f t="shared" ca="1" si="61"/>
        <v>0</v>
      </c>
      <c r="BP49" t="str">
        <f t="shared" ca="1" si="62"/>
        <v/>
      </c>
      <c r="BQ49">
        <f t="shared" ca="1" si="63"/>
        <v>0</v>
      </c>
      <c r="BR49" t="str">
        <f t="shared" ca="1" si="64"/>
        <v>R</v>
      </c>
      <c r="BS49">
        <f t="shared" ca="1" si="65"/>
        <v>0</v>
      </c>
      <c r="BT49" t="str">
        <f t="shared" ca="1" si="66"/>
        <v>R</v>
      </c>
      <c r="BU49">
        <f t="shared" ca="1" si="67"/>
        <v>0</v>
      </c>
      <c r="BV49" t="str">
        <f t="shared" ca="1" si="68"/>
        <v>R</v>
      </c>
      <c r="BW49">
        <f t="shared" ca="1" si="69"/>
        <v>0</v>
      </c>
      <c r="BX49" t="str">
        <f t="shared" ca="1" si="70"/>
        <v>R</v>
      </c>
      <c r="BY49">
        <f t="shared" ca="1" si="71"/>
        <v>0</v>
      </c>
      <c r="BZ49" t="str">
        <f t="shared" ca="1" si="72"/>
        <v>R</v>
      </c>
      <c r="CA49">
        <f t="shared" ca="1" si="73"/>
        <v>0</v>
      </c>
      <c r="CB49" t="str">
        <f t="shared" ca="1" si="74"/>
        <v>R</v>
      </c>
      <c r="CC49">
        <f t="shared" ca="1" si="75"/>
        <v>0</v>
      </c>
    </row>
    <row r="50" spans="2:81" ht="14.25" customHeight="1" x14ac:dyDescent="0.3">
      <c r="B50" s="55">
        <f t="shared" si="48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>
        <f>$E50*1000</f>
        <v>1000</v>
      </c>
      <c r="G50" s="56"/>
      <c r="H50" s="56"/>
      <c r="I50" s="56"/>
      <c r="J50" s="56">
        <f>$E50*1000</f>
        <v>1000</v>
      </c>
      <c r="K50" s="56"/>
      <c r="L50" s="56"/>
      <c r="M50" s="56"/>
      <c r="N50" s="56">
        <f>$E50*1000</f>
        <v>1000</v>
      </c>
      <c r="O50" s="56"/>
      <c r="P50" s="56"/>
      <c r="Q50" s="56"/>
      <c r="R50" s="56">
        <f>$E50*1000</f>
        <v>1000</v>
      </c>
      <c r="S50" s="56"/>
      <c r="T50" s="56"/>
      <c r="U50" s="56"/>
      <c r="V50" s="56">
        <f t="shared" si="77"/>
        <v>1000</v>
      </c>
      <c r="W50" s="56"/>
      <c r="X50" s="56"/>
      <c r="Y50" s="56"/>
      <c r="Z50" s="56">
        <f t="shared" si="78"/>
        <v>1000</v>
      </c>
      <c r="AA50" s="56"/>
      <c r="AB50" s="56"/>
      <c r="AC50" s="56"/>
      <c r="AD50" s="56">
        <f>$E50*1000</f>
        <v>1000</v>
      </c>
      <c r="AE50" s="56"/>
      <c r="AF50" s="56"/>
      <c r="AG50" s="56"/>
      <c r="AH50" s="56">
        <f t="shared" ref="AH50:AH57" si="79">$E50*1000</f>
        <v>1000</v>
      </c>
      <c r="AI50" s="56"/>
      <c r="AJ50" s="56"/>
      <c r="AK50" s="56"/>
      <c r="AL50" s="56">
        <f>$E50*1000</f>
        <v>1000</v>
      </c>
      <c r="AM50" s="56"/>
      <c r="AN50" s="56"/>
      <c r="AO50" s="56"/>
      <c r="AP50" s="56">
        <f>$E50*1000</f>
        <v>1000</v>
      </c>
      <c r="AQ50" s="56"/>
      <c r="AR50" s="56"/>
      <c r="AS50" s="56"/>
      <c r="AT50" s="56">
        <f t="shared" ref="AT50:AT57" si="80">$E50*1000</f>
        <v>1000</v>
      </c>
      <c r="AU50" s="56"/>
      <c r="AV50" s="56"/>
      <c r="AW50" s="56"/>
      <c r="AX50" s="56">
        <f>$E50*1000</f>
        <v>1000</v>
      </c>
      <c r="AY50" s="56"/>
      <c r="AZ50" s="56"/>
      <c r="BA50" s="56"/>
      <c r="BB50" s="56">
        <f t="shared" si="50"/>
        <v>12000</v>
      </c>
      <c r="BC50" s="56">
        <f t="shared" si="51"/>
        <v>0</v>
      </c>
      <c r="BE50">
        <f ca="1">'Monthly Collection-2024)'!CC50</f>
        <v>0</v>
      </c>
      <c r="BF50" t="str">
        <f t="shared" ca="1" si="52"/>
        <v/>
      </c>
      <c r="BG50">
        <f t="shared" ca="1" si="53"/>
        <v>0</v>
      </c>
      <c r="BH50" t="str">
        <f t="shared" ca="1" si="54"/>
        <v/>
      </c>
      <c r="BI50">
        <f t="shared" ca="1" si="55"/>
        <v>0</v>
      </c>
      <c r="BJ50" t="str">
        <f t="shared" ca="1" si="56"/>
        <v/>
      </c>
      <c r="BK50">
        <f t="shared" ca="1" si="57"/>
        <v>0</v>
      </c>
      <c r="BL50" t="str">
        <f t="shared" ca="1" si="58"/>
        <v/>
      </c>
      <c r="BM50">
        <f t="shared" ca="1" si="59"/>
        <v>0</v>
      </c>
      <c r="BN50" t="str">
        <f t="shared" ca="1" si="60"/>
        <v/>
      </c>
      <c r="BO50">
        <f t="shared" ca="1" si="61"/>
        <v>0</v>
      </c>
      <c r="BP50" t="str">
        <f t="shared" ca="1" si="62"/>
        <v/>
      </c>
      <c r="BQ50">
        <f t="shared" ca="1" si="63"/>
        <v>0</v>
      </c>
      <c r="BR50" t="str">
        <f t="shared" ca="1" si="64"/>
        <v/>
      </c>
      <c r="BS50">
        <f t="shared" ca="1" si="65"/>
        <v>0</v>
      </c>
      <c r="BT50" t="str">
        <f t="shared" ca="1" si="66"/>
        <v/>
      </c>
      <c r="BU50">
        <f t="shared" ca="1" si="67"/>
        <v>0</v>
      </c>
      <c r="BV50" t="str">
        <f t="shared" ca="1" si="68"/>
        <v/>
      </c>
      <c r="BW50">
        <f t="shared" ca="1" si="69"/>
        <v>0</v>
      </c>
      <c r="BX50" t="str">
        <f t="shared" ca="1" si="70"/>
        <v/>
      </c>
      <c r="BY50">
        <f t="shared" ca="1" si="71"/>
        <v>0</v>
      </c>
      <c r="BZ50" t="str">
        <f t="shared" ca="1" si="72"/>
        <v/>
      </c>
      <c r="CA50">
        <f t="shared" ca="1" si="73"/>
        <v>0</v>
      </c>
      <c r="CB50" t="str">
        <f t="shared" ca="1" si="74"/>
        <v/>
      </c>
      <c r="CC50">
        <f t="shared" ca="1" si="75"/>
        <v>0</v>
      </c>
    </row>
    <row r="51" spans="2:81" ht="14.25" customHeight="1" x14ac:dyDescent="0.3">
      <c r="B51" s="51">
        <f t="shared" si="48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>
        <f>$E51*1000</f>
        <v>2000</v>
      </c>
      <c r="G51" s="52"/>
      <c r="H51" s="52"/>
      <c r="I51" s="52"/>
      <c r="J51" s="52">
        <f>$E51*1000</f>
        <v>2000</v>
      </c>
      <c r="K51" s="52"/>
      <c r="L51" s="52"/>
      <c r="M51" s="52"/>
      <c r="N51" s="52">
        <f>$E51*1000</f>
        <v>2000</v>
      </c>
      <c r="O51" s="52"/>
      <c r="P51" s="52"/>
      <c r="Q51" s="52"/>
      <c r="R51" s="52">
        <f>$E51*1000</f>
        <v>2000</v>
      </c>
      <c r="S51" s="52"/>
      <c r="T51" s="52"/>
      <c r="U51" s="52"/>
      <c r="V51" s="52">
        <f t="shared" si="77"/>
        <v>2000</v>
      </c>
      <c r="W51" s="52"/>
      <c r="X51" s="52"/>
      <c r="Y51" s="52"/>
      <c r="Z51" s="52">
        <f t="shared" si="78"/>
        <v>2000</v>
      </c>
      <c r="AA51" s="52"/>
      <c r="AB51" s="52"/>
      <c r="AC51" s="52"/>
      <c r="AD51" s="52">
        <f>$E51*1000</f>
        <v>2000</v>
      </c>
      <c r="AE51" s="52"/>
      <c r="AF51" s="52"/>
      <c r="AG51" s="52"/>
      <c r="AH51" s="52">
        <f t="shared" si="79"/>
        <v>2000</v>
      </c>
      <c r="AI51" s="52"/>
      <c r="AJ51" s="52"/>
      <c r="AK51" s="52"/>
      <c r="AL51" s="52">
        <f>$E51*1000</f>
        <v>2000</v>
      </c>
      <c r="AM51" s="52"/>
      <c r="AN51" s="52"/>
      <c r="AO51" s="52"/>
      <c r="AP51" s="52">
        <f>$E51*1000</f>
        <v>2000</v>
      </c>
      <c r="AQ51" s="52"/>
      <c r="AR51" s="52"/>
      <c r="AS51" s="52"/>
      <c r="AT51" s="52">
        <f t="shared" si="80"/>
        <v>2000</v>
      </c>
      <c r="AU51" s="52"/>
      <c r="AV51" s="52"/>
      <c r="AW51" s="52"/>
      <c r="AX51" s="52">
        <f>$E51*1000</f>
        <v>2000</v>
      </c>
      <c r="AY51" s="52"/>
      <c r="AZ51" s="52"/>
      <c r="BA51" s="52"/>
      <c r="BB51" s="52">
        <f t="shared" si="50"/>
        <v>24000</v>
      </c>
      <c r="BC51" s="52">
        <f t="shared" si="51"/>
        <v>0</v>
      </c>
      <c r="BE51">
        <f ca="1">'Monthly Collection-2024)'!CC51</f>
        <v>0</v>
      </c>
      <c r="BF51" t="str">
        <f t="shared" ca="1" si="52"/>
        <v/>
      </c>
      <c r="BG51">
        <f t="shared" ca="1" si="53"/>
        <v>0</v>
      </c>
      <c r="BH51" t="str">
        <f t="shared" ca="1" si="54"/>
        <v/>
      </c>
      <c r="BI51">
        <f t="shared" ca="1" si="55"/>
        <v>0</v>
      </c>
      <c r="BJ51" t="str">
        <f t="shared" ca="1" si="56"/>
        <v/>
      </c>
      <c r="BK51">
        <f t="shared" ca="1" si="57"/>
        <v>0</v>
      </c>
      <c r="BL51" t="str">
        <f t="shared" ca="1" si="58"/>
        <v/>
      </c>
      <c r="BM51">
        <f t="shared" ca="1" si="59"/>
        <v>0</v>
      </c>
      <c r="BN51" t="str">
        <f t="shared" ca="1" si="60"/>
        <v/>
      </c>
      <c r="BO51">
        <f t="shared" ca="1" si="61"/>
        <v>0</v>
      </c>
      <c r="BP51" t="str">
        <f t="shared" ca="1" si="62"/>
        <v/>
      </c>
      <c r="BQ51">
        <f t="shared" ca="1" si="63"/>
        <v>0</v>
      </c>
      <c r="BR51" t="str">
        <f t="shared" ca="1" si="64"/>
        <v/>
      </c>
      <c r="BS51">
        <f t="shared" ca="1" si="65"/>
        <v>0</v>
      </c>
      <c r="BT51" t="str">
        <f t="shared" ca="1" si="66"/>
        <v/>
      </c>
      <c r="BU51">
        <f t="shared" ca="1" si="67"/>
        <v>0</v>
      </c>
      <c r="BV51" t="str">
        <f t="shared" ca="1" si="68"/>
        <v/>
      </c>
      <c r="BW51">
        <f t="shared" ca="1" si="69"/>
        <v>0</v>
      </c>
      <c r="BX51" t="str">
        <f t="shared" ca="1" si="70"/>
        <v/>
      </c>
      <c r="BY51">
        <f t="shared" ca="1" si="71"/>
        <v>0</v>
      </c>
      <c r="BZ51" t="str">
        <f t="shared" ca="1" si="72"/>
        <v/>
      </c>
      <c r="CA51">
        <f t="shared" ca="1" si="73"/>
        <v>0</v>
      </c>
      <c r="CB51" t="str">
        <f t="shared" ca="1" si="74"/>
        <v/>
      </c>
      <c r="CC51">
        <f t="shared" ca="1" si="75"/>
        <v>0</v>
      </c>
    </row>
    <row r="52" spans="2:81" ht="14.25" customHeight="1" x14ac:dyDescent="0.3">
      <c r="B52" s="55">
        <f t="shared" si="48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>
        <f>$E52*1000</f>
        <v>1000</v>
      </c>
      <c r="G52" s="56"/>
      <c r="H52" s="56"/>
      <c r="I52" s="56"/>
      <c r="J52" s="56">
        <f>$E52*1000</f>
        <v>1000</v>
      </c>
      <c r="K52" s="56"/>
      <c r="L52" s="56"/>
      <c r="M52" s="56"/>
      <c r="N52" s="56">
        <f>$E52*1000</f>
        <v>1000</v>
      </c>
      <c r="O52" s="56"/>
      <c r="P52" s="56"/>
      <c r="Q52" s="56"/>
      <c r="R52" s="241"/>
      <c r="S52" s="56"/>
      <c r="T52" s="56"/>
      <c r="U52" s="56"/>
      <c r="V52" s="56">
        <f t="shared" si="77"/>
        <v>1000</v>
      </c>
      <c r="W52" s="56"/>
      <c r="X52" s="56">
        <v>1000</v>
      </c>
      <c r="Y52" s="56">
        <v>50</v>
      </c>
      <c r="Z52" s="56">
        <f t="shared" si="78"/>
        <v>1000</v>
      </c>
      <c r="AA52" s="56"/>
      <c r="AB52" s="56"/>
      <c r="AC52" s="56"/>
      <c r="AD52" s="56">
        <f>$E52*1000</f>
        <v>1000</v>
      </c>
      <c r="AE52" s="56"/>
      <c r="AF52" s="56"/>
      <c r="AG52" s="56"/>
      <c r="AH52" s="56">
        <f t="shared" si="79"/>
        <v>1000</v>
      </c>
      <c r="AI52" s="56"/>
      <c r="AJ52" s="56"/>
      <c r="AK52" s="56"/>
      <c r="AL52" s="56">
        <f>$E52*1000</f>
        <v>1000</v>
      </c>
      <c r="AM52" s="56"/>
      <c r="AN52" s="56"/>
      <c r="AO52" s="56"/>
      <c r="AP52" s="56">
        <f>$E52*1000</f>
        <v>1000</v>
      </c>
      <c r="AQ52" s="56"/>
      <c r="AR52" s="56"/>
      <c r="AS52" s="56"/>
      <c r="AT52" s="56">
        <f t="shared" si="80"/>
        <v>1000</v>
      </c>
      <c r="AU52" s="56"/>
      <c r="AV52" s="56"/>
      <c r="AW52" s="56"/>
      <c r="AX52" s="56">
        <f>$E52*1000</f>
        <v>1000</v>
      </c>
      <c r="AY52" s="56"/>
      <c r="AZ52" s="56"/>
      <c r="BA52" s="56"/>
      <c r="BB52" s="56">
        <f t="shared" si="50"/>
        <v>12000</v>
      </c>
      <c r="BC52" s="56">
        <f t="shared" si="51"/>
        <v>50</v>
      </c>
      <c r="BE52">
        <f ca="1">'Monthly Collection-2024)'!CC52</f>
        <v>0</v>
      </c>
      <c r="BF52" t="str">
        <f t="shared" ca="1" si="52"/>
        <v/>
      </c>
      <c r="BG52">
        <f t="shared" ca="1" si="53"/>
        <v>0</v>
      </c>
      <c r="BH52" t="str">
        <f t="shared" ca="1" si="54"/>
        <v/>
      </c>
      <c r="BI52">
        <f t="shared" ca="1" si="55"/>
        <v>0</v>
      </c>
      <c r="BJ52" t="str">
        <f t="shared" ca="1" si="56"/>
        <v/>
      </c>
      <c r="BK52">
        <f t="shared" ca="1" si="57"/>
        <v>0</v>
      </c>
      <c r="BL52" t="str">
        <f t="shared" ca="1" si="58"/>
        <v>R</v>
      </c>
      <c r="BM52">
        <f t="shared" ca="1" si="59"/>
        <v>0</v>
      </c>
      <c r="BN52" t="str">
        <f t="shared" ca="1" si="60"/>
        <v/>
      </c>
      <c r="BO52">
        <f t="shared" ca="1" si="61"/>
        <v>0</v>
      </c>
      <c r="BP52" t="str">
        <f t="shared" ca="1" si="62"/>
        <v/>
      </c>
      <c r="BQ52">
        <f t="shared" ca="1" si="63"/>
        <v>0</v>
      </c>
      <c r="BR52" t="str">
        <f t="shared" ca="1" si="64"/>
        <v/>
      </c>
      <c r="BS52">
        <f t="shared" ca="1" si="65"/>
        <v>0</v>
      </c>
      <c r="BT52" t="str">
        <f t="shared" ca="1" si="66"/>
        <v/>
      </c>
      <c r="BU52">
        <f t="shared" ca="1" si="67"/>
        <v>0</v>
      </c>
      <c r="BV52" t="str">
        <f t="shared" ca="1" si="68"/>
        <v/>
      </c>
      <c r="BW52">
        <f t="shared" ca="1" si="69"/>
        <v>0</v>
      </c>
      <c r="BX52" t="str">
        <f t="shared" ca="1" si="70"/>
        <v/>
      </c>
      <c r="BY52">
        <f t="shared" ca="1" si="71"/>
        <v>0</v>
      </c>
      <c r="BZ52" t="str">
        <f t="shared" ca="1" si="72"/>
        <v/>
      </c>
      <c r="CA52">
        <f t="shared" ca="1" si="73"/>
        <v>0</v>
      </c>
      <c r="CB52" t="str">
        <f t="shared" ca="1" si="74"/>
        <v/>
      </c>
      <c r="CC52">
        <f t="shared" ca="1" si="75"/>
        <v>0</v>
      </c>
    </row>
    <row r="53" spans="2:81" ht="14.25" customHeight="1" x14ac:dyDescent="0.3">
      <c r="B53" s="51">
        <f t="shared" si="48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>
        <f>$E53*1000</f>
        <v>1000</v>
      </c>
      <c r="G53" s="52"/>
      <c r="H53" s="52"/>
      <c r="I53" s="52"/>
      <c r="J53" s="52">
        <f>$E53*1000</f>
        <v>1000</v>
      </c>
      <c r="K53" s="52"/>
      <c r="L53" s="52"/>
      <c r="M53" s="52"/>
      <c r="N53" s="52">
        <f>$E53*1000</f>
        <v>1000</v>
      </c>
      <c r="O53" s="52"/>
      <c r="P53" s="52"/>
      <c r="Q53" s="52"/>
      <c r="R53" s="52">
        <f>$E53*1000</f>
        <v>1000</v>
      </c>
      <c r="S53" s="52"/>
      <c r="T53" s="52"/>
      <c r="U53" s="52"/>
      <c r="V53" s="52">
        <f t="shared" si="77"/>
        <v>1000</v>
      </c>
      <c r="W53" s="52"/>
      <c r="X53" s="52"/>
      <c r="Y53" s="52"/>
      <c r="Z53" s="52">
        <f t="shared" si="78"/>
        <v>1000</v>
      </c>
      <c r="AA53" s="52"/>
      <c r="AB53" s="52"/>
      <c r="AC53" s="52"/>
      <c r="AD53" s="52">
        <f>$E53*1000</f>
        <v>1000</v>
      </c>
      <c r="AE53" s="52"/>
      <c r="AF53" s="52"/>
      <c r="AG53" s="52"/>
      <c r="AH53" s="52">
        <f t="shared" si="79"/>
        <v>1000</v>
      </c>
      <c r="AI53" s="52"/>
      <c r="AJ53" s="52"/>
      <c r="AK53" s="52"/>
      <c r="AL53" s="52">
        <f>$E53*1000</f>
        <v>1000</v>
      </c>
      <c r="AM53" s="52"/>
      <c r="AN53" s="52"/>
      <c r="AO53" s="52"/>
      <c r="AP53" s="52">
        <f>$E53*1000</f>
        <v>1000</v>
      </c>
      <c r="AQ53" s="52"/>
      <c r="AR53" s="52"/>
      <c r="AS53" s="52"/>
      <c r="AT53" s="52">
        <f t="shared" si="80"/>
        <v>1000</v>
      </c>
      <c r="AU53" s="52"/>
      <c r="AV53" s="52"/>
      <c r="AW53" s="52"/>
      <c r="AX53" s="52">
        <f>$E53*1000</f>
        <v>1000</v>
      </c>
      <c r="AY53" s="52"/>
      <c r="AZ53" s="52"/>
      <c r="BA53" s="52"/>
      <c r="BB53" s="52">
        <f t="shared" si="50"/>
        <v>12000</v>
      </c>
      <c r="BC53" s="52">
        <f t="shared" si="51"/>
        <v>0</v>
      </c>
      <c r="BE53">
        <f ca="1">'Monthly Collection-2024)'!CC53</f>
        <v>0</v>
      </c>
      <c r="BF53" t="str">
        <f t="shared" ca="1" si="52"/>
        <v/>
      </c>
      <c r="BG53">
        <f t="shared" ca="1" si="53"/>
        <v>0</v>
      </c>
      <c r="BH53" t="str">
        <f t="shared" ca="1" si="54"/>
        <v/>
      </c>
      <c r="BI53">
        <f t="shared" ca="1" si="55"/>
        <v>0</v>
      </c>
      <c r="BJ53" t="str">
        <f t="shared" ca="1" si="56"/>
        <v/>
      </c>
      <c r="BK53">
        <f t="shared" ca="1" si="57"/>
        <v>0</v>
      </c>
      <c r="BL53" t="str">
        <f t="shared" ca="1" si="58"/>
        <v/>
      </c>
      <c r="BM53">
        <f t="shared" ca="1" si="59"/>
        <v>0</v>
      </c>
      <c r="BN53" t="str">
        <f t="shared" ca="1" si="60"/>
        <v/>
      </c>
      <c r="BO53">
        <f t="shared" ca="1" si="61"/>
        <v>0</v>
      </c>
      <c r="BP53" t="str">
        <f t="shared" ca="1" si="62"/>
        <v/>
      </c>
      <c r="BQ53">
        <f t="shared" ca="1" si="63"/>
        <v>0</v>
      </c>
      <c r="BR53" t="str">
        <f t="shared" ca="1" si="64"/>
        <v/>
      </c>
      <c r="BS53">
        <f t="shared" ca="1" si="65"/>
        <v>0</v>
      </c>
      <c r="BT53" t="str">
        <f t="shared" ca="1" si="66"/>
        <v/>
      </c>
      <c r="BU53">
        <f t="shared" ca="1" si="67"/>
        <v>0</v>
      </c>
      <c r="BV53" t="str">
        <f t="shared" ca="1" si="68"/>
        <v/>
      </c>
      <c r="BW53">
        <f t="shared" ca="1" si="69"/>
        <v>0</v>
      </c>
      <c r="BX53" t="str">
        <f t="shared" ca="1" si="70"/>
        <v/>
      </c>
      <c r="BY53">
        <f t="shared" ca="1" si="71"/>
        <v>0</v>
      </c>
      <c r="BZ53" t="str">
        <f t="shared" ca="1" si="72"/>
        <v/>
      </c>
      <c r="CA53">
        <f t="shared" ca="1" si="73"/>
        <v>0</v>
      </c>
      <c r="CB53" t="str">
        <f t="shared" ca="1" si="74"/>
        <v/>
      </c>
      <c r="CC53">
        <f t="shared" ca="1" si="75"/>
        <v>0</v>
      </c>
    </row>
    <row r="54" spans="2:81" ht="14.25" customHeight="1" x14ac:dyDescent="0.3">
      <c r="B54" s="55">
        <f t="shared" si="48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>
        <f>$E54*1000</f>
        <v>3000</v>
      </c>
      <c r="G54" s="56"/>
      <c r="H54" s="56"/>
      <c r="I54" s="56"/>
      <c r="J54" s="56">
        <f>$E54*1000</f>
        <v>3000</v>
      </c>
      <c r="K54" s="56"/>
      <c r="L54" s="56"/>
      <c r="M54" s="56"/>
      <c r="N54" s="56">
        <f>$E54*1000</f>
        <v>3000</v>
      </c>
      <c r="O54" s="56"/>
      <c r="P54" s="56"/>
      <c r="Q54" s="56"/>
      <c r="R54" s="56">
        <f>$E54*1000</f>
        <v>3000</v>
      </c>
      <c r="S54" s="56"/>
      <c r="T54" s="56"/>
      <c r="U54" s="56"/>
      <c r="V54" s="56">
        <f t="shared" si="77"/>
        <v>3000</v>
      </c>
      <c r="W54" s="56"/>
      <c r="X54" s="56"/>
      <c r="Y54" s="56"/>
      <c r="Z54" s="56">
        <f t="shared" si="78"/>
        <v>3000</v>
      </c>
      <c r="AA54" s="56"/>
      <c r="AB54" s="56"/>
      <c r="AC54" s="56"/>
      <c r="AD54" s="56">
        <f>$E54*1000</f>
        <v>3000</v>
      </c>
      <c r="AE54" s="56"/>
      <c r="AF54" s="56"/>
      <c r="AG54" s="56"/>
      <c r="AH54" s="56">
        <f t="shared" si="79"/>
        <v>3000</v>
      </c>
      <c r="AI54" s="56"/>
      <c r="AJ54" s="56"/>
      <c r="AK54" s="56"/>
      <c r="AL54" s="56">
        <f>$E54*1000</f>
        <v>3000</v>
      </c>
      <c r="AM54" s="56"/>
      <c r="AN54" s="56"/>
      <c r="AO54" s="56"/>
      <c r="AP54" s="56">
        <f>$E54*1000</f>
        <v>3000</v>
      </c>
      <c r="AQ54" s="56"/>
      <c r="AR54" s="56"/>
      <c r="AS54" s="56"/>
      <c r="AT54" s="56">
        <f t="shared" si="80"/>
        <v>3000</v>
      </c>
      <c r="AU54" s="56"/>
      <c r="AV54" s="56"/>
      <c r="AW54" s="56"/>
      <c r="AX54" s="56">
        <f>$E54*1000</f>
        <v>3000</v>
      </c>
      <c r="AY54" s="56"/>
      <c r="AZ54" s="56"/>
      <c r="BA54" s="56"/>
      <c r="BB54" s="56">
        <f t="shared" si="50"/>
        <v>36000</v>
      </c>
      <c r="BC54" s="56">
        <f t="shared" si="51"/>
        <v>0</v>
      </c>
      <c r="BE54">
        <f ca="1">'Monthly Collection-2024)'!CC54</f>
        <v>0</v>
      </c>
      <c r="BF54" t="str">
        <f t="shared" ca="1" si="52"/>
        <v/>
      </c>
      <c r="BG54">
        <f t="shared" ca="1" si="53"/>
        <v>0</v>
      </c>
      <c r="BH54" t="str">
        <f t="shared" ca="1" si="54"/>
        <v/>
      </c>
      <c r="BI54">
        <f t="shared" ca="1" si="55"/>
        <v>0</v>
      </c>
      <c r="BJ54" t="str">
        <f t="shared" ca="1" si="56"/>
        <v/>
      </c>
      <c r="BK54">
        <f t="shared" ca="1" si="57"/>
        <v>0</v>
      </c>
      <c r="BL54" t="str">
        <f t="shared" ca="1" si="58"/>
        <v/>
      </c>
      <c r="BM54">
        <f t="shared" ca="1" si="59"/>
        <v>0</v>
      </c>
      <c r="BN54" t="str">
        <f t="shared" ca="1" si="60"/>
        <v/>
      </c>
      <c r="BO54">
        <f t="shared" ca="1" si="61"/>
        <v>0</v>
      </c>
      <c r="BP54" t="str">
        <f t="shared" ca="1" si="62"/>
        <v/>
      </c>
      <c r="BQ54">
        <f t="shared" ca="1" si="63"/>
        <v>0</v>
      </c>
      <c r="BR54" t="str">
        <f t="shared" ca="1" si="64"/>
        <v/>
      </c>
      <c r="BS54">
        <f t="shared" ca="1" si="65"/>
        <v>0</v>
      </c>
      <c r="BT54" t="str">
        <f t="shared" ca="1" si="66"/>
        <v/>
      </c>
      <c r="BU54">
        <f t="shared" ca="1" si="67"/>
        <v>0</v>
      </c>
      <c r="BV54" t="str">
        <f t="shared" ca="1" si="68"/>
        <v/>
      </c>
      <c r="BW54">
        <f t="shared" ca="1" si="69"/>
        <v>0</v>
      </c>
      <c r="BX54" t="str">
        <f t="shared" ca="1" si="70"/>
        <v/>
      </c>
      <c r="BY54">
        <f t="shared" ca="1" si="71"/>
        <v>0</v>
      </c>
      <c r="BZ54" t="str">
        <f t="shared" ca="1" si="72"/>
        <v/>
      </c>
      <c r="CA54">
        <f t="shared" ca="1" si="73"/>
        <v>0</v>
      </c>
      <c r="CB54" t="str">
        <f t="shared" ca="1" si="74"/>
        <v/>
      </c>
      <c r="CC54">
        <f t="shared" ca="1" si="75"/>
        <v>0</v>
      </c>
    </row>
    <row r="55" spans="2:81" ht="14.25" customHeight="1" x14ac:dyDescent="0.3">
      <c r="B55" s="51">
        <f t="shared" si="48"/>
        <v>52</v>
      </c>
      <c r="C55" s="52" t="s">
        <v>121</v>
      </c>
      <c r="D55" s="16">
        <f>'Member Wise Deposit Summary'!D55</f>
        <v>1833903155</v>
      </c>
      <c r="E55" s="52">
        <v>1</v>
      </c>
      <c r="F55" s="243"/>
      <c r="G55" s="52"/>
      <c r="H55" s="52"/>
      <c r="I55" s="52"/>
      <c r="J55" s="243"/>
      <c r="K55" s="52"/>
      <c r="L55" s="52"/>
      <c r="M55" s="52"/>
      <c r="N55" s="243"/>
      <c r="O55" s="52"/>
      <c r="P55" s="52"/>
      <c r="Q55" s="52"/>
      <c r="R55" s="52">
        <f>$E55*1000</f>
        <v>1000</v>
      </c>
      <c r="S55" s="52"/>
      <c r="T55" s="52">
        <v>3000</v>
      </c>
      <c r="U55" s="52">
        <v>150</v>
      </c>
      <c r="V55" s="243"/>
      <c r="W55" s="52"/>
      <c r="X55" s="52"/>
      <c r="Y55" s="52"/>
      <c r="Z55" s="52">
        <f t="shared" si="78"/>
        <v>1000</v>
      </c>
      <c r="AA55" s="52"/>
      <c r="AB55" s="52">
        <v>1000</v>
      </c>
      <c r="AC55" s="52">
        <v>50</v>
      </c>
      <c r="AD55" s="243"/>
      <c r="AE55" s="52"/>
      <c r="AF55" s="52"/>
      <c r="AG55" s="52"/>
      <c r="AH55" s="52">
        <f t="shared" si="79"/>
        <v>1000</v>
      </c>
      <c r="AI55" s="52"/>
      <c r="AJ55" s="52">
        <v>1000</v>
      </c>
      <c r="AK55" s="52">
        <v>50</v>
      </c>
      <c r="AL55" s="243"/>
      <c r="AM55" s="52"/>
      <c r="AN55" s="52"/>
      <c r="AO55" s="52"/>
      <c r="AP55" s="243"/>
      <c r="AQ55" s="52"/>
      <c r="AR55" s="52"/>
      <c r="AS55" s="52"/>
      <c r="AT55" s="52">
        <f t="shared" si="80"/>
        <v>1000</v>
      </c>
      <c r="AU55" s="52"/>
      <c r="AV55" s="52">
        <v>2000</v>
      </c>
      <c r="AW55" s="52">
        <v>100</v>
      </c>
      <c r="AX55" s="243"/>
      <c r="AY55" s="52"/>
      <c r="AZ55" s="52"/>
      <c r="BA55" s="52"/>
      <c r="BB55" s="52">
        <f t="shared" si="50"/>
        <v>11000</v>
      </c>
      <c r="BC55" s="52">
        <f t="shared" si="51"/>
        <v>350</v>
      </c>
      <c r="BE55">
        <f ca="1">'Monthly Collection-2024)'!CC55</f>
        <v>0</v>
      </c>
      <c r="BF55" t="str">
        <f t="shared" ca="1" si="52"/>
        <v>R</v>
      </c>
      <c r="BG55">
        <f t="shared" ca="1" si="53"/>
        <v>0</v>
      </c>
      <c r="BH55" t="str">
        <f t="shared" ca="1" si="54"/>
        <v>R</v>
      </c>
      <c r="BI55">
        <f t="shared" ca="1" si="55"/>
        <v>0</v>
      </c>
      <c r="BJ55" t="str">
        <f t="shared" ca="1" si="56"/>
        <v>R</v>
      </c>
      <c r="BK55">
        <f t="shared" ca="1" si="57"/>
        <v>0</v>
      </c>
      <c r="BL55" t="str">
        <f t="shared" ca="1" si="58"/>
        <v/>
      </c>
      <c r="BM55">
        <f t="shared" ca="1" si="59"/>
        <v>0</v>
      </c>
      <c r="BN55" t="str">
        <f t="shared" ca="1" si="60"/>
        <v>R</v>
      </c>
      <c r="BO55">
        <f t="shared" ca="1" si="61"/>
        <v>0</v>
      </c>
      <c r="BP55" t="str">
        <f t="shared" ca="1" si="62"/>
        <v/>
      </c>
      <c r="BQ55">
        <f t="shared" ca="1" si="63"/>
        <v>0</v>
      </c>
      <c r="BR55" t="str">
        <f t="shared" ca="1" si="64"/>
        <v>R</v>
      </c>
      <c r="BS55">
        <f t="shared" ca="1" si="65"/>
        <v>0</v>
      </c>
      <c r="BT55" t="str">
        <f t="shared" ca="1" si="66"/>
        <v/>
      </c>
      <c r="BU55">
        <f t="shared" ca="1" si="67"/>
        <v>0</v>
      </c>
      <c r="BV55" t="str">
        <f t="shared" ca="1" si="68"/>
        <v>R</v>
      </c>
      <c r="BW55">
        <f t="shared" ca="1" si="69"/>
        <v>0</v>
      </c>
      <c r="BX55" t="str">
        <f t="shared" ca="1" si="70"/>
        <v>R</v>
      </c>
      <c r="BY55">
        <f t="shared" ca="1" si="71"/>
        <v>0</v>
      </c>
      <c r="BZ55" t="str">
        <f t="shared" ca="1" si="72"/>
        <v/>
      </c>
      <c r="CA55">
        <f t="shared" ca="1" si="73"/>
        <v>0</v>
      </c>
      <c r="CB55" t="str">
        <f t="shared" ca="1" si="74"/>
        <v>R</v>
      </c>
      <c r="CC55">
        <f t="shared" ca="1" si="75"/>
        <v>0</v>
      </c>
    </row>
    <row r="56" spans="2:81" ht="14.25" customHeight="1" x14ac:dyDescent="0.3">
      <c r="B56" s="55">
        <f t="shared" si="48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>
        <f>$E56*1000</f>
        <v>1000</v>
      </c>
      <c r="G56" s="56"/>
      <c r="H56" s="56"/>
      <c r="I56" s="56"/>
      <c r="J56" s="56">
        <f>$E56*1000</f>
        <v>1000</v>
      </c>
      <c r="K56" s="56"/>
      <c r="L56" s="56"/>
      <c r="M56" s="56"/>
      <c r="N56" s="56">
        <f>$E56*1000</f>
        <v>1000</v>
      </c>
      <c r="O56" s="56"/>
      <c r="P56" s="56"/>
      <c r="Q56" s="56"/>
      <c r="R56" s="56">
        <f>$E56*1000</f>
        <v>1000</v>
      </c>
      <c r="S56" s="56"/>
      <c r="T56" s="56"/>
      <c r="U56" s="56"/>
      <c r="V56" s="56">
        <f t="shared" ref="V56:V64" si="81">$E56*1000</f>
        <v>1000</v>
      </c>
      <c r="W56" s="56"/>
      <c r="X56" s="56"/>
      <c r="Y56" s="56"/>
      <c r="Z56" s="56">
        <f t="shared" si="78"/>
        <v>1000</v>
      </c>
      <c r="AA56" s="56"/>
      <c r="AB56" s="56"/>
      <c r="AC56" s="56"/>
      <c r="AD56" s="56">
        <f>$E56*1000</f>
        <v>1000</v>
      </c>
      <c r="AE56" s="56"/>
      <c r="AF56" s="56"/>
      <c r="AG56" s="56"/>
      <c r="AH56" s="56">
        <f t="shared" si="79"/>
        <v>1000</v>
      </c>
      <c r="AI56" s="56"/>
      <c r="AJ56" s="56"/>
      <c r="AK56" s="56"/>
      <c r="AL56" s="56">
        <f t="shared" ref="AL56:AL76" si="82">$E56*1000</f>
        <v>1000</v>
      </c>
      <c r="AM56" s="56"/>
      <c r="AN56" s="56"/>
      <c r="AO56" s="56"/>
      <c r="AP56" s="56">
        <f>$E56*1000</f>
        <v>1000</v>
      </c>
      <c r="AQ56" s="56"/>
      <c r="AR56" s="56"/>
      <c r="AS56" s="56"/>
      <c r="AT56" s="56">
        <f t="shared" si="80"/>
        <v>1000</v>
      </c>
      <c r="AU56" s="56"/>
      <c r="AV56" s="56"/>
      <c r="AW56" s="56"/>
      <c r="AX56" s="56">
        <f>$E56*1000</f>
        <v>1000</v>
      </c>
      <c r="AY56" s="56"/>
      <c r="AZ56" s="56"/>
      <c r="BA56" s="56"/>
      <c r="BB56" s="56">
        <f t="shared" si="50"/>
        <v>12000</v>
      </c>
      <c r="BC56" s="56">
        <f t="shared" si="51"/>
        <v>0</v>
      </c>
      <c r="BE56">
        <f ca="1">'Monthly Collection-2024)'!CC56</f>
        <v>0</v>
      </c>
      <c r="BF56" t="str">
        <f t="shared" ca="1" si="52"/>
        <v/>
      </c>
      <c r="BG56">
        <f t="shared" ca="1" si="53"/>
        <v>0</v>
      </c>
      <c r="BH56" t="str">
        <f t="shared" ca="1" si="54"/>
        <v/>
      </c>
      <c r="BI56">
        <f t="shared" ca="1" si="55"/>
        <v>0</v>
      </c>
      <c r="BJ56" t="str">
        <f t="shared" ca="1" si="56"/>
        <v/>
      </c>
      <c r="BK56">
        <f t="shared" ca="1" si="57"/>
        <v>0</v>
      </c>
      <c r="BL56" t="str">
        <f t="shared" ca="1" si="58"/>
        <v/>
      </c>
      <c r="BM56">
        <f t="shared" ca="1" si="59"/>
        <v>0</v>
      </c>
      <c r="BN56" t="str">
        <f t="shared" ca="1" si="60"/>
        <v/>
      </c>
      <c r="BO56">
        <f t="shared" ca="1" si="61"/>
        <v>0</v>
      </c>
      <c r="BP56" t="str">
        <f t="shared" ca="1" si="62"/>
        <v/>
      </c>
      <c r="BQ56">
        <f t="shared" ca="1" si="63"/>
        <v>0</v>
      </c>
      <c r="BR56" t="str">
        <f t="shared" ca="1" si="64"/>
        <v/>
      </c>
      <c r="BS56">
        <f t="shared" ca="1" si="65"/>
        <v>0</v>
      </c>
      <c r="BT56" t="str">
        <f t="shared" ca="1" si="66"/>
        <v/>
      </c>
      <c r="BU56">
        <f t="shared" ca="1" si="67"/>
        <v>0</v>
      </c>
      <c r="BV56" t="str">
        <f t="shared" ca="1" si="68"/>
        <v/>
      </c>
      <c r="BW56">
        <f t="shared" ca="1" si="69"/>
        <v>0</v>
      </c>
      <c r="BX56" t="str">
        <f t="shared" ca="1" si="70"/>
        <v/>
      </c>
      <c r="BY56">
        <f t="shared" ca="1" si="71"/>
        <v>0</v>
      </c>
      <c r="BZ56" t="str">
        <f t="shared" ca="1" si="72"/>
        <v/>
      </c>
      <c r="CA56">
        <f t="shared" ca="1" si="73"/>
        <v>0</v>
      </c>
      <c r="CB56" t="str">
        <f t="shared" ca="1" si="74"/>
        <v/>
      </c>
      <c r="CC56">
        <f t="shared" ca="1" si="75"/>
        <v>0</v>
      </c>
    </row>
    <row r="57" spans="2:81" ht="14.25" customHeight="1" x14ac:dyDescent="0.3">
      <c r="B57" s="51">
        <f t="shared" si="48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>
        <f>$E57*1000</f>
        <v>1000</v>
      </c>
      <c r="G57" s="52"/>
      <c r="H57" s="52"/>
      <c r="I57" s="52"/>
      <c r="J57" s="52">
        <f>$E57*1000</f>
        <v>1000</v>
      </c>
      <c r="K57" s="52"/>
      <c r="L57" s="52"/>
      <c r="M57" s="52"/>
      <c r="N57" s="52">
        <f>$E57*1000</f>
        <v>1000</v>
      </c>
      <c r="O57" s="52"/>
      <c r="P57" s="52"/>
      <c r="Q57" s="52"/>
      <c r="R57" s="243"/>
      <c r="S57" s="52"/>
      <c r="T57" s="52"/>
      <c r="U57" s="52"/>
      <c r="V57" s="52">
        <f t="shared" si="81"/>
        <v>1000</v>
      </c>
      <c r="W57" s="52"/>
      <c r="X57" s="52">
        <v>1000</v>
      </c>
      <c r="Y57" s="52">
        <v>50</v>
      </c>
      <c r="Z57" s="52">
        <f t="shared" si="78"/>
        <v>1000</v>
      </c>
      <c r="AA57" s="52"/>
      <c r="AB57" s="52"/>
      <c r="AC57" s="52"/>
      <c r="AD57" s="52">
        <f>$E57*1000</f>
        <v>1000</v>
      </c>
      <c r="AE57" s="52"/>
      <c r="AF57" s="52"/>
      <c r="AG57" s="52"/>
      <c r="AH57" s="52">
        <f t="shared" si="79"/>
        <v>1000</v>
      </c>
      <c r="AI57" s="52"/>
      <c r="AJ57" s="52"/>
      <c r="AK57" s="52"/>
      <c r="AL57" s="52">
        <f t="shared" si="82"/>
        <v>1000</v>
      </c>
      <c r="AM57" s="52"/>
      <c r="AN57" s="52"/>
      <c r="AO57" s="52"/>
      <c r="AP57" s="52">
        <f>$E57*1000</f>
        <v>1000</v>
      </c>
      <c r="AQ57" s="52"/>
      <c r="AR57" s="52"/>
      <c r="AS57" s="52"/>
      <c r="AT57" s="52">
        <f t="shared" si="80"/>
        <v>1000</v>
      </c>
      <c r="AU57" s="52"/>
      <c r="AV57" s="52"/>
      <c r="AW57" s="52"/>
      <c r="AX57" s="52">
        <f>$E57*1000</f>
        <v>1000</v>
      </c>
      <c r="AY57" s="52"/>
      <c r="AZ57" s="52"/>
      <c r="BA57" s="52"/>
      <c r="BB57" s="52">
        <f t="shared" si="50"/>
        <v>12000</v>
      </c>
      <c r="BC57" s="52">
        <f t="shared" si="51"/>
        <v>50</v>
      </c>
      <c r="BE57">
        <f ca="1">'Monthly Collection-2024)'!CC57</f>
        <v>0</v>
      </c>
      <c r="BF57" t="str">
        <f t="shared" ca="1" si="52"/>
        <v/>
      </c>
      <c r="BG57">
        <f t="shared" ca="1" si="53"/>
        <v>0</v>
      </c>
      <c r="BH57" t="str">
        <f t="shared" ca="1" si="54"/>
        <v/>
      </c>
      <c r="BI57">
        <f t="shared" ca="1" si="55"/>
        <v>0</v>
      </c>
      <c r="BJ57" t="str">
        <f t="shared" ca="1" si="56"/>
        <v/>
      </c>
      <c r="BK57">
        <f t="shared" ca="1" si="57"/>
        <v>0</v>
      </c>
      <c r="BL57" t="str">
        <f t="shared" ca="1" si="58"/>
        <v>R</v>
      </c>
      <c r="BM57">
        <f t="shared" ca="1" si="59"/>
        <v>0</v>
      </c>
      <c r="BN57" t="str">
        <f t="shared" ca="1" si="60"/>
        <v/>
      </c>
      <c r="BO57">
        <f t="shared" ca="1" si="61"/>
        <v>0</v>
      </c>
      <c r="BP57" t="str">
        <f t="shared" ca="1" si="62"/>
        <v/>
      </c>
      <c r="BQ57">
        <f t="shared" ca="1" si="63"/>
        <v>0</v>
      </c>
      <c r="BR57" t="str">
        <f t="shared" ca="1" si="64"/>
        <v/>
      </c>
      <c r="BS57">
        <f t="shared" ca="1" si="65"/>
        <v>0</v>
      </c>
      <c r="BT57" t="str">
        <f t="shared" ca="1" si="66"/>
        <v/>
      </c>
      <c r="BU57">
        <f t="shared" ca="1" si="67"/>
        <v>0</v>
      </c>
      <c r="BV57" t="str">
        <f t="shared" ca="1" si="68"/>
        <v/>
      </c>
      <c r="BW57">
        <f t="shared" ca="1" si="69"/>
        <v>0</v>
      </c>
      <c r="BX57" t="str">
        <f t="shared" ca="1" si="70"/>
        <v/>
      </c>
      <c r="BY57">
        <f t="shared" ca="1" si="71"/>
        <v>0</v>
      </c>
      <c r="BZ57" t="str">
        <f t="shared" ca="1" si="72"/>
        <v/>
      </c>
      <c r="CA57">
        <f t="shared" ca="1" si="73"/>
        <v>0</v>
      </c>
      <c r="CB57" t="str">
        <f t="shared" ca="1" si="74"/>
        <v/>
      </c>
      <c r="CC57">
        <f t="shared" ca="1" si="75"/>
        <v>0</v>
      </c>
    </row>
    <row r="58" spans="2:81" ht="14.25" customHeight="1" x14ac:dyDescent="0.3">
      <c r="B58" s="55">
        <f t="shared" si="48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244"/>
      <c r="G58" s="56"/>
      <c r="H58" s="56"/>
      <c r="I58" s="56"/>
      <c r="J58" s="244"/>
      <c r="K58" s="56"/>
      <c r="L58" s="56"/>
      <c r="M58" s="56"/>
      <c r="N58" s="244"/>
      <c r="O58" s="56"/>
      <c r="P58" s="56"/>
      <c r="Q58" s="56"/>
      <c r="R58" s="244"/>
      <c r="S58" s="56"/>
      <c r="T58" s="56"/>
      <c r="U58" s="56"/>
      <c r="V58" s="56">
        <f t="shared" si="81"/>
        <v>2000</v>
      </c>
      <c r="W58" s="56">
        <v>6000</v>
      </c>
      <c r="X58" s="56"/>
      <c r="Y58" s="56"/>
      <c r="Z58" s="244"/>
      <c r="AA58" s="56"/>
      <c r="AB58" s="56"/>
      <c r="AC58" s="56"/>
      <c r="AD58" s="244"/>
      <c r="AE58" s="56"/>
      <c r="AF58" s="56"/>
      <c r="AG58" s="56"/>
      <c r="AH58" s="244"/>
      <c r="AI58" s="56"/>
      <c r="AJ58" s="56"/>
      <c r="AK58" s="56"/>
      <c r="AL58" s="56">
        <f t="shared" si="82"/>
        <v>2000</v>
      </c>
      <c r="AM58" s="56">
        <v>10000</v>
      </c>
      <c r="AN58" s="56"/>
      <c r="AO58" s="56"/>
      <c r="AP58" s="244"/>
      <c r="AQ58" s="56"/>
      <c r="AR58" s="56"/>
      <c r="AS58" s="56"/>
      <c r="AT58" s="244"/>
      <c r="AU58" s="56"/>
      <c r="AV58" s="56"/>
      <c r="AW58" s="56"/>
      <c r="AX58" s="244"/>
      <c r="AY58" s="56"/>
      <c r="AZ58" s="56"/>
      <c r="BA58" s="56"/>
      <c r="BB58" s="56">
        <f t="shared" si="50"/>
        <v>20000</v>
      </c>
      <c r="BC58" s="56">
        <f t="shared" si="51"/>
        <v>0</v>
      </c>
      <c r="BE58">
        <f ca="1">'Monthly Collection-2024)'!CC58</f>
        <v>8000</v>
      </c>
      <c r="BF58" t="str">
        <f t="shared" ca="1" si="52"/>
        <v>G</v>
      </c>
      <c r="BG58">
        <f t="shared" ca="1" si="53"/>
        <v>6000</v>
      </c>
      <c r="BH58" t="str">
        <f t="shared" ca="1" si="54"/>
        <v>G</v>
      </c>
      <c r="BI58">
        <f t="shared" ca="1" si="55"/>
        <v>4000</v>
      </c>
      <c r="BJ58" t="str">
        <f t="shared" ca="1" si="56"/>
        <v>G</v>
      </c>
      <c r="BK58">
        <f t="shared" ca="1" si="57"/>
        <v>2000</v>
      </c>
      <c r="BL58" t="str">
        <f t="shared" ca="1" si="58"/>
        <v>G</v>
      </c>
      <c r="BM58">
        <f t="shared" ca="1" si="59"/>
        <v>0</v>
      </c>
      <c r="BN58" t="str">
        <f t="shared" ca="1" si="60"/>
        <v/>
      </c>
      <c r="BO58">
        <f t="shared" ca="1" si="61"/>
        <v>6000</v>
      </c>
      <c r="BP58" t="str">
        <f t="shared" ca="1" si="62"/>
        <v>G</v>
      </c>
      <c r="BQ58">
        <f t="shared" ca="1" si="63"/>
        <v>4000</v>
      </c>
      <c r="BR58" t="str">
        <f t="shared" ca="1" si="64"/>
        <v>G</v>
      </c>
      <c r="BS58">
        <f t="shared" ca="1" si="65"/>
        <v>2000</v>
      </c>
      <c r="BT58" t="str">
        <f t="shared" ca="1" si="66"/>
        <v>G</v>
      </c>
      <c r="BU58">
        <f t="shared" ca="1" si="67"/>
        <v>0</v>
      </c>
      <c r="BV58" t="str">
        <f t="shared" ca="1" si="68"/>
        <v/>
      </c>
      <c r="BW58">
        <f t="shared" ca="1" si="69"/>
        <v>10000</v>
      </c>
      <c r="BX58" t="str">
        <f t="shared" ca="1" si="70"/>
        <v>G</v>
      </c>
      <c r="BY58">
        <f t="shared" ca="1" si="71"/>
        <v>8000</v>
      </c>
      <c r="BZ58" t="str">
        <f t="shared" ca="1" si="72"/>
        <v>G</v>
      </c>
      <c r="CA58">
        <f t="shared" ca="1" si="73"/>
        <v>6000</v>
      </c>
      <c r="CB58" t="str">
        <f t="shared" ca="1" si="74"/>
        <v>G</v>
      </c>
      <c r="CC58">
        <f t="shared" ca="1" si="75"/>
        <v>4000</v>
      </c>
    </row>
    <row r="59" spans="2:81" ht="14.25" customHeight="1" x14ac:dyDescent="0.3">
      <c r="B59" s="51">
        <f t="shared" si="48"/>
        <v>56</v>
      </c>
      <c r="C59" s="52" t="s">
        <v>125</v>
      </c>
      <c r="D59" s="16" t="str">
        <f>'Member Wise Deposit Summary'!D59</f>
        <v>01585430658</v>
      </c>
      <c r="E59" s="52">
        <v>1</v>
      </c>
      <c r="F59" s="52">
        <f t="shared" ref="F59:F64" si="83">$E59*1000</f>
        <v>1000</v>
      </c>
      <c r="G59" s="52"/>
      <c r="H59" s="52"/>
      <c r="I59" s="52"/>
      <c r="J59" s="52">
        <f t="shared" ref="J59:J64" si="84">$E59*1000</f>
        <v>1000</v>
      </c>
      <c r="K59" s="52"/>
      <c r="L59" s="52"/>
      <c r="M59" s="52"/>
      <c r="N59" s="52">
        <f t="shared" ref="N59:N64" si="85">$E59*1000</f>
        <v>1000</v>
      </c>
      <c r="O59" s="52"/>
      <c r="P59" s="52"/>
      <c r="Q59" s="52"/>
      <c r="R59" s="52">
        <f>$E59*1000</f>
        <v>1000</v>
      </c>
      <c r="S59" s="52"/>
      <c r="T59" s="52"/>
      <c r="U59" s="52"/>
      <c r="V59" s="52">
        <f t="shared" si="81"/>
        <v>1000</v>
      </c>
      <c r="W59" s="52"/>
      <c r="X59" s="52"/>
      <c r="Y59" s="52"/>
      <c r="Z59" s="52">
        <f>$E59*1000</f>
        <v>1000</v>
      </c>
      <c r="AA59" s="52"/>
      <c r="AB59" s="52"/>
      <c r="AC59" s="52"/>
      <c r="AD59" s="52">
        <f>$E59*1000</f>
        <v>1000</v>
      </c>
      <c r="AE59" s="52"/>
      <c r="AF59" s="52"/>
      <c r="AG59" s="52"/>
      <c r="AH59" s="52">
        <f t="shared" ref="AH59:AH64" si="86">$E59*1000</f>
        <v>1000</v>
      </c>
      <c r="AI59" s="52"/>
      <c r="AJ59" s="52"/>
      <c r="AK59" s="52"/>
      <c r="AL59" s="52">
        <f t="shared" si="82"/>
        <v>1000</v>
      </c>
      <c r="AM59" s="52"/>
      <c r="AN59" s="52"/>
      <c r="AO59" s="52"/>
      <c r="AP59" s="52">
        <f>$E59*1000</f>
        <v>1000</v>
      </c>
      <c r="AQ59" s="52"/>
      <c r="AR59" s="52"/>
      <c r="AS59" s="52"/>
      <c r="AT59" s="52">
        <f t="shared" ref="AT59:AT64" si="87">$E59*1000</f>
        <v>1000</v>
      </c>
      <c r="AU59" s="52"/>
      <c r="AV59" s="52"/>
      <c r="AW59" s="52"/>
      <c r="AX59" s="52">
        <f>$E59*1000</f>
        <v>1000</v>
      </c>
      <c r="AY59" s="52"/>
      <c r="AZ59" s="52"/>
      <c r="BA59" s="52"/>
      <c r="BB59" s="52">
        <f t="shared" si="50"/>
        <v>12000</v>
      </c>
      <c r="BC59" s="52">
        <f t="shared" si="51"/>
        <v>0</v>
      </c>
      <c r="BE59">
        <f ca="1">'Monthly Collection-2024)'!CC59</f>
        <v>0</v>
      </c>
      <c r="BF59" t="str">
        <f t="shared" ca="1" si="52"/>
        <v/>
      </c>
      <c r="BG59">
        <f t="shared" ca="1" si="53"/>
        <v>0</v>
      </c>
      <c r="BH59" t="str">
        <f t="shared" ca="1" si="54"/>
        <v/>
      </c>
      <c r="BI59">
        <f t="shared" ca="1" si="55"/>
        <v>0</v>
      </c>
      <c r="BJ59" t="str">
        <f t="shared" ca="1" si="56"/>
        <v/>
      </c>
      <c r="BK59">
        <f t="shared" ca="1" si="57"/>
        <v>0</v>
      </c>
      <c r="BL59" t="str">
        <f t="shared" ca="1" si="58"/>
        <v/>
      </c>
      <c r="BM59">
        <f t="shared" ca="1" si="59"/>
        <v>0</v>
      </c>
      <c r="BN59" t="str">
        <f t="shared" ca="1" si="60"/>
        <v/>
      </c>
      <c r="BO59">
        <f t="shared" ca="1" si="61"/>
        <v>0</v>
      </c>
      <c r="BP59" t="str">
        <f t="shared" ca="1" si="62"/>
        <v/>
      </c>
      <c r="BQ59">
        <f t="shared" ca="1" si="63"/>
        <v>0</v>
      </c>
      <c r="BR59" t="str">
        <f t="shared" ca="1" si="64"/>
        <v/>
      </c>
      <c r="BS59">
        <f t="shared" ca="1" si="65"/>
        <v>0</v>
      </c>
      <c r="BT59" t="str">
        <f t="shared" ca="1" si="66"/>
        <v/>
      </c>
      <c r="BU59">
        <f t="shared" ca="1" si="67"/>
        <v>0</v>
      </c>
      <c r="BV59" t="str">
        <f t="shared" ca="1" si="68"/>
        <v/>
      </c>
      <c r="BW59">
        <f t="shared" ca="1" si="69"/>
        <v>0</v>
      </c>
      <c r="BX59" t="str">
        <f t="shared" ca="1" si="70"/>
        <v/>
      </c>
      <c r="BY59">
        <f t="shared" ca="1" si="71"/>
        <v>0</v>
      </c>
      <c r="BZ59" t="str">
        <f t="shared" ca="1" si="72"/>
        <v/>
      </c>
      <c r="CA59">
        <f t="shared" ca="1" si="73"/>
        <v>0</v>
      </c>
      <c r="CB59" t="str">
        <f t="shared" ca="1" si="74"/>
        <v/>
      </c>
      <c r="CC59">
        <f t="shared" ca="1" si="75"/>
        <v>0</v>
      </c>
    </row>
    <row r="60" spans="2:81" ht="14.25" customHeight="1" x14ac:dyDescent="0.3">
      <c r="B60" s="55">
        <f t="shared" si="48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56">
        <f t="shared" si="83"/>
        <v>1000</v>
      </c>
      <c r="G60" s="56"/>
      <c r="H60" s="56">
        <v>1000</v>
      </c>
      <c r="I60" s="56">
        <v>50</v>
      </c>
      <c r="J60" s="56">
        <f t="shared" si="84"/>
        <v>1000</v>
      </c>
      <c r="K60" s="56"/>
      <c r="L60" s="56"/>
      <c r="M60" s="56"/>
      <c r="N60" s="56">
        <f t="shared" si="85"/>
        <v>1000</v>
      </c>
      <c r="O60" s="56"/>
      <c r="P60" s="56"/>
      <c r="Q60" s="56"/>
      <c r="R60" s="241"/>
      <c r="S60" s="56"/>
      <c r="T60" s="56"/>
      <c r="U60" s="56"/>
      <c r="V60" s="56">
        <f t="shared" si="81"/>
        <v>1000</v>
      </c>
      <c r="W60" s="56"/>
      <c r="X60" s="56">
        <v>1000</v>
      </c>
      <c r="Y60" s="56">
        <v>50</v>
      </c>
      <c r="Z60" s="241"/>
      <c r="AA60" s="56"/>
      <c r="AB60" s="56"/>
      <c r="AC60" s="56"/>
      <c r="AD60" s="241"/>
      <c r="AE60" s="56"/>
      <c r="AF60" s="56"/>
      <c r="AG60" s="56"/>
      <c r="AH60" s="56">
        <f t="shared" si="86"/>
        <v>1000</v>
      </c>
      <c r="AI60" s="56"/>
      <c r="AJ60" s="56">
        <v>2000</v>
      </c>
      <c r="AK60" s="56">
        <v>100</v>
      </c>
      <c r="AL60" s="56">
        <f t="shared" si="82"/>
        <v>1000</v>
      </c>
      <c r="AM60" s="56"/>
      <c r="AN60" s="56"/>
      <c r="AO60" s="56"/>
      <c r="AP60" s="241"/>
      <c r="AQ60" s="56"/>
      <c r="AR60" s="56"/>
      <c r="AS60" s="56"/>
      <c r="AT60" s="56">
        <f t="shared" si="87"/>
        <v>1000</v>
      </c>
      <c r="AU60" s="56"/>
      <c r="AV60" s="56">
        <v>1000</v>
      </c>
      <c r="AW60" s="56">
        <v>50</v>
      </c>
      <c r="AX60" s="241"/>
      <c r="AY60" s="56"/>
      <c r="AZ60" s="56"/>
      <c r="BA60" s="56"/>
      <c r="BB60" s="56">
        <f t="shared" si="50"/>
        <v>12000</v>
      </c>
      <c r="BC60" s="56">
        <f t="shared" si="51"/>
        <v>250</v>
      </c>
      <c r="BE60">
        <f ca="1">'Monthly Collection-2024)'!CC60</f>
        <v>0</v>
      </c>
      <c r="BF60" t="str">
        <f t="shared" ca="1" si="52"/>
        <v/>
      </c>
      <c r="BG60">
        <f t="shared" ca="1" si="53"/>
        <v>0</v>
      </c>
      <c r="BH60" t="str">
        <f t="shared" ca="1" si="54"/>
        <v/>
      </c>
      <c r="BI60">
        <f t="shared" ca="1" si="55"/>
        <v>0</v>
      </c>
      <c r="BJ60" t="str">
        <f t="shared" ca="1" si="56"/>
        <v/>
      </c>
      <c r="BK60">
        <f t="shared" ca="1" si="57"/>
        <v>0</v>
      </c>
      <c r="BL60" t="str">
        <f t="shared" ca="1" si="58"/>
        <v>R</v>
      </c>
      <c r="BM60">
        <f t="shared" ca="1" si="59"/>
        <v>0</v>
      </c>
      <c r="BN60" t="str">
        <f t="shared" ca="1" si="60"/>
        <v/>
      </c>
      <c r="BO60">
        <f t="shared" ca="1" si="61"/>
        <v>0</v>
      </c>
      <c r="BP60" t="str">
        <f t="shared" ca="1" si="62"/>
        <v>R</v>
      </c>
      <c r="BQ60">
        <f t="shared" ca="1" si="63"/>
        <v>0</v>
      </c>
      <c r="BR60" t="str">
        <f t="shared" ca="1" si="64"/>
        <v>R</v>
      </c>
      <c r="BS60">
        <f t="shared" ca="1" si="65"/>
        <v>0</v>
      </c>
      <c r="BT60" t="str">
        <f t="shared" ca="1" si="66"/>
        <v/>
      </c>
      <c r="BU60">
        <f t="shared" ca="1" si="67"/>
        <v>0</v>
      </c>
      <c r="BV60" t="str">
        <f t="shared" ca="1" si="68"/>
        <v/>
      </c>
      <c r="BW60">
        <f t="shared" ca="1" si="69"/>
        <v>0</v>
      </c>
      <c r="BX60" t="str">
        <f t="shared" ca="1" si="70"/>
        <v>R</v>
      </c>
      <c r="BY60">
        <f t="shared" ca="1" si="71"/>
        <v>0</v>
      </c>
      <c r="BZ60" t="str">
        <f t="shared" ca="1" si="72"/>
        <v/>
      </c>
      <c r="CA60">
        <f t="shared" ca="1" si="73"/>
        <v>0</v>
      </c>
      <c r="CB60" t="str">
        <f t="shared" ca="1" si="74"/>
        <v>R</v>
      </c>
      <c r="CC60">
        <f t="shared" ca="1" si="75"/>
        <v>0</v>
      </c>
    </row>
    <row r="61" spans="2:81" ht="14.25" customHeight="1" x14ac:dyDescent="0.3">
      <c r="B61" s="51">
        <f t="shared" si="48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>
        <f t="shared" si="83"/>
        <v>1000</v>
      </c>
      <c r="G61" s="52"/>
      <c r="H61" s="52"/>
      <c r="I61" s="52"/>
      <c r="J61" s="52">
        <f t="shared" si="84"/>
        <v>1000</v>
      </c>
      <c r="K61" s="52"/>
      <c r="L61" s="52"/>
      <c r="M61" s="52"/>
      <c r="N61" s="52">
        <f t="shared" si="85"/>
        <v>1000</v>
      </c>
      <c r="O61" s="52"/>
      <c r="P61" s="52"/>
      <c r="Q61" s="52"/>
      <c r="R61" s="52">
        <f>$E61*1000</f>
        <v>1000</v>
      </c>
      <c r="S61" s="52"/>
      <c r="T61" s="52"/>
      <c r="U61" s="52"/>
      <c r="V61" s="52">
        <f t="shared" si="81"/>
        <v>1000</v>
      </c>
      <c r="W61" s="52"/>
      <c r="X61" s="52"/>
      <c r="Y61" s="52"/>
      <c r="Z61" s="52">
        <f>$E61*1000</f>
        <v>1000</v>
      </c>
      <c r="AA61" s="52"/>
      <c r="AB61" s="52"/>
      <c r="AC61" s="52"/>
      <c r="AD61" s="52">
        <f>$E61*1000</f>
        <v>1000</v>
      </c>
      <c r="AE61" s="52"/>
      <c r="AF61" s="52"/>
      <c r="AG61" s="52"/>
      <c r="AH61" s="52">
        <f t="shared" si="86"/>
        <v>1000</v>
      </c>
      <c r="AI61" s="52"/>
      <c r="AJ61" s="52"/>
      <c r="AK61" s="52"/>
      <c r="AL61" s="52">
        <f t="shared" si="82"/>
        <v>1000</v>
      </c>
      <c r="AM61" s="52"/>
      <c r="AN61" s="52"/>
      <c r="AO61" s="52"/>
      <c r="AP61" s="52">
        <f>$E61*1000</f>
        <v>1000</v>
      </c>
      <c r="AQ61" s="52"/>
      <c r="AR61" s="52"/>
      <c r="AS61" s="52"/>
      <c r="AT61" s="52">
        <f t="shared" si="87"/>
        <v>1000</v>
      </c>
      <c r="AU61" s="52"/>
      <c r="AV61" s="52"/>
      <c r="AW61" s="52"/>
      <c r="AX61" s="52">
        <f>$E61*1000</f>
        <v>1000</v>
      </c>
      <c r="AY61" s="52"/>
      <c r="AZ61" s="52"/>
      <c r="BA61" s="52"/>
      <c r="BB61" s="52">
        <f t="shared" si="50"/>
        <v>12000</v>
      </c>
      <c r="BC61" s="52">
        <f t="shared" si="51"/>
        <v>0</v>
      </c>
      <c r="BE61">
        <f ca="1">'Monthly Collection-2024)'!CC61</f>
        <v>0</v>
      </c>
      <c r="BF61" t="str">
        <f t="shared" ca="1" si="52"/>
        <v/>
      </c>
      <c r="BG61">
        <f t="shared" ca="1" si="53"/>
        <v>0</v>
      </c>
      <c r="BH61" t="str">
        <f t="shared" ca="1" si="54"/>
        <v/>
      </c>
      <c r="BI61">
        <f t="shared" ca="1" si="55"/>
        <v>0</v>
      </c>
      <c r="BJ61" t="str">
        <f t="shared" ca="1" si="56"/>
        <v/>
      </c>
      <c r="BK61">
        <f t="shared" ca="1" si="57"/>
        <v>0</v>
      </c>
      <c r="BL61" t="str">
        <f t="shared" ca="1" si="58"/>
        <v/>
      </c>
      <c r="BM61">
        <f t="shared" ca="1" si="59"/>
        <v>0</v>
      </c>
      <c r="BN61" t="str">
        <f t="shared" ca="1" si="60"/>
        <v/>
      </c>
      <c r="BO61">
        <f t="shared" ca="1" si="61"/>
        <v>0</v>
      </c>
      <c r="BP61" t="str">
        <f t="shared" ca="1" si="62"/>
        <v/>
      </c>
      <c r="BQ61">
        <f t="shared" ca="1" si="63"/>
        <v>0</v>
      </c>
      <c r="BR61" t="str">
        <f t="shared" ca="1" si="64"/>
        <v/>
      </c>
      <c r="BS61">
        <f t="shared" ca="1" si="65"/>
        <v>0</v>
      </c>
      <c r="BT61" t="str">
        <f t="shared" ca="1" si="66"/>
        <v/>
      </c>
      <c r="BU61">
        <f t="shared" ca="1" si="67"/>
        <v>0</v>
      </c>
      <c r="BV61" t="str">
        <f t="shared" ca="1" si="68"/>
        <v/>
      </c>
      <c r="BW61">
        <f t="shared" ca="1" si="69"/>
        <v>0</v>
      </c>
      <c r="BX61" t="str">
        <f t="shared" ca="1" si="70"/>
        <v/>
      </c>
      <c r="BY61">
        <f t="shared" ca="1" si="71"/>
        <v>0</v>
      </c>
      <c r="BZ61" t="str">
        <f t="shared" ca="1" si="72"/>
        <v/>
      </c>
      <c r="CA61">
        <f t="shared" ca="1" si="73"/>
        <v>0</v>
      </c>
      <c r="CB61" t="str">
        <f t="shared" ca="1" si="74"/>
        <v/>
      </c>
      <c r="CC61">
        <f t="shared" ca="1" si="75"/>
        <v>0</v>
      </c>
    </row>
    <row r="62" spans="2:81" ht="14.25" customHeight="1" x14ac:dyDescent="0.3">
      <c r="B62" s="55">
        <f t="shared" si="48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>
        <f t="shared" si="83"/>
        <v>1000</v>
      </c>
      <c r="G62" s="56"/>
      <c r="H62" s="56"/>
      <c r="I62" s="56"/>
      <c r="J62" s="56">
        <f t="shared" si="84"/>
        <v>1000</v>
      </c>
      <c r="K62" s="56"/>
      <c r="L62" s="56"/>
      <c r="M62" s="56"/>
      <c r="N62" s="56">
        <f t="shared" si="85"/>
        <v>1000</v>
      </c>
      <c r="O62" s="56"/>
      <c r="P62" s="56"/>
      <c r="Q62" s="56"/>
      <c r="R62" s="56">
        <f>$E62*1000</f>
        <v>1000</v>
      </c>
      <c r="S62" s="56"/>
      <c r="T62" s="56"/>
      <c r="U62" s="56"/>
      <c r="V62" s="56">
        <f t="shared" si="81"/>
        <v>1000</v>
      </c>
      <c r="W62" s="56"/>
      <c r="X62" s="56"/>
      <c r="Y62" s="56"/>
      <c r="Z62" s="56">
        <f>$E62*1000</f>
        <v>1000</v>
      </c>
      <c r="AA62" s="56"/>
      <c r="AB62" s="56"/>
      <c r="AC62" s="56"/>
      <c r="AD62" s="56">
        <f>$E62*1000</f>
        <v>1000</v>
      </c>
      <c r="AE62" s="56"/>
      <c r="AF62" s="56"/>
      <c r="AG62" s="56"/>
      <c r="AH62" s="56">
        <f t="shared" si="86"/>
        <v>1000</v>
      </c>
      <c r="AI62" s="56"/>
      <c r="AJ62" s="56"/>
      <c r="AK62" s="56"/>
      <c r="AL62" s="56">
        <f t="shared" si="82"/>
        <v>1000</v>
      </c>
      <c r="AM62" s="56"/>
      <c r="AN62" s="56"/>
      <c r="AO62" s="56"/>
      <c r="AP62" s="56">
        <f>$E62*1000</f>
        <v>1000</v>
      </c>
      <c r="AQ62" s="56"/>
      <c r="AR62" s="56"/>
      <c r="AS62" s="56"/>
      <c r="AT62" s="56">
        <f t="shared" si="87"/>
        <v>1000</v>
      </c>
      <c r="AU62" s="56"/>
      <c r="AV62" s="56"/>
      <c r="AW62" s="56"/>
      <c r="AX62" s="56">
        <f>$E62*1000</f>
        <v>1000</v>
      </c>
      <c r="AY62" s="56"/>
      <c r="AZ62" s="56"/>
      <c r="BA62" s="56"/>
      <c r="BB62" s="56">
        <f t="shared" si="50"/>
        <v>12000</v>
      </c>
      <c r="BC62" s="56">
        <f t="shared" si="51"/>
        <v>0</v>
      </c>
      <c r="BE62">
        <f ca="1">'Monthly Collection-2024)'!CC62</f>
        <v>0</v>
      </c>
      <c r="BF62" t="str">
        <f t="shared" ca="1" si="52"/>
        <v/>
      </c>
      <c r="BG62">
        <f t="shared" ca="1" si="53"/>
        <v>0</v>
      </c>
      <c r="BH62" t="str">
        <f t="shared" ca="1" si="54"/>
        <v/>
      </c>
      <c r="BI62">
        <f t="shared" ca="1" si="55"/>
        <v>0</v>
      </c>
      <c r="BJ62" t="str">
        <f t="shared" ca="1" si="56"/>
        <v/>
      </c>
      <c r="BK62">
        <f t="shared" ca="1" si="57"/>
        <v>0</v>
      </c>
      <c r="BL62" t="str">
        <f t="shared" ca="1" si="58"/>
        <v/>
      </c>
      <c r="BM62">
        <f t="shared" ca="1" si="59"/>
        <v>0</v>
      </c>
      <c r="BN62" t="str">
        <f t="shared" ca="1" si="60"/>
        <v/>
      </c>
      <c r="BO62">
        <f t="shared" ca="1" si="61"/>
        <v>0</v>
      </c>
      <c r="BP62" t="str">
        <f t="shared" ca="1" si="62"/>
        <v/>
      </c>
      <c r="BQ62">
        <f t="shared" ca="1" si="63"/>
        <v>0</v>
      </c>
      <c r="BR62" t="str">
        <f t="shared" ca="1" si="64"/>
        <v/>
      </c>
      <c r="BS62">
        <f t="shared" ca="1" si="65"/>
        <v>0</v>
      </c>
      <c r="BT62" t="str">
        <f t="shared" ca="1" si="66"/>
        <v/>
      </c>
      <c r="BU62">
        <f t="shared" ca="1" si="67"/>
        <v>0</v>
      </c>
      <c r="BV62" t="str">
        <f t="shared" ca="1" si="68"/>
        <v/>
      </c>
      <c r="BW62">
        <f t="shared" ca="1" si="69"/>
        <v>0</v>
      </c>
      <c r="BX62" t="str">
        <f t="shared" ca="1" si="70"/>
        <v/>
      </c>
      <c r="BY62">
        <f t="shared" ca="1" si="71"/>
        <v>0</v>
      </c>
      <c r="BZ62" t="str">
        <f t="shared" ca="1" si="72"/>
        <v/>
      </c>
      <c r="CA62">
        <f t="shared" ca="1" si="73"/>
        <v>0</v>
      </c>
      <c r="CB62" t="str">
        <f t="shared" ca="1" si="74"/>
        <v/>
      </c>
      <c r="CC62">
        <f t="shared" ca="1" si="75"/>
        <v>0</v>
      </c>
    </row>
    <row r="63" spans="2:81" ht="14.25" customHeight="1" x14ac:dyDescent="0.3">
      <c r="B63" s="51">
        <f t="shared" si="48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>
        <f t="shared" si="83"/>
        <v>2000</v>
      </c>
      <c r="G63" s="52"/>
      <c r="H63" s="52"/>
      <c r="I63" s="52"/>
      <c r="J63" s="52">
        <f t="shared" si="84"/>
        <v>2000</v>
      </c>
      <c r="K63" s="52"/>
      <c r="L63" s="52"/>
      <c r="M63" s="52"/>
      <c r="N63" s="52">
        <f t="shared" si="85"/>
        <v>2000</v>
      </c>
      <c r="O63" s="52"/>
      <c r="P63" s="52"/>
      <c r="Q63" s="52"/>
      <c r="R63" s="52">
        <f>$E63*1000</f>
        <v>2000</v>
      </c>
      <c r="S63" s="52"/>
      <c r="T63" s="52"/>
      <c r="U63" s="52"/>
      <c r="V63" s="52">
        <f t="shared" si="81"/>
        <v>2000</v>
      </c>
      <c r="W63" s="52"/>
      <c r="X63" s="52"/>
      <c r="Y63" s="52"/>
      <c r="Z63" s="52">
        <f>$E63*1000</f>
        <v>2000</v>
      </c>
      <c r="AA63" s="52"/>
      <c r="AB63" s="52"/>
      <c r="AC63" s="52"/>
      <c r="AD63" s="52">
        <f>$E63*1000</f>
        <v>2000</v>
      </c>
      <c r="AE63" s="52"/>
      <c r="AF63" s="52"/>
      <c r="AG63" s="52"/>
      <c r="AH63" s="52">
        <f t="shared" si="86"/>
        <v>2000</v>
      </c>
      <c r="AI63" s="52"/>
      <c r="AJ63" s="52"/>
      <c r="AK63" s="52"/>
      <c r="AL63" s="52">
        <f t="shared" si="82"/>
        <v>2000</v>
      </c>
      <c r="AM63" s="52"/>
      <c r="AN63" s="52"/>
      <c r="AO63" s="52"/>
      <c r="AP63" s="52">
        <f>$E63*1000</f>
        <v>2000</v>
      </c>
      <c r="AQ63" s="52"/>
      <c r="AR63" s="52"/>
      <c r="AS63" s="52"/>
      <c r="AT63" s="52">
        <f t="shared" si="87"/>
        <v>2000</v>
      </c>
      <c r="AU63" s="52"/>
      <c r="AV63" s="52"/>
      <c r="AW63" s="52"/>
      <c r="AX63" s="52">
        <f>$E63*1000</f>
        <v>2000</v>
      </c>
      <c r="AY63" s="52"/>
      <c r="AZ63" s="52"/>
      <c r="BA63" s="52"/>
      <c r="BB63" s="52">
        <f t="shared" si="50"/>
        <v>24000</v>
      </c>
      <c r="BC63" s="52">
        <f t="shared" si="51"/>
        <v>0</v>
      </c>
      <c r="BE63">
        <f ca="1">'Monthly Collection-2024)'!CC63</f>
        <v>0</v>
      </c>
      <c r="BF63" t="str">
        <f t="shared" ca="1" si="52"/>
        <v/>
      </c>
      <c r="BG63">
        <f t="shared" ca="1" si="53"/>
        <v>0</v>
      </c>
      <c r="BH63" t="str">
        <f t="shared" ca="1" si="54"/>
        <v/>
      </c>
      <c r="BI63">
        <f t="shared" ca="1" si="55"/>
        <v>0</v>
      </c>
      <c r="BJ63" t="str">
        <f t="shared" ca="1" si="56"/>
        <v/>
      </c>
      <c r="BK63">
        <f t="shared" ca="1" si="57"/>
        <v>0</v>
      </c>
      <c r="BL63" t="str">
        <f t="shared" ca="1" si="58"/>
        <v/>
      </c>
      <c r="BM63">
        <f t="shared" ca="1" si="59"/>
        <v>0</v>
      </c>
      <c r="BN63" t="str">
        <f t="shared" ca="1" si="60"/>
        <v/>
      </c>
      <c r="BO63">
        <f t="shared" ca="1" si="61"/>
        <v>0</v>
      </c>
      <c r="BP63" t="str">
        <f t="shared" ca="1" si="62"/>
        <v/>
      </c>
      <c r="BQ63">
        <f t="shared" ca="1" si="63"/>
        <v>0</v>
      </c>
      <c r="BR63" t="str">
        <f t="shared" ca="1" si="64"/>
        <v/>
      </c>
      <c r="BS63">
        <f t="shared" ca="1" si="65"/>
        <v>0</v>
      </c>
      <c r="BT63" t="str">
        <f t="shared" ca="1" si="66"/>
        <v/>
      </c>
      <c r="BU63">
        <f t="shared" ca="1" si="67"/>
        <v>0</v>
      </c>
      <c r="BV63" t="str">
        <f t="shared" ca="1" si="68"/>
        <v/>
      </c>
      <c r="BW63">
        <f t="shared" ca="1" si="69"/>
        <v>0</v>
      </c>
      <c r="BX63" t="str">
        <f t="shared" ca="1" si="70"/>
        <v/>
      </c>
      <c r="BY63">
        <f t="shared" ca="1" si="71"/>
        <v>0</v>
      </c>
      <c r="BZ63" t="str">
        <f t="shared" ca="1" si="72"/>
        <v/>
      </c>
      <c r="CA63">
        <f t="shared" ca="1" si="73"/>
        <v>0</v>
      </c>
      <c r="CB63" t="str">
        <f t="shared" ca="1" si="74"/>
        <v/>
      </c>
      <c r="CC63">
        <f t="shared" ca="1" si="75"/>
        <v>0</v>
      </c>
    </row>
    <row r="64" spans="2:81" ht="14.25" customHeight="1" x14ac:dyDescent="0.3">
      <c r="B64" s="55">
        <f t="shared" si="48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>
        <f t="shared" si="83"/>
        <v>1000</v>
      </c>
      <c r="G64" s="56"/>
      <c r="H64" s="56">
        <v>1000</v>
      </c>
      <c r="I64" s="56">
        <v>50</v>
      </c>
      <c r="J64" s="56">
        <f t="shared" si="84"/>
        <v>1000</v>
      </c>
      <c r="K64" s="56"/>
      <c r="L64" s="56"/>
      <c r="M64" s="56"/>
      <c r="N64" s="56">
        <f t="shared" si="85"/>
        <v>1000</v>
      </c>
      <c r="O64" s="56"/>
      <c r="P64" s="56"/>
      <c r="Q64" s="56"/>
      <c r="R64" s="56">
        <f>$E64*1000</f>
        <v>1000</v>
      </c>
      <c r="S64" s="56"/>
      <c r="T64" s="56"/>
      <c r="U64" s="56"/>
      <c r="V64" s="56">
        <f t="shared" si="81"/>
        <v>1000</v>
      </c>
      <c r="W64" s="56"/>
      <c r="X64" s="56"/>
      <c r="Y64" s="56"/>
      <c r="Z64" s="56">
        <f>$E64*1000</f>
        <v>1000</v>
      </c>
      <c r="AA64" s="56"/>
      <c r="AB64" s="56"/>
      <c r="AC64" s="56"/>
      <c r="AD64" s="56">
        <f>$E64*1000</f>
        <v>1000</v>
      </c>
      <c r="AE64" s="56"/>
      <c r="AF64" s="56"/>
      <c r="AG64" s="56"/>
      <c r="AH64" s="56">
        <f t="shared" si="86"/>
        <v>1000</v>
      </c>
      <c r="AI64" s="56"/>
      <c r="AJ64" s="56"/>
      <c r="AK64" s="56"/>
      <c r="AL64" s="56">
        <f t="shared" si="82"/>
        <v>1000</v>
      </c>
      <c r="AM64" s="56"/>
      <c r="AN64" s="56"/>
      <c r="AO64" s="56"/>
      <c r="AP64" s="56">
        <f>$E64*1000</f>
        <v>1000</v>
      </c>
      <c r="AQ64" s="56"/>
      <c r="AR64" s="56"/>
      <c r="AS64" s="56"/>
      <c r="AT64" s="56">
        <f t="shared" si="87"/>
        <v>1000</v>
      </c>
      <c r="AU64" s="56"/>
      <c r="AV64" s="56"/>
      <c r="AW64" s="56"/>
      <c r="AX64" s="56">
        <f>$E64*1000</f>
        <v>1000</v>
      </c>
      <c r="AY64" s="56"/>
      <c r="AZ64" s="56"/>
      <c r="BA64" s="56"/>
      <c r="BB64" s="56">
        <f t="shared" si="50"/>
        <v>13000</v>
      </c>
      <c r="BC64" s="56">
        <f t="shared" si="51"/>
        <v>50</v>
      </c>
      <c r="BE64">
        <f ca="1">'Monthly Collection-2024)'!CC64</f>
        <v>0</v>
      </c>
      <c r="BF64" t="str">
        <f t="shared" ca="1" si="52"/>
        <v/>
      </c>
      <c r="BG64">
        <f t="shared" ca="1" si="53"/>
        <v>0</v>
      </c>
      <c r="BH64" t="str">
        <f t="shared" ca="1" si="54"/>
        <v/>
      </c>
      <c r="BI64">
        <f t="shared" ca="1" si="55"/>
        <v>0</v>
      </c>
      <c r="BJ64" t="str">
        <f t="shared" ca="1" si="56"/>
        <v/>
      </c>
      <c r="BK64">
        <f t="shared" ca="1" si="57"/>
        <v>0</v>
      </c>
      <c r="BL64" t="str">
        <f t="shared" ca="1" si="58"/>
        <v/>
      </c>
      <c r="BM64">
        <f t="shared" ca="1" si="59"/>
        <v>0</v>
      </c>
      <c r="BN64" t="str">
        <f t="shared" ca="1" si="60"/>
        <v/>
      </c>
      <c r="BO64">
        <f t="shared" ca="1" si="61"/>
        <v>0</v>
      </c>
      <c r="BP64" t="str">
        <f t="shared" ca="1" si="62"/>
        <v/>
      </c>
      <c r="BQ64">
        <f t="shared" ca="1" si="63"/>
        <v>0</v>
      </c>
      <c r="BR64" t="str">
        <f t="shared" ca="1" si="64"/>
        <v/>
      </c>
      <c r="BS64">
        <f t="shared" ca="1" si="65"/>
        <v>0</v>
      </c>
      <c r="BT64" t="str">
        <f t="shared" ca="1" si="66"/>
        <v/>
      </c>
      <c r="BU64">
        <f t="shared" ca="1" si="67"/>
        <v>0</v>
      </c>
      <c r="BV64" t="str">
        <f t="shared" ca="1" si="68"/>
        <v/>
      </c>
      <c r="BW64">
        <f t="shared" ca="1" si="69"/>
        <v>0</v>
      </c>
      <c r="BX64" t="str">
        <f t="shared" ca="1" si="70"/>
        <v/>
      </c>
      <c r="BY64">
        <f t="shared" ca="1" si="71"/>
        <v>0</v>
      </c>
      <c r="BZ64" t="str">
        <f t="shared" ca="1" si="72"/>
        <v/>
      </c>
      <c r="CA64">
        <f t="shared" ca="1" si="73"/>
        <v>0</v>
      </c>
      <c r="CB64" t="str">
        <f t="shared" ca="1" si="74"/>
        <v/>
      </c>
      <c r="CC64">
        <f t="shared" ca="1" si="75"/>
        <v>0</v>
      </c>
    </row>
    <row r="65" spans="2:81" ht="14.25" customHeight="1" x14ac:dyDescent="0.3">
      <c r="B65" s="51">
        <f t="shared" si="48"/>
        <v>62</v>
      </c>
      <c r="C65" s="52" t="s">
        <v>92</v>
      </c>
      <c r="D65" s="16">
        <f>'Member Wise Deposit Summary'!D65</f>
        <v>1885316318</v>
      </c>
      <c r="E65" s="52">
        <v>1</v>
      </c>
      <c r="F65" s="243"/>
      <c r="G65" s="52"/>
      <c r="H65" s="52"/>
      <c r="I65" s="52"/>
      <c r="J65" s="243"/>
      <c r="K65" s="52"/>
      <c r="L65" s="52">
        <v>2000</v>
      </c>
      <c r="M65" s="52">
        <v>100</v>
      </c>
      <c r="N65" s="243"/>
      <c r="O65" s="52"/>
      <c r="P65" s="52"/>
      <c r="Q65" s="52"/>
      <c r="R65" s="243"/>
      <c r="S65" s="52"/>
      <c r="T65" s="52"/>
      <c r="U65" s="52"/>
      <c r="V65" s="243"/>
      <c r="W65" s="52"/>
      <c r="X65" s="52">
        <v>2000</v>
      </c>
      <c r="Y65" s="52">
        <v>100</v>
      </c>
      <c r="Z65" s="243"/>
      <c r="AA65" s="52"/>
      <c r="AB65" s="52"/>
      <c r="AC65" s="52"/>
      <c r="AD65" s="52">
        <v>1000</v>
      </c>
      <c r="AE65" s="52"/>
      <c r="AF65" s="52">
        <v>4000</v>
      </c>
      <c r="AG65" s="52">
        <v>200</v>
      </c>
      <c r="AH65" s="243"/>
      <c r="AI65" s="52"/>
      <c r="AJ65" s="52"/>
      <c r="AK65" s="52"/>
      <c r="AL65" s="52">
        <f t="shared" si="82"/>
        <v>1000</v>
      </c>
      <c r="AM65" s="52"/>
      <c r="AN65" s="52">
        <v>1000</v>
      </c>
      <c r="AO65" s="52">
        <v>50</v>
      </c>
      <c r="AP65" s="243"/>
      <c r="AQ65" s="52"/>
      <c r="AR65" s="52"/>
      <c r="AS65" s="52"/>
      <c r="AT65" s="243"/>
      <c r="AU65" s="52"/>
      <c r="AV65" s="52"/>
      <c r="AW65" s="52"/>
      <c r="AX65" s="243"/>
      <c r="AY65" s="52"/>
      <c r="AZ65" s="52"/>
      <c r="BA65" s="52"/>
      <c r="BB65" s="52">
        <f t="shared" si="50"/>
        <v>11000</v>
      </c>
      <c r="BC65" s="52">
        <f t="shared" si="51"/>
        <v>450</v>
      </c>
      <c r="BE65">
        <f ca="1">'Monthly Collection-2024)'!CC65</f>
        <v>0</v>
      </c>
      <c r="BF65" t="str">
        <f t="shared" ca="1" si="52"/>
        <v>R</v>
      </c>
      <c r="BG65">
        <f t="shared" ca="1" si="53"/>
        <v>0</v>
      </c>
      <c r="BH65" t="str">
        <f t="shared" ca="1" si="54"/>
        <v>R</v>
      </c>
      <c r="BI65">
        <f t="shared" ca="1" si="55"/>
        <v>0</v>
      </c>
      <c r="BJ65" t="str">
        <f t="shared" ca="1" si="56"/>
        <v>R</v>
      </c>
      <c r="BK65">
        <f t="shared" ca="1" si="57"/>
        <v>0</v>
      </c>
      <c r="BL65" t="str">
        <f t="shared" ca="1" si="58"/>
        <v>R</v>
      </c>
      <c r="BM65">
        <f t="shared" ca="1" si="59"/>
        <v>0</v>
      </c>
      <c r="BN65" t="str">
        <f t="shared" ca="1" si="60"/>
        <v>R</v>
      </c>
      <c r="BO65">
        <f t="shared" ca="1" si="61"/>
        <v>0</v>
      </c>
      <c r="BP65" t="str">
        <f t="shared" ca="1" si="62"/>
        <v>R</v>
      </c>
      <c r="BQ65">
        <f t="shared" ca="1" si="63"/>
        <v>0</v>
      </c>
      <c r="BR65" t="str">
        <f t="shared" ca="1" si="64"/>
        <v/>
      </c>
      <c r="BS65">
        <f t="shared" ca="1" si="65"/>
        <v>0</v>
      </c>
      <c r="BT65" t="str">
        <f t="shared" ca="1" si="66"/>
        <v>R</v>
      </c>
      <c r="BU65">
        <f t="shared" ca="1" si="67"/>
        <v>0</v>
      </c>
      <c r="BV65" t="str">
        <f t="shared" ca="1" si="68"/>
        <v/>
      </c>
      <c r="BW65">
        <f t="shared" ca="1" si="69"/>
        <v>0</v>
      </c>
      <c r="BX65" t="str">
        <f t="shared" ca="1" si="70"/>
        <v>R</v>
      </c>
      <c r="BY65">
        <f t="shared" ca="1" si="71"/>
        <v>0</v>
      </c>
      <c r="BZ65" t="str">
        <f t="shared" ca="1" si="72"/>
        <v>R</v>
      </c>
      <c r="CA65">
        <f t="shared" ca="1" si="73"/>
        <v>0</v>
      </c>
      <c r="CB65" t="str">
        <f t="shared" ca="1" si="74"/>
        <v>R</v>
      </c>
      <c r="CC65">
        <f t="shared" ca="1" si="75"/>
        <v>0</v>
      </c>
    </row>
    <row r="66" spans="2:81" ht="14.25" customHeight="1" x14ac:dyDescent="0.3">
      <c r="B66" s="55">
        <f t="shared" si="48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>
        <f t="shared" ref="F66:F76" si="88">$E66*1000</f>
        <v>1000</v>
      </c>
      <c r="G66" s="56"/>
      <c r="H66" s="56"/>
      <c r="I66" s="56"/>
      <c r="J66" s="56">
        <f t="shared" ref="J66:J76" si="89">$E66*1000</f>
        <v>1000</v>
      </c>
      <c r="K66" s="56"/>
      <c r="L66" s="56"/>
      <c r="M66" s="56"/>
      <c r="N66" s="56">
        <f>$E66*1000</f>
        <v>1000</v>
      </c>
      <c r="O66" s="56"/>
      <c r="P66" s="56"/>
      <c r="Q66" s="56"/>
      <c r="R66" s="56">
        <f t="shared" ref="R66:R73" si="90">$E66*1000</f>
        <v>1000</v>
      </c>
      <c r="S66" s="56"/>
      <c r="T66" s="56"/>
      <c r="U66" s="56"/>
      <c r="V66" s="56">
        <f t="shared" ref="V66:V75" si="91">$E66*1000</f>
        <v>1000</v>
      </c>
      <c r="W66" s="56"/>
      <c r="X66" s="56"/>
      <c r="Y66" s="56"/>
      <c r="Z66" s="56">
        <f t="shared" ref="Z66:Z75" si="92">$E66*1000</f>
        <v>1000</v>
      </c>
      <c r="AA66" s="56"/>
      <c r="AB66" s="56"/>
      <c r="AC66" s="56"/>
      <c r="AD66" s="56">
        <f>$E66*1000</f>
        <v>1000</v>
      </c>
      <c r="AE66" s="56"/>
      <c r="AF66" s="56"/>
      <c r="AG66" s="56"/>
      <c r="AH66" s="56">
        <f t="shared" ref="AH66:AH75" si="93">$E66*1000</f>
        <v>1000</v>
      </c>
      <c r="AI66" s="56"/>
      <c r="AJ66" s="56"/>
      <c r="AK66" s="56"/>
      <c r="AL66" s="56">
        <f t="shared" si="82"/>
        <v>1000</v>
      </c>
      <c r="AM66" s="56"/>
      <c r="AN66" s="56"/>
      <c r="AO66" s="56"/>
      <c r="AP66" s="56">
        <f t="shared" ref="AP66:AP77" si="94">$E66*1000</f>
        <v>1000</v>
      </c>
      <c r="AQ66" s="56"/>
      <c r="AR66" s="56"/>
      <c r="AS66" s="56"/>
      <c r="AT66" s="56">
        <f t="shared" ref="AT66:AT79" si="95">$E66*1000</f>
        <v>1000</v>
      </c>
      <c r="AU66" s="56"/>
      <c r="AV66" s="56"/>
      <c r="AW66" s="56"/>
      <c r="AX66" s="56">
        <f t="shared" ref="AX66:AX75" si="96">$E66*1000</f>
        <v>1000</v>
      </c>
      <c r="AY66" s="56"/>
      <c r="AZ66" s="56"/>
      <c r="BA66" s="56"/>
      <c r="BB66" s="56">
        <f t="shared" si="50"/>
        <v>12000</v>
      </c>
      <c r="BC66" s="56">
        <f t="shared" si="51"/>
        <v>0</v>
      </c>
      <c r="BE66">
        <f ca="1">'Monthly Collection-2024)'!CC66</f>
        <v>0</v>
      </c>
      <c r="BF66" t="str">
        <f t="shared" ca="1" si="52"/>
        <v/>
      </c>
      <c r="BG66">
        <f t="shared" ca="1" si="53"/>
        <v>0</v>
      </c>
      <c r="BH66" t="str">
        <f t="shared" ca="1" si="54"/>
        <v/>
      </c>
      <c r="BI66">
        <f t="shared" ca="1" si="55"/>
        <v>0</v>
      </c>
      <c r="BJ66" t="str">
        <f t="shared" ca="1" si="56"/>
        <v/>
      </c>
      <c r="BK66">
        <f t="shared" ca="1" si="57"/>
        <v>0</v>
      </c>
      <c r="BL66" t="str">
        <f t="shared" ca="1" si="58"/>
        <v/>
      </c>
      <c r="BM66">
        <f t="shared" ca="1" si="59"/>
        <v>0</v>
      </c>
      <c r="BN66" t="str">
        <f t="shared" ca="1" si="60"/>
        <v/>
      </c>
      <c r="BO66">
        <f t="shared" ca="1" si="61"/>
        <v>0</v>
      </c>
      <c r="BP66" t="str">
        <f t="shared" ca="1" si="62"/>
        <v/>
      </c>
      <c r="BQ66">
        <f t="shared" ca="1" si="63"/>
        <v>0</v>
      </c>
      <c r="BR66" t="str">
        <f t="shared" ca="1" si="64"/>
        <v/>
      </c>
      <c r="BS66">
        <f t="shared" ca="1" si="65"/>
        <v>0</v>
      </c>
      <c r="BT66" t="str">
        <f t="shared" ca="1" si="66"/>
        <v/>
      </c>
      <c r="BU66">
        <f t="shared" ca="1" si="67"/>
        <v>0</v>
      </c>
      <c r="BV66" t="str">
        <f t="shared" ca="1" si="68"/>
        <v/>
      </c>
      <c r="BW66">
        <f t="shared" ca="1" si="69"/>
        <v>0</v>
      </c>
      <c r="BX66" t="str">
        <f t="shared" ca="1" si="70"/>
        <v/>
      </c>
      <c r="BY66">
        <f t="shared" ca="1" si="71"/>
        <v>0</v>
      </c>
      <c r="BZ66" t="str">
        <f t="shared" ca="1" si="72"/>
        <v/>
      </c>
      <c r="CA66">
        <f t="shared" ca="1" si="73"/>
        <v>0</v>
      </c>
      <c r="CB66" t="str">
        <f t="shared" ca="1" si="74"/>
        <v/>
      </c>
      <c r="CC66">
        <f t="shared" ca="1" si="75"/>
        <v>0</v>
      </c>
    </row>
    <row r="67" spans="2:81" ht="14.25" customHeight="1" x14ac:dyDescent="0.3">
      <c r="B67" s="51">
        <f t="shared" si="48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>
        <f t="shared" si="88"/>
        <v>1000</v>
      </c>
      <c r="G67" s="52"/>
      <c r="H67" s="52">
        <v>1000</v>
      </c>
      <c r="I67" s="52">
        <v>50</v>
      </c>
      <c r="J67" s="52">
        <f t="shared" si="89"/>
        <v>1000</v>
      </c>
      <c r="K67" s="52"/>
      <c r="L67" s="52"/>
      <c r="M67" s="52"/>
      <c r="N67" s="243"/>
      <c r="O67" s="52"/>
      <c r="P67" s="52"/>
      <c r="Q67" s="52"/>
      <c r="R67" s="52">
        <f t="shared" si="90"/>
        <v>1000</v>
      </c>
      <c r="S67" s="52"/>
      <c r="T67" s="52">
        <v>1000</v>
      </c>
      <c r="U67" s="52">
        <v>50</v>
      </c>
      <c r="V67" s="52">
        <f t="shared" si="91"/>
        <v>1000</v>
      </c>
      <c r="W67" s="52"/>
      <c r="X67" s="52"/>
      <c r="Y67" s="52"/>
      <c r="Z67" s="52">
        <f t="shared" si="92"/>
        <v>1000</v>
      </c>
      <c r="AA67" s="52"/>
      <c r="AB67" s="52"/>
      <c r="AC67" s="52"/>
      <c r="AD67" s="52">
        <f>$E67*1000</f>
        <v>1000</v>
      </c>
      <c r="AE67" s="52"/>
      <c r="AF67" s="52"/>
      <c r="AG67" s="52"/>
      <c r="AH67" s="52">
        <f t="shared" si="93"/>
        <v>1000</v>
      </c>
      <c r="AI67" s="52"/>
      <c r="AJ67" s="52"/>
      <c r="AK67" s="52"/>
      <c r="AL67" s="52">
        <f t="shared" si="82"/>
        <v>1000</v>
      </c>
      <c r="AM67" s="52"/>
      <c r="AN67" s="52"/>
      <c r="AO67" s="52"/>
      <c r="AP67" s="52">
        <f t="shared" si="94"/>
        <v>1000</v>
      </c>
      <c r="AQ67" s="52"/>
      <c r="AR67" s="52"/>
      <c r="AS67" s="52">
        <v>50</v>
      </c>
      <c r="AT67" s="52">
        <f t="shared" si="95"/>
        <v>1000</v>
      </c>
      <c r="AU67" s="52"/>
      <c r="AV67" s="52"/>
      <c r="AW67" s="52"/>
      <c r="AX67" s="52">
        <f t="shared" si="96"/>
        <v>1000</v>
      </c>
      <c r="AY67" s="52"/>
      <c r="AZ67" s="52"/>
      <c r="BA67" s="52"/>
      <c r="BB67" s="52">
        <f t="shared" si="50"/>
        <v>13000</v>
      </c>
      <c r="BC67" s="52">
        <f t="shared" si="51"/>
        <v>150</v>
      </c>
      <c r="BE67">
        <f ca="1">'Monthly Collection-2024)'!CC67</f>
        <v>0</v>
      </c>
      <c r="BF67" t="str">
        <f t="shared" ca="1" si="52"/>
        <v/>
      </c>
      <c r="BG67">
        <f t="shared" ca="1" si="53"/>
        <v>0</v>
      </c>
      <c r="BH67" t="str">
        <f t="shared" ca="1" si="54"/>
        <v/>
      </c>
      <c r="BI67">
        <f t="shared" ca="1" si="55"/>
        <v>0</v>
      </c>
      <c r="BJ67" t="str">
        <f t="shared" ca="1" si="56"/>
        <v>R</v>
      </c>
      <c r="BK67">
        <f t="shared" ca="1" si="57"/>
        <v>0</v>
      </c>
      <c r="BL67" t="str">
        <f t="shared" ca="1" si="58"/>
        <v/>
      </c>
      <c r="BM67">
        <f t="shared" ca="1" si="59"/>
        <v>0</v>
      </c>
      <c r="BN67" t="str">
        <f t="shared" ca="1" si="60"/>
        <v/>
      </c>
      <c r="BO67">
        <f t="shared" ca="1" si="61"/>
        <v>0</v>
      </c>
      <c r="BP67" t="str">
        <f t="shared" ca="1" si="62"/>
        <v/>
      </c>
      <c r="BQ67">
        <f t="shared" ca="1" si="63"/>
        <v>0</v>
      </c>
      <c r="BR67" t="str">
        <f t="shared" ca="1" si="64"/>
        <v/>
      </c>
      <c r="BS67">
        <f t="shared" ca="1" si="65"/>
        <v>0</v>
      </c>
      <c r="BT67" t="str">
        <f t="shared" ca="1" si="66"/>
        <v/>
      </c>
      <c r="BU67">
        <f t="shared" ca="1" si="67"/>
        <v>0</v>
      </c>
      <c r="BV67" t="str">
        <f t="shared" ca="1" si="68"/>
        <v/>
      </c>
      <c r="BW67">
        <f t="shared" ca="1" si="69"/>
        <v>0</v>
      </c>
      <c r="BX67" t="str">
        <f t="shared" ca="1" si="70"/>
        <v/>
      </c>
      <c r="BY67">
        <f t="shared" ca="1" si="71"/>
        <v>0</v>
      </c>
      <c r="BZ67" t="str">
        <f t="shared" ca="1" si="72"/>
        <v/>
      </c>
      <c r="CA67">
        <f t="shared" ca="1" si="73"/>
        <v>0</v>
      </c>
      <c r="CB67" t="str">
        <f t="shared" ca="1" si="74"/>
        <v/>
      </c>
      <c r="CC67">
        <f t="shared" ca="1" si="75"/>
        <v>0</v>
      </c>
    </row>
    <row r="68" spans="2:81" ht="14.25" customHeight="1" x14ac:dyDescent="0.3">
      <c r="B68" s="55">
        <f t="shared" ref="B68:B80" si="97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>
        <f t="shared" si="88"/>
        <v>1000</v>
      </c>
      <c r="G68" s="56"/>
      <c r="H68" s="56">
        <v>1000</v>
      </c>
      <c r="I68" s="56">
        <v>50</v>
      </c>
      <c r="J68" s="56">
        <f t="shared" si="89"/>
        <v>1000</v>
      </c>
      <c r="K68" s="56"/>
      <c r="L68" s="56"/>
      <c r="M68" s="56"/>
      <c r="N68" s="241"/>
      <c r="O68" s="56"/>
      <c r="P68" s="56"/>
      <c r="Q68" s="56"/>
      <c r="R68" s="56">
        <f t="shared" si="90"/>
        <v>1000</v>
      </c>
      <c r="S68" s="56"/>
      <c r="T68" s="56">
        <v>1000</v>
      </c>
      <c r="U68" s="56">
        <v>50</v>
      </c>
      <c r="V68" s="56">
        <f t="shared" si="91"/>
        <v>1000</v>
      </c>
      <c r="W68" s="56"/>
      <c r="X68" s="56"/>
      <c r="Y68" s="56"/>
      <c r="Z68" s="56">
        <f t="shared" si="92"/>
        <v>1000</v>
      </c>
      <c r="AA68" s="56"/>
      <c r="AB68" s="56"/>
      <c r="AC68" s="56"/>
      <c r="AD68" s="56">
        <f>$E68*1000</f>
        <v>1000</v>
      </c>
      <c r="AE68" s="56"/>
      <c r="AF68" s="56"/>
      <c r="AG68" s="56"/>
      <c r="AH68" s="56">
        <f t="shared" si="93"/>
        <v>1000</v>
      </c>
      <c r="AI68" s="56"/>
      <c r="AJ68" s="56"/>
      <c r="AK68" s="56"/>
      <c r="AL68" s="56">
        <f t="shared" si="82"/>
        <v>1000</v>
      </c>
      <c r="AM68" s="56"/>
      <c r="AN68" s="56"/>
      <c r="AO68" s="56"/>
      <c r="AP68" s="56">
        <f t="shared" si="94"/>
        <v>1000</v>
      </c>
      <c r="AQ68" s="56"/>
      <c r="AR68" s="56"/>
      <c r="AS68" s="56">
        <v>50</v>
      </c>
      <c r="AT68" s="56">
        <f t="shared" si="95"/>
        <v>1000</v>
      </c>
      <c r="AU68" s="56"/>
      <c r="AV68" s="56"/>
      <c r="AW68" s="56"/>
      <c r="AX68" s="56">
        <f t="shared" si="96"/>
        <v>1000</v>
      </c>
      <c r="AY68" s="56"/>
      <c r="AZ68" s="56"/>
      <c r="BA68" s="56"/>
      <c r="BB68" s="56">
        <f t="shared" ref="BB68:BB80" si="98">F68+G68+H68+J68+K68+L68+N68+O68+P68+R68+S68+T68+V68+W68+X68+Z68+AA68+AB68+AD68+AE68+AF68+AH68+AI68+AJ68+AL68+AM68+AN68+AP68+AQ68+AR68+AT68+AU68+AV68+AX68+AY68+AZ68</f>
        <v>13000</v>
      </c>
      <c r="BC68" s="56">
        <f t="shared" ref="BC68:BC80" si="99">I68+M68+Q68+U68+Y68+AC68+AG68+AK68+AO68+AS68+AW68+BA68</f>
        <v>150</v>
      </c>
      <c r="BE68">
        <f ca="1">'Monthly Collection-2024)'!CC68</f>
        <v>0</v>
      </c>
      <c r="BF68" t="str">
        <f t="shared" ref="BF68:BF80" ca="1" si="100">IF(N(F68)&gt;=$E68*1000,"",IF(AND($E68&gt;0,BE68&gt;=$E68*1000),"G",IF(F$2&lt;=TODAY(),"R","")))</f>
        <v/>
      </c>
      <c r="BG68">
        <f t="shared" ref="BG68:BG80" ca="1" si="101">BE68-IF(BF68="G",$E68*1000,0)+N(G68)</f>
        <v>0</v>
      </c>
      <c r="BH68" t="str">
        <f t="shared" ref="BH68:BH80" ca="1" si="102">IF(N(J68)&gt;=$E68*1000,"",IF(AND($E68&gt;0,BG68&gt;=$E68*1000),"G",IF(J$2&lt;=TODAY(),"R","")))</f>
        <v/>
      </c>
      <c r="BI68">
        <f t="shared" ref="BI68:BI80" ca="1" si="103">BG68-IF(BH68="G",$E68*1000,0)+N(K68)</f>
        <v>0</v>
      </c>
      <c r="BJ68" t="str">
        <f t="shared" ref="BJ68:BJ80" ca="1" si="104">IF(N(N68)&gt;=$E68*1000,"",IF(AND($E68&gt;0,BI68&gt;=$E68*1000),"G",IF(N$2&lt;=TODAY(),"R","")))</f>
        <v>R</v>
      </c>
      <c r="BK68">
        <f t="shared" ref="BK68:BK80" ca="1" si="105">BI68-IF(BJ68="G",$E68*1000,0)+N(O68)</f>
        <v>0</v>
      </c>
      <c r="BL68" t="str">
        <f t="shared" ref="BL68:BL80" ca="1" si="106">IF(N(R68)&gt;=$E68*1000,"",IF(AND($E68&gt;0,BK68&gt;=$E68*1000),"G",IF(R$2&lt;=TODAY(),"R","")))</f>
        <v/>
      </c>
      <c r="BM68">
        <f t="shared" ref="BM68:BM80" ca="1" si="107">BK68-IF(BL68="G",$E68*1000,0)+N(S68)</f>
        <v>0</v>
      </c>
      <c r="BN68" t="str">
        <f t="shared" ref="BN68:BN80" ca="1" si="108">IF(N(V68)&gt;=$E68*1000,"",IF(AND($E68&gt;0,BM68&gt;=$E68*1000),"G",IF(V$2&lt;=TODAY(),"R","")))</f>
        <v/>
      </c>
      <c r="BO68">
        <f t="shared" ref="BO68:BO80" ca="1" si="109">BM68-IF(BN68="G",$E68*1000,0)+N(W68)</f>
        <v>0</v>
      </c>
      <c r="BP68" t="str">
        <f t="shared" ref="BP68:BP80" ca="1" si="110">IF(N(Z68)&gt;=$E68*1000,"",IF(AND($E68&gt;0,BO68&gt;=$E68*1000),"G",IF(Z$2&lt;=TODAY(),"R","")))</f>
        <v/>
      </c>
      <c r="BQ68">
        <f t="shared" ref="BQ68:BQ80" ca="1" si="111">BO68-IF(BP68="G",$E68*1000,0)+N(AA68)</f>
        <v>0</v>
      </c>
      <c r="BR68" t="str">
        <f t="shared" ref="BR68:BR80" ca="1" si="112">IF(N(AD68)&gt;=$E68*1000,"",IF(AND($E68&gt;0,BQ68&gt;=$E68*1000),"G",IF(AD$2&lt;=TODAY(),"R","")))</f>
        <v/>
      </c>
      <c r="BS68">
        <f t="shared" ref="BS68:BS80" ca="1" si="113">BQ68-IF(BR68="G",$E68*1000,0)+N(AE68)</f>
        <v>0</v>
      </c>
      <c r="BT68" t="str">
        <f t="shared" ref="BT68:BT80" ca="1" si="114">IF(N(AH68)&gt;=$E68*1000,"",IF(AND($E68&gt;0,BS68&gt;=$E68*1000),"G",IF(AH$2&lt;=TODAY(),"R","")))</f>
        <v/>
      </c>
      <c r="BU68">
        <f t="shared" ref="BU68:BU80" ca="1" si="115">BS68-IF(BT68="G",$E68*1000,0)+N(AI68)</f>
        <v>0</v>
      </c>
      <c r="BV68" t="str">
        <f t="shared" ref="BV68:BV80" ca="1" si="116">IF(N(AL68)&gt;=$E68*1000,"",IF(AND($E68&gt;0,BU68&gt;=$E68*1000),"G",IF(AL$2&lt;=TODAY(),"R","")))</f>
        <v/>
      </c>
      <c r="BW68">
        <f t="shared" ref="BW68:BW80" ca="1" si="117">BU68-IF(BV68="G",$E68*1000,0)+N(AM68)</f>
        <v>0</v>
      </c>
      <c r="BX68" t="str">
        <f t="shared" ref="BX68:BX80" ca="1" si="118">IF(N(AP68)&gt;=$E68*1000,"",IF(AND($E68&gt;0,BW68&gt;=$E68*1000),"G",IF(AP$2&lt;=TODAY(),"R","")))</f>
        <v/>
      </c>
      <c r="BY68">
        <f t="shared" ref="BY68:BY80" ca="1" si="119">BW68-IF(BX68="G",$E68*1000,0)+N(AQ68)</f>
        <v>0</v>
      </c>
      <c r="BZ68" t="str">
        <f t="shared" ref="BZ68:BZ80" ca="1" si="120">IF(N(AT68)&gt;=$E68*1000,"",IF(AND($E68&gt;0,BY68&gt;=$E68*1000),"G",IF(AT$2&lt;=TODAY(),"R","")))</f>
        <v/>
      </c>
      <c r="CA68">
        <f t="shared" ref="CA68:CA80" ca="1" si="121">BY68-IF(BZ68="G",$E68*1000,0)+N(AU68)</f>
        <v>0</v>
      </c>
      <c r="CB68" t="str">
        <f t="shared" ref="CB68:CB80" ca="1" si="122">IF(N(AX68)&gt;=$E68*1000,"",IF(AND($E68&gt;0,CA68&gt;=$E68*1000),"G",IF(AX$2&lt;=TODAY(),"R","")))</f>
        <v/>
      </c>
      <c r="CC68">
        <f t="shared" ref="CC68:CC80" ca="1" si="123">CA68-IF(CB68="G",$E68*1000,0)+N(AY68)</f>
        <v>0</v>
      </c>
    </row>
    <row r="69" spans="2:81" ht="14.25" customHeight="1" x14ac:dyDescent="0.3">
      <c r="B69" s="51">
        <f t="shared" si="97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>
        <f t="shared" si="88"/>
        <v>1000</v>
      </c>
      <c r="G69" s="52"/>
      <c r="H69" s="52">
        <v>1000</v>
      </c>
      <c r="I69" s="52">
        <v>50</v>
      </c>
      <c r="J69" s="52">
        <f t="shared" si="89"/>
        <v>1000</v>
      </c>
      <c r="K69" s="52"/>
      <c r="L69" s="52"/>
      <c r="M69" s="52"/>
      <c r="N69" s="243"/>
      <c r="O69" s="52"/>
      <c r="P69" s="52"/>
      <c r="Q69" s="52"/>
      <c r="R69" s="52">
        <f t="shared" si="90"/>
        <v>1000</v>
      </c>
      <c r="S69" s="52"/>
      <c r="T69" s="52">
        <v>1000</v>
      </c>
      <c r="U69" s="52">
        <v>50</v>
      </c>
      <c r="V69" s="52">
        <f t="shared" si="91"/>
        <v>1000</v>
      </c>
      <c r="W69" s="52"/>
      <c r="X69" s="52"/>
      <c r="Y69" s="52"/>
      <c r="Z69" s="52">
        <f t="shared" si="92"/>
        <v>1000</v>
      </c>
      <c r="AA69" s="52"/>
      <c r="AB69" s="52"/>
      <c r="AC69" s="52"/>
      <c r="AD69" s="52">
        <f>$E69*1000</f>
        <v>1000</v>
      </c>
      <c r="AE69" s="52"/>
      <c r="AF69" s="52"/>
      <c r="AG69" s="52"/>
      <c r="AH69" s="52">
        <f t="shared" si="93"/>
        <v>1000</v>
      </c>
      <c r="AI69" s="52"/>
      <c r="AJ69" s="52"/>
      <c r="AK69" s="52"/>
      <c r="AL69" s="52">
        <f t="shared" si="82"/>
        <v>1000</v>
      </c>
      <c r="AM69" s="52"/>
      <c r="AN69" s="52"/>
      <c r="AO69" s="52"/>
      <c r="AP69" s="52">
        <f t="shared" si="94"/>
        <v>1000</v>
      </c>
      <c r="AQ69" s="52"/>
      <c r="AR69" s="52"/>
      <c r="AS69" s="52">
        <v>50</v>
      </c>
      <c r="AT69" s="52">
        <f t="shared" si="95"/>
        <v>1000</v>
      </c>
      <c r="AU69" s="52"/>
      <c r="AV69" s="52"/>
      <c r="AW69" s="52"/>
      <c r="AX69" s="52">
        <f t="shared" si="96"/>
        <v>1000</v>
      </c>
      <c r="AY69" s="52"/>
      <c r="AZ69" s="52"/>
      <c r="BA69" s="52"/>
      <c r="BB69" s="52">
        <f t="shared" si="98"/>
        <v>13000</v>
      </c>
      <c r="BC69" s="52">
        <f t="shared" si="99"/>
        <v>150</v>
      </c>
      <c r="BE69">
        <f ca="1">'Monthly Collection-2024)'!CC69</f>
        <v>0</v>
      </c>
      <c r="BF69" t="str">
        <f t="shared" ca="1" si="100"/>
        <v/>
      </c>
      <c r="BG69">
        <f t="shared" ca="1" si="101"/>
        <v>0</v>
      </c>
      <c r="BH69" t="str">
        <f t="shared" ca="1" si="102"/>
        <v/>
      </c>
      <c r="BI69">
        <f t="shared" ca="1" si="103"/>
        <v>0</v>
      </c>
      <c r="BJ69" t="str">
        <f t="shared" ca="1" si="104"/>
        <v>R</v>
      </c>
      <c r="BK69">
        <f t="shared" ca="1" si="105"/>
        <v>0</v>
      </c>
      <c r="BL69" t="str">
        <f t="shared" ca="1" si="106"/>
        <v/>
      </c>
      <c r="BM69">
        <f t="shared" ca="1" si="107"/>
        <v>0</v>
      </c>
      <c r="BN69" t="str">
        <f t="shared" ca="1" si="108"/>
        <v/>
      </c>
      <c r="BO69">
        <f t="shared" ca="1" si="109"/>
        <v>0</v>
      </c>
      <c r="BP69" t="str">
        <f t="shared" ca="1" si="110"/>
        <v/>
      </c>
      <c r="BQ69">
        <f t="shared" ca="1" si="111"/>
        <v>0</v>
      </c>
      <c r="BR69" t="str">
        <f t="shared" ca="1" si="112"/>
        <v/>
      </c>
      <c r="BS69">
        <f t="shared" ca="1" si="113"/>
        <v>0</v>
      </c>
      <c r="BT69" t="str">
        <f t="shared" ca="1" si="114"/>
        <v/>
      </c>
      <c r="BU69">
        <f t="shared" ca="1" si="115"/>
        <v>0</v>
      </c>
      <c r="BV69" t="str">
        <f t="shared" ca="1" si="116"/>
        <v/>
      </c>
      <c r="BW69">
        <f t="shared" ca="1" si="117"/>
        <v>0</v>
      </c>
      <c r="BX69" t="str">
        <f t="shared" ca="1" si="118"/>
        <v/>
      </c>
      <c r="BY69">
        <f t="shared" ca="1" si="119"/>
        <v>0</v>
      </c>
      <c r="BZ69" t="str">
        <f t="shared" ca="1" si="120"/>
        <v/>
      </c>
      <c r="CA69">
        <f t="shared" ca="1" si="121"/>
        <v>0</v>
      </c>
      <c r="CB69" t="str">
        <f t="shared" ca="1" si="122"/>
        <v/>
      </c>
      <c r="CC69">
        <f t="shared" ca="1" si="123"/>
        <v>0</v>
      </c>
    </row>
    <row r="70" spans="2:81" ht="14.25" customHeight="1" x14ac:dyDescent="0.3">
      <c r="B70" s="55">
        <f t="shared" si="97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56">
        <f t="shared" si="88"/>
        <v>1000</v>
      </c>
      <c r="G70" s="56"/>
      <c r="H70" s="56"/>
      <c r="I70" s="56"/>
      <c r="J70" s="56">
        <f t="shared" si="89"/>
        <v>1000</v>
      </c>
      <c r="K70" s="56"/>
      <c r="L70" s="56"/>
      <c r="M70" s="56"/>
      <c r="N70" s="56">
        <f t="shared" ref="N70:N76" si="124">$E70*1000</f>
        <v>1000</v>
      </c>
      <c r="O70" s="56"/>
      <c r="P70" s="56"/>
      <c r="Q70" s="56"/>
      <c r="R70" s="56">
        <f t="shared" si="90"/>
        <v>1000</v>
      </c>
      <c r="S70" s="56"/>
      <c r="T70" s="56"/>
      <c r="U70" s="56"/>
      <c r="V70" s="56">
        <f t="shared" si="91"/>
        <v>1000</v>
      </c>
      <c r="W70" s="56"/>
      <c r="X70" s="56"/>
      <c r="Y70" s="56"/>
      <c r="Z70" s="56">
        <f t="shared" si="92"/>
        <v>1000</v>
      </c>
      <c r="AA70" s="56"/>
      <c r="AB70" s="56"/>
      <c r="AC70" s="56"/>
      <c r="AD70" s="241"/>
      <c r="AE70" s="56"/>
      <c r="AF70" s="56"/>
      <c r="AG70" s="56"/>
      <c r="AH70" s="56">
        <f t="shared" si="93"/>
        <v>1000</v>
      </c>
      <c r="AI70" s="56"/>
      <c r="AJ70" s="56">
        <v>1000</v>
      </c>
      <c r="AK70" s="56">
        <v>50</v>
      </c>
      <c r="AL70" s="56">
        <f t="shared" si="82"/>
        <v>1000</v>
      </c>
      <c r="AM70" s="56"/>
      <c r="AN70" s="56"/>
      <c r="AO70" s="56"/>
      <c r="AP70" s="56">
        <f t="shared" si="94"/>
        <v>1000</v>
      </c>
      <c r="AQ70" s="56"/>
      <c r="AR70" s="56"/>
      <c r="AS70" s="56"/>
      <c r="AT70" s="56">
        <f t="shared" si="95"/>
        <v>1000</v>
      </c>
      <c r="AU70" s="56"/>
      <c r="AV70" s="56"/>
      <c r="AW70" s="56"/>
      <c r="AX70" s="56">
        <f t="shared" si="96"/>
        <v>1000</v>
      </c>
      <c r="AY70" s="56"/>
      <c r="AZ70" s="56"/>
      <c r="BA70" s="56"/>
      <c r="BB70" s="56">
        <f t="shared" si="98"/>
        <v>12000</v>
      </c>
      <c r="BC70" s="56">
        <f t="shared" si="99"/>
        <v>50</v>
      </c>
      <c r="BE70">
        <f ca="1">'Monthly Collection-2024)'!CC70</f>
        <v>0</v>
      </c>
      <c r="BF70" t="str">
        <f t="shared" ca="1" si="100"/>
        <v/>
      </c>
      <c r="BG70">
        <f t="shared" ca="1" si="101"/>
        <v>0</v>
      </c>
      <c r="BH70" t="str">
        <f t="shared" ca="1" si="102"/>
        <v/>
      </c>
      <c r="BI70">
        <f t="shared" ca="1" si="103"/>
        <v>0</v>
      </c>
      <c r="BJ70" t="str">
        <f t="shared" ca="1" si="104"/>
        <v/>
      </c>
      <c r="BK70">
        <f t="shared" ca="1" si="105"/>
        <v>0</v>
      </c>
      <c r="BL70" t="str">
        <f t="shared" ca="1" si="106"/>
        <v/>
      </c>
      <c r="BM70">
        <f t="shared" ca="1" si="107"/>
        <v>0</v>
      </c>
      <c r="BN70" t="str">
        <f t="shared" ca="1" si="108"/>
        <v/>
      </c>
      <c r="BO70">
        <f t="shared" ca="1" si="109"/>
        <v>0</v>
      </c>
      <c r="BP70" t="str">
        <f t="shared" ca="1" si="110"/>
        <v/>
      </c>
      <c r="BQ70">
        <f t="shared" ca="1" si="111"/>
        <v>0</v>
      </c>
      <c r="BR70" t="str">
        <f t="shared" ca="1" si="112"/>
        <v>R</v>
      </c>
      <c r="BS70">
        <f t="shared" ca="1" si="113"/>
        <v>0</v>
      </c>
      <c r="BT70" t="str">
        <f t="shared" ca="1" si="114"/>
        <v/>
      </c>
      <c r="BU70">
        <f t="shared" ca="1" si="115"/>
        <v>0</v>
      </c>
      <c r="BV70" t="str">
        <f t="shared" ca="1" si="116"/>
        <v/>
      </c>
      <c r="BW70">
        <f t="shared" ca="1" si="117"/>
        <v>0</v>
      </c>
      <c r="BX70" t="str">
        <f t="shared" ca="1" si="118"/>
        <v/>
      </c>
      <c r="BY70">
        <f t="shared" ca="1" si="119"/>
        <v>0</v>
      </c>
      <c r="BZ70" t="str">
        <f t="shared" ca="1" si="120"/>
        <v/>
      </c>
      <c r="CA70">
        <f t="shared" ca="1" si="121"/>
        <v>0</v>
      </c>
      <c r="CB70" t="str">
        <f t="shared" ca="1" si="122"/>
        <v/>
      </c>
      <c r="CC70">
        <f t="shared" ca="1" si="123"/>
        <v>0</v>
      </c>
    </row>
    <row r="71" spans="2:81" ht="14.25" customHeight="1" x14ac:dyDescent="0.3">
      <c r="B71" s="51">
        <f t="shared" si="97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52">
        <f t="shared" si="88"/>
        <v>1000</v>
      </c>
      <c r="G71" s="52"/>
      <c r="H71" s="52"/>
      <c r="I71" s="52"/>
      <c r="J71" s="52">
        <f t="shared" si="89"/>
        <v>1000</v>
      </c>
      <c r="K71" s="52"/>
      <c r="L71" s="52"/>
      <c r="M71" s="52"/>
      <c r="N71" s="52">
        <f t="shared" si="124"/>
        <v>1000</v>
      </c>
      <c r="O71" s="52"/>
      <c r="P71" s="52"/>
      <c r="Q71" s="52"/>
      <c r="R71" s="52">
        <f t="shared" si="90"/>
        <v>1000</v>
      </c>
      <c r="S71" s="52"/>
      <c r="T71" s="52"/>
      <c r="U71" s="52"/>
      <c r="V71" s="52">
        <f t="shared" si="91"/>
        <v>1000</v>
      </c>
      <c r="W71" s="52"/>
      <c r="X71" s="52"/>
      <c r="Y71" s="52"/>
      <c r="Z71" s="52">
        <f t="shared" si="92"/>
        <v>1000</v>
      </c>
      <c r="AA71" s="52"/>
      <c r="AB71" s="52"/>
      <c r="AC71" s="52"/>
      <c r="AD71" s="52"/>
      <c r="AE71" s="52"/>
      <c r="AF71" s="52"/>
      <c r="AG71" s="52"/>
      <c r="AH71" s="52">
        <f t="shared" si="93"/>
        <v>1000</v>
      </c>
      <c r="AI71" s="52"/>
      <c r="AJ71" s="52">
        <v>1000</v>
      </c>
      <c r="AK71" s="52">
        <v>50</v>
      </c>
      <c r="AL71" s="52">
        <f t="shared" si="82"/>
        <v>1000</v>
      </c>
      <c r="AM71" s="52"/>
      <c r="AN71" s="52"/>
      <c r="AO71" s="52"/>
      <c r="AP71" s="52">
        <f t="shared" si="94"/>
        <v>1000</v>
      </c>
      <c r="AQ71" s="52"/>
      <c r="AR71" s="52"/>
      <c r="AS71" s="52"/>
      <c r="AT71" s="52">
        <f t="shared" si="95"/>
        <v>1000</v>
      </c>
      <c r="AU71" s="52"/>
      <c r="AV71" s="52"/>
      <c r="AW71" s="52"/>
      <c r="AX71" s="52">
        <f t="shared" si="96"/>
        <v>1000</v>
      </c>
      <c r="AY71" s="52"/>
      <c r="AZ71" s="52"/>
      <c r="BA71" s="52"/>
      <c r="BB71" s="52">
        <f t="shared" si="98"/>
        <v>12000</v>
      </c>
      <c r="BC71" s="52">
        <f t="shared" si="99"/>
        <v>50</v>
      </c>
      <c r="BE71">
        <f ca="1">'Monthly Collection-2024)'!CC71</f>
        <v>0</v>
      </c>
      <c r="BF71" t="str">
        <f t="shared" ca="1" si="100"/>
        <v/>
      </c>
      <c r="BG71">
        <f t="shared" ca="1" si="101"/>
        <v>0</v>
      </c>
      <c r="BH71" t="str">
        <f t="shared" ca="1" si="102"/>
        <v/>
      </c>
      <c r="BI71">
        <f t="shared" ca="1" si="103"/>
        <v>0</v>
      </c>
      <c r="BJ71" t="str">
        <f t="shared" ca="1" si="104"/>
        <v/>
      </c>
      <c r="BK71">
        <f t="shared" ca="1" si="105"/>
        <v>0</v>
      </c>
      <c r="BL71" t="str">
        <f t="shared" ca="1" si="106"/>
        <v/>
      </c>
      <c r="BM71">
        <f t="shared" ca="1" si="107"/>
        <v>0</v>
      </c>
      <c r="BN71" t="str">
        <f t="shared" ca="1" si="108"/>
        <v/>
      </c>
      <c r="BO71">
        <f t="shared" ca="1" si="109"/>
        <v>0</v>
      </c>
      <c r="BP71" t="str">
        <f t="shared" ca="1" si="110"/>
        <v/>
      </c>
      <c r="BQ71">
        <f t="shared" ca="1" si="111"/>
        <v>0</v>
      </c>
      <c r="BR71" t="str">
        <f t="shared" ca="1" si="112"/>
        <v>R</v>
      </c>
      <c r="BS71">
        <f t="shared" ca="1" si="113"/>
        <v>0</v>
      </c>
      <c r="BT71" t="str">
        <f t="shared" ca="1" si="114"/>
        <v/>
      </c>
      <c r="BU71">
        <f t="shared" ca="1" si="115"/>
        <v>0</v>
      </c>
      <c r="BV71" t="str">
        <f t="shared" ca="1" si="116"/>
        <v/>
      </c>
      <c r="BW71">
        <f t="shared" ca="1" si="117"/>
        <v>0</v>
      </c>
      <c r="BX71" t="str">
        <f t="shared" ca="1" si="118"/>
        <v/>
      </c>
      <c r="BY71">
        <f t="shared" ca="1" si="119"/>
        <v>0</v>
      </c>
      <c r="BZ71" t="str">
        <f t="shared" ca="1" si="120"/>
        <v/>
      </c>
      <c r="CA71">
        <f t="shared" ca="1" si="121"/>
        <v>0</v>
      </c>
      <c r="CB71" t="str">
        <f t="shared" ca="1" si="122"/>
        <v/>
      </c>
      <c r="CC71">
        <f t="shared" ca="1" si="123"/>
        <v>0</v>
      </c>
    </row>
    <row r="72" spans="2:81" ht="14.25" customHeight="1" x14ac:dyDescent="0.3">
      <c r="B72" s="55">
        <f t="shared" si="97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>
        <f t="shared" si="88"/>
        <v>2000</v>
      </c>
      <c r="G72" s="56"/>
      <c r="H72" s="56"/>
      <c r="I72" s="56"/>
      <c r="J72" s="56">
        <f t="shared" si="89"/>
        <v>2000</v>
      </c>
      <c r="K72" s="56"/>
      <c r="L72" s="56"/>
      <c r="M72" s="56"/>
      <c r="N72" s="56">
        <f t="shared" si="124"/>
        <v>2000</v>
      </c>
      <c r="O72" s="56"/>
      <c r="P72" s="56"/>
      <c r="Q72" s="56"/>
      <c r="R72" s="56">
        <f t="shared" si="90"/>
        <v>2000</v>
      </c>
      <c r="S72" s="56"/>
      <c r="T72" s="56"/>
      <c r="U72" s="56"/>
      <c r="V72" s="56">
        <f t="shared" si="91"/>
        <v>2000</v>
      </c>
      <c r="W72" s="56"/>
      <c r="X72" s="56"/>
      <c r="Y72" s="56"/>
      <c r="Z72" s="56">
        <f t="shared" si="92"/>
        <v>2000</v>
      </c>
      <c r="AA72" s="56"/>
      <c r="AB72" s="56"/>
      <c r="AC72" s="56"/>
      <c r="AD72" s="56">
        <f>$E72*1000</f>
        <v>2000</v>
      </c>
      <c r="AE72" s="56"/>
      <c r="AF72" s="56"/>
      <c r="AG72" s="56"/>
      <c r="AH72" s="56">
        <f t="shared" si="93"/>
        <v>2000</v>
      </c>
      <c r="AI72" s="56"/>
      <c r="AJ72" s="56"/>
      <c r="AK72" s="56"/>
      <c r="AL72" s="56">
        <f t="shared" si="82"/>
        <v>2000</v>
      </c>
      <c r="AM72" s="56"/>
      <c r="AN72" s="56"/>
      <c r="AO72" s="56"/>
      <c r="AP72" s="56">
        <f t="shared" si="94"/>
        <v>2000</v>
      </c>
      <c r="AQ72" s="56"/>
      <c r="AR72" s="56"/>
      <c r="AS72" s="56"/>
      <c r="AT72" s="56">
        <f t="shared" si="95"/>
        <v>2000</v>
      </c>
      <c r="AU72" s="56"/>
      <c r="AV72" s="56"/>
      <c r="AW72" s="56"/>
      <c r="AX72" s="56">
        <f t="shared" si="96"/>
        <v>2000</v>
      </c>
      <c r="AY72" s="56"/>
      <c r="AZ72" s="56"/>
      <c r="BA72" s="56"/>
      <c r="BB72" s="56">
        <f t="shared" si="98"/>
        <v>24000</v>
      </c>
      <c r="BC72" s="56">
        <f t="shared" si="99"/>
        <v>0</v>
      </c>
      <c r="BE72">
        <f ca="1">'Monthly Collection-2024)'!CC72</f>
        <v>0</v>
      </c>
      <c r="BF72" t="str">
        <f t="shared" ca="1" si="100"/>
        <v/>
      </c>
      <c r="BG72">
        <f t="shared" ca="1" si="101"/>
        <v>0</v>
      </c>
      <c r="BH72" t="str">
        <f t="shared" ca="1" si="102"/>
        <v/>
      </c>
      <c r="BI72">
        <f t="shared" ca="1" si="103"/>
        <v>0</v>
      </c>
      <c r="BJ72" t="str">
        <f t="shared" ca="1" si="104"/>
        <v/>
      </c>
      <c r="BK72">
        <f t="shared" ca="1" si="105"/>
        <v>0</v>
      </c>
      <c r="BL72" t="str">
        <f t="shared" ca="1" si="106"/>
        <v/>
      </c>
      <c r="BM72">
        <f t="shared" ca="1" si="107"/>
        <v>0</v>
      </c>
      <c r="BN72" t="str">
        <f t="shared" ca="1" si="108"/>
        <v/>
      </c>
      <c r="BO72">
        <f t="shared" ca="1" si="109"/>
        <v>0</v>
      </c>
      <c r="BP72" t="str">
        <f t="shared" ca="1" si="110"/>
        <v/>
      </c>
      <c r="BQ72">
        <f t="shared" ca="1" si="111"/>
        <v>0</v>
      </c>
      <c r="BR72" t="str">
        <f t="shared" ca="1" si="112"/>
        <v/>
      </c>
      <c r="BS72">
        <f t="shared" ca="1" si="113"/>
        <v>0</v>
      </c>
      <c r="BT72" t="str">
        <f t="shared" ca="1" si="114"/>
        <v/>
      </c>
      <c r="BU72">
        <f t="shared" ca="1" si="115"/>
        <v>0</v>
      </c>
      <c r="BV72" t="str">
        <f t="shared" ca="1" si="116"/>
        <v/>
      </c>
      <c r="BW72">
        <f t="shared" ca="1" si="117"/>
        <v>0</v>
      </c>
      <c r="BX72" t="str">
        <f t="shared" ca="1" si="118"/>
        <v/>
      </c>
      <c r="BY72">
        <f t="shared" ca="1" si="119"/>
        <v>0</v>
      </c>
      <c r="BZ72" t="str">
        <f t="shared" ca="1" si="120"/>
        <v/>
      </c>
      <c r="CA72">
        <f t="shared" ca="1" si="121"/>
        <v>0</v>
      </c>
      <c r="CB72" t="str">
        <f t="shared" ca="1" si="122"/>
        <v/>
      </c>
      <c r="CC72">
        <f t="shared" ca="1" si="123"/>
        <v>0</v>
      </c>
    </row>
    <row r="73" spans="2:81" ht="14.25" customHeight="1" x14ac:dyDescent="0.3">
      <c r="B73" s="51">
        <f t="shared" si="97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>
        <f t="shared" si="88"/>
        <v>1000</v>
      </c>
      <c r="G73" s="52"/>
      <c r="H73" s="52"/>
      <c r="I73" s="52"/>
      <c r="J73" s="52">
        <f t="shared" si="89"/>
        <v>1000</v>
      </c>
      <c r="K73" s="52"/>
      <c r="L73" s="52"/>
      <c r="M73" s="52"/>
      <c r="N73" s="52">
        <f t="shared" si="124"/>
        <v>1000</v>
      </c>
      <c r="O73" s="52"/>
      <c r="P73" s="52"/>
      <c r="Q73" s="52"/>
      <c r="R73" s="52">
        <f t="shared" si="90"/>
        <v>1000</v>
      </c>
      <c r="S73" s="52"/>
      <c r="T73" s="52"/>
      <c r="U73" s="52"/>
      <c r="V73" s="52">
        <f t="shared" si="91"/>
        <v>1000</v>
      </c>
      <c r="W73" s="52"/>
      <c r="X73" s="52"/>
      <c r="Y73" s="52"/>
      <c r="Z73" s="52">
        <f t="shared" si="92"/>
        <v>1000</v>
      </c>
      <c r="AA73" s="52"/>
      <c r="AB73" s="52"/>
      <c r="AC73" s="52"/>
      <c r="AD73" s="52">
        <f>$E73*1000</f>
        <v>1000</v>
      </c>
      <c r="AE73" s="52"/>
      <c r="AF73" s="52"/>
      <c r="AG73" s="52"/>
      <c r="AH73" s="52">
        <f t="shared" si="93"/>
        <v>1000</v>
      </c>
      <c r="AI73" s="52"/>
      <c r="AJ73" s="52"/>
      <c r="AK73" s="52"/>
      <c r="AL73" s="52">
        <f t="shared" si="82"/>
        <v>1000</v>
      </c>
      <c r="AM73" s="52"/>
      <c r="AN73" s="52"/>
      <c r="AO73" s="52"/>
      <c r="AP73" s="52">
        <f t="shared" si="94"/>
        <v>1000</v>
      </c>
      <c r="AQ73" s="52"/>
      <c r="AR73" s="52"/>
      <c r="AS73" s="52"/>
      <c r="AT73" s="52">
        <f t="shared" si="95"/>
        <v>1000</v>
      </c>
      <c r="AU73" s="52"/>
      <c r="AV73" s="52"/>
      <c r="AW73" s="52"/>
      <c r="AX73" s="52">
        <f t="shared" si="96"/>
        <v>1000</v>
      </c>
      <c r="AY73" s="52"/>
      <c r="AZ73" s="52"/>
      <c r="BA73" s="52"/>
      <c r="BB73" s="52">
        <f t="shared" si="98"/>
        <v>12000</v>
      </c>
      <c r="BC73" s="52">
        <f t="shared" si="99"/>
        <v>0</v>
      </c>
      <c r="BE73">
        <f ca="1">'Monthly Collection-2024)'!CC73</f>
        <v>0</v>
      </c>
      <c r="BF73" t="str">
        <f t="shared" ca="1" si="100"/>
        <v/>
      </c>
      <c r="BG73">
        <f t="shared" ca="1" si="101"/>
        <v>0</v>
      </c>
      <c r="BH73" t="str">
        <f t="shared" ca="1" si="102"/>
        <v/>
      </c>
      <c r="BI73">
        <f t="shared" ca="1" si="103"/>
        <v>0</v>
      </c>
      <c r="BJ73" t="str">
        <f t="shared" ca="1" si="104"/>
        <v/>
      </c>
      <c r="BK73">
        <f t="shared" ca="1" si="105"/>
        <v>0</v>
      </c>
      <c r="BL73" t="str">
        <f t="shared" ca="1" si="106"/>
        <v/>
      </c>
      <c r="BM73">
        <f t="shared" ca="1" si="107"/>
        <v>0</v>
      </c>
      <c r="BN73" t="str">
        <f t="shared" ca="1" si="108"/>
        <v/>
      </c>
      <c r="BO73">
        <f t="shared" ca="1" si="109"/>
        <v>0</v>
      </c>
      <c r="BP73" t="str">
        <f t="shared" ca="1" si="110"/>
        <v/>
      </c>
      <c r="BQ73">
        <f t="shared" ca="1" si="111"/>
        <v>0</v>
      </c>
      <c r="BR73" t="str">
        <f t="shared" ca="1" si="112"/>
        <v/>
      </c>
      <c r="BS73">
        <f t="shared" ca="1" si="113"/>
        <v>0</v>
      </c>
      <c r="BT73" t="str">
        <f t="shared" ca="1" si="114"/>
        <v/>
      </c>
      <c r="BU73">
        <f t="shared" ca="1" si="115"/>
        <v>0</v>
      </c>
      <c r="BV73" t="str">
        <f t="shared" ca="1" si="116"/>
        <v/>
      </c>
      <c r="BW73">
        <f t="shared" ca="1" si="117"/>
        <v>0</v>
      </c>
      <c r="BX73" t="str">
        <f t="shared" ca="1" si="118"/>
        <v/>
      </c>
      <c r="BY73">
        <f t="shared" ca="1" si="119"/>
        <v>0</v>
      </c>
      <c r="BZ73" t="str">
        <f t="shared" ca="1" si="120"/>
        <v/>
      </c>
      <c r="CA73">
        <f t="shared" ca="1" si="121"/>
        <v>0</v>
      </c>
      <c r="CB73" t="str">
        <f t="shared" ca="1" si="122"/>
        <v/>
      </c>
      <c r="CC73">
        <f t="shared" ca="1" si="123"/>
        <v>0</v>
      </c>
    </row>
    <row r="74" spans="2:81" ht="14.25" customHeight="1" x14ac:dyDescent="0.3">
      <c r="B74" s="55">
        <f t="shared" si="97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>
        <f t="shared" si="88"/>
        <v>1000</v>
      </c>
      <c r="G74" s="56"/>
      <c r="H74" s="56"/>
      <c r="I74" s="56"/>
      <c r="J74" s="56">
        <f t="shared" si="89"/>
        <v>1000</v>
      </c>
      <c r="K74" s="56"/>
      <c r="L74" s="56"/>
      <c r="M74" s="56">
        <v>50</v>
      </c>
      <c r="N74" s="56">
        <f t="shared" si="124"/>
        <v>1000</v>
      </c>
      <c r="O74" s="56"/>
      <c r="P74" s="56"/>
      <c r="Q74" s="56"/>
      <c r="R74" s="241"/>
      <c r="S74" s="56"/>
      <c r="T74" s="56"/>
      <c r="U74" s="56"/>
      <c r="V74" s="56">
        <f t="shared" si="91"/>
        <v>1000</v>
      </c>
      <c r="W74" s="56"/>
      <c r="X74" s="56">
        <v>1000</v>
      </c>
      <c r="Y74" s="56">
        <v>50</v>
      </c>
      <c r="Z74" s="56">
        <f t="shared" si="92"/>
        <v>1000</v>
      </c>
      <c r="AA74" s="56"/>
      <c r="AB74" s="56"/>
      <c r="AC74" s="56"/>
      <c r="AD74" s="56">
        <f>$E74*1000</f>
        <v>1000</v>
      </c>
      <c r="AE74" s="56"/>
      <c r="AF74" s="56"/>
      <c r="AG74" s="56"/>
      <c r="AH74" s="56">
        <f t="shared" si="93"/>
        <v>1000</v>
      </c>
      <c r="AI74" s="56"/>
      <c r="AJ74" s="56"/>
      <c r="AK74" s="56"/>
      <c r="AL74" s="56">
        <f t="shared" si="82"/>
        <v>1000</v>
      </c>
      <c r="AM74" s="56"/>
      <c r="AN74" s="56"/>
      <c r="AO74" s="56"/>
      <c r="AP74" s="56">
        <f t="shared" si="94"/>
        <v>1000</v>
      </c>
      <c r="AQ74" s="56"/>
      <c r="AR74" s="56"/>
      <c r="AS74" s="56"/>
      <c r="AT74" s="56">
        <f t="shared" si="95"/>
        <v>1000</v>
      </c>
      <c r="AU74" s="56"/>
      <c r="AV74" s="56"/>
      <c r="AW74" s="56"/>
      <c r="AX74" s="56">
        <f t="shared" si="96"/>
        <v>1000</v>
      </c>
      <c r="AY74" s="56"/>
      <c r="AZ74" s="56"/>
      <c r="BA74" s="56"/>
      <c r="BB74" s="56">
        <f t="shared" si="98"/>
        <v>12000</v>
      </c>
      <c r="BC74" s="56">
        <f t="shared" si="99"/>
        <v>100</v>
      </c>
      <c r="BE74">
        <f ca="1">'Monthly Collection-2024)'!CC74</f>
        <v>0</v>
      </c>
      <c r="BF74" t="str">
        <f t="shared" ca="1" si="100"/>
        <v/>
      </c>
      <c r="BG74">
        <f t="shared" ca="1" si="101"/>
        <v>0</v>
      </c>
      <c r="BH74" t="str">
        <f t="shared" ca="1" si="102"/>
        <v/>
      </c>
      <c r="BI74">
        <f t="shared" ca="1" si="103"/>
        <v>0</v>
      </c>
      <c r="BJ74" t="str">
        <f t="shared" ca="1" si="104"/>
        <v/>
      </c>
      <c r="BK74">
        <f t="shared" ca="1" si="105"/>
        <v>0</v>
      </c>
      <c r="BL74" t="str">
        <f t="shared" ca="1" si="106"/>
        <v>R</v>
      </c>
      <c r="BM74">
        <f t="shared" ca="1" si="107"/>
        <v>0</v>
      </c>
      <c r="BN74" t="str">
        <f t="shared" ca="1" si="108"/>
        <v/>
      </c>
      <c r="BO74">
        <f t="shared" ca="1" si="109"/>
        <v>0</v>
      </c>
      <c r="BP74" t="str">
        <f t="shared" ca="1" si="110"/>
        <v/>
      </c>
      <c r="BQ74">
        <f t="shared" ca="1" si="111"/>
        <v>0</v>
      </c>
      <c r="BR74" t="str">
        <f t="shared" ca="1" si="112"/>
        <v/>
      </c>
      <c r="BS74">
        <f t="shared" ca="1" si="113"/>
        <v>0</v>
      </c>
      <c r="BT74" t="str">
        <f t="shared" ca="1" si="114"/>
        <v/>
      </c>
      <c r="BU74">
        <f t="shared" ca="1" si="115"/>
        <v>0</v>
      </c>
      <c r="BV74" t="str">
        <f t="shared" ca="1" si="116"/>
        <v/>
      </c>
      <c r="BW74">
        <f t="shared" ca="1" si="117"/>
        <v>0</v>
      </c>
      <c r="BX74" t="str">
        <f t="shared" ca="1" si="118"/>
        <v/>
      </c>
      <c r="BY74">
        <f t="shared" ca="1" si="119"/>
        <v>0</v>
      </c>
      <c r="BZ74" t="str">
        <f t="shared" ca="1" si="120"/>
        <v/>
      </c>
      <c r="CA74">
        <f t="shared" ca="1" si="121"/>
        <v>0</v>
      </c>
      <c r="CB74" t="str">
        <f t="shared" ca="1" si="122"/>
        <v/>
      </c>
      <c r="CC74">
        <f t="shared" ca="1" si="123"/>
        <v>0</v>
      </c>
    </row>
    <row r="75" spans="2:81" ht="14.25" customHeight="1" x14ac:dyDescent="0.3">
      <c r="B75" s="51">
        <f t="shared" si="97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>
        <f t="shared" si="88"/>
        <v>1000</v>
      </c>
      <c r="G75" s="52"/>
      <c r="H75" s="52"/>
      <c r="I75" s="52"/>
      <c r="J75" s="52">
        <f t="shared" si="89"/>
        <v>1000</v>
      </c>
      <c r="K75" s="52"/>
      <c r="L75" s="52"/>
      <c r="M75" s="52"/>
      <c r="N75" s="52">
        <f t="shared" si="124"/>
        <v>1000</v>
      </c>
      <c r="O75" s="52"/>
      <c r="P75" s="52"/>
      <c r="Q75" s="52"/>
      <c r="R75" s="52">
        <f>$E75*1000</f>
        <v>1000</v>
      </c>
      <c r="S75" s="52"/>
      <c r="T75" s="52"/>
      <c r="U75" s="52"/>
      <c r="V75" s="52">
        <f t="shared" si="91"/>
        <v>1000</v>
      </c>
      <c r="W75" s="52"/>
      <c r="X75" s="52"/>
      <c r="Y75" s="52"/>
      <c r="Z75" s="52">
        <f t="shared" si="92"/>
        <v>1000</v>
      </c>
      <c r="AA75" s="52"/>
      <c r="AB75" s="52"/>
      <c r="AC75" s="52"/>
      <c r="AD75" s="52">
        <f>$E75*1000</f>
        <v>1000</v>
      </c>
      <c r="AE75" s="52"/>
      <c r="AF75" s="52"/>
      <c r="AG75" s="52"/>
      <c r="AH75" s="52">
        <f t="shared" si="93"/>
        <v>1000</v>
      </c>
      <c r="AI75" s="52"/>
      <c r="AJ75" s="52"/>
      <c r="AK75" s="52"/>
      <c r="AL75" s="52">
        <f t="shared" si="82"/>
        <v>1000</v>
      </c>
      <c r="AM75" s="52"/>
      <c r="AN75" s="52"/>
      <c r="AO75" s="52"/>
      <c r="AP75" s="52">
        <f t="shared" si="94"/>
        <v>1000</v>
      </c>
      <c r="AQ75" s="52"/>
      <c r="AR75" s="52"/>
      <c r="AS75" s="52"/>
      <c r="AT75" s="52">
        <f t="shared" si="95"/>
        <v>1000</v>
      </c>
      <c r="AU75" s="52"/>
      <c r="AV75" s="52"/>
      <c r="AW75" s="52"/>
      <c r="AX75" s="52">
        <f t="shared" si="96"/>
        <v>1000</v>
      </c>
      <c r="AY75" s="52"/>
      <c r="AZ75" s="52"/>
      <c r="BA75" s="52"/>
      <c r="BB75" s="52">
        <f t="shared" si="98"/>
        <v>12000</v>
      </c>
      <c r="BC75" s="52">
        <f t="shared" si="99"/>
        <v>0</v>
      </c>
      <c r="BE75">
        <f ca="1">'Monthly Collection-2024)'!CC75</f>
        <v>0</v>
      </c>
      <c r="BF75" t="str">
        <f t="shared" ca="1" si="100"/>
        <v/>
      </c>
      <c r="BG75">
        <f t="shared" ca="1" si="101"/>
        <v>0</v>
      </c>
      <c r="BH75" t="str">
        <f t="shared" ca="1" si="102"/>
        <v/>
      </c>
      <c r="BI75">
        <f t="shared" ca="1" si="103"/>
        <v>0</v>
      </c>
      <c r="BJ75" t="str">
        <f t="shared" ca="1" si="104"/>
        <v/>
      </c>
      <c r="BK75">
        <f t="shared" ca="1" si="105"/>
        <v>0</v>
      </c>
      <c r="BL75" t="str">
        <f t="shared" ca="1" si="106"/>
        <v/>
      </c>
      <c r="BM75">
        <f t="shared" ca="1" si="107"/>
        <v>0</v>
      </c>
      <c r="BN75" t="str">
        <f t="shared" ca="1" si="108"/>
        <v/>
      </c>
      <c r="BO75">
        <f t="shared" ca="1" si="109"/>
        <v>0</v>
      </c>
      <c r="BP75" t="str">
        <f t="shared" ca="1" si="110"/>
        <v/>
      </c>
      <c r="BQ75">
        <f t="shared" ca="1" si="111"/>
        <v>0</v>
      </c>
      <c r="BR75" t="str">
        <f t="shared" ca="1" si="112"/>
        <v/>
      </c>
      <c r="BS75">
        <f t="shared" ca="1" si="113"/>
        <v>0</v>
      </c>
      <c r="BT75" t="str">
        <f t="shared" ca="1" si="114"/>
        <v/>
      </c>
      <c r="BU75">
        <f t="shared" ca="1" si="115"/>
        <v>0</v>
      </c>
      <c r="BV75" t="str">
        <f t="shared" ca="1" si="116"/>
        <v/>
      </c>
      <c r="BW75">
        <f t="shared" ca="1" si="117"/>
        <v>0</v>
      </c>
      <c r="BX75" t="str">
        <f t="shared" ca="1" si="118"/>
        <v/>
      </c>
      <c r="BY75">
        <f t="shared" ca="1" si="119"/>
        <v>0</v>
      </c>
      <c r="BZ75" t="str">
        <f t="shared" ca="1" si="120"/>
        <v/>
      </c>
      <c r="CA75">
        <f t="shared" ca="1" si="121"/>
        <v>0</v>
      </c>
      <c r="CB75" t="str">
        <f t="shared" ca="1" si="122"/>
        <v/>
      </c>
      <c r="CC75">
        <f t="shared" ca="1" si="123"/>
        <v>0</v>
      </c>
    </row>
    <row r="76" spans="2:81" ht="14.25" customHeight="1" x14ac:dyDescent="0.3">
      <c r="B76" s="55">
        <f t="shared" si="97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>
        <f t="shared" si="88"/>
        <v>1000</v>
      </c>
      <c r="G76" s="56"/>
      <c r="H76" s="56"/>
      <c r="I76" s="56"/>
      <c r="J76" s="56">
        <f t="shared" si="89"/>
        <v>1000</v>
      </c>
      <c r="K76" s="56"/>
      <c r="L76" s="56"/>
      <c r="M76" s="56"/>
      <c r="N76" s="56">
        <f t="shared" si="124"/>
        <v>1000</v>
      </c>
      <c r="O76" s="56"/>
      <c r="P76" s="56"/>
      <c r="Q76" s="56"/>
      <c r="R76" s="241"/>
      <c r="S76" s="56"/>
      <c r="T76" s="56"/>
      <c r="U76" s="56"/>
      <c r="V76" s="241"/>
      <c r="W76" s="56"/>
      <c r="X76" s="56"/>
      <c r="Y76" s="56"/>
      <c r="Z76" s="241"/>
      <c r="AA76" s="56"/>
      <c r="AB76" s="56"/>
      <c r="AC76" s="56"/>
      <c r="AD76" s="56">
        <f>$E76*1000</f>
        <v>1000</v>
      </c>
      <c r="AE76" s="56"/>
      <c r="AF76" s="56">
        <v>3000</v>
      </c>
      <c r="AG76" s="56">
        <v>150</v>
      </c>
      <c r="AH76" s="241"/>
      <c r="AI76" s="56"/>
      <c r="AJ76" s="56"/>
      <c r="AK76" s="56"/>
      <c r="AL76" s="56">
        <f t="shared" si="82"/>
        <v>1000</v>
      </c>
      <c r="AM76" s="56"/>
      <c r="AN76" s="56">
        <v>1000</v>
      </c>
      <c r="AO76" s="56">
        <v>50</v>
      </c>
      <c r="AP76" s="56">
        <f t="shared" si="94"/>
        <v>1000</v>
      </c>
      <c r="AQ76" s="56"/>
      <c r="AR76" s="56"/>
      <c r="AS76" s="56"/>
      <c r="AT76" s="56">
        <f t="shared" si="95"/>
        <v>1000</v>
      </c>
      <c r="AU76" s="56"/>
      <c r="AV76" s="56"/>
      <c r="AW76" s="56"/>
      <c r="AX76" s="241"/>
      <c r="AY76" s="56"/>
      <c r="AZ76" s="56"/>
      <c r="BA76" s="56"/>
      <c r="BB76" s="56">
        <f t="shared" si="98"/>
        <v>11000</v>
      </c>
      <c r="BC76" s="56">
        <f t="shared" si="99"/>
        <v>200</v>
      </c>
      <c r="BE76">
        <f ca="1">'Monthly Collection-2024)'!CC76</f>
        <v>0</v>
      </c>
      <c r="BF76" t="str">
        <f t="shared" ca="1" si="100"/>
        <v/>
      </c>
      <c r="BG76">
        <f t="shared" ca="1" si="101"/>
        <v>0</v>
      </c>
      <c r="BH76" t="str">
        <f t="shared" ca="1" si="102"/>
        <v/>
      </c>
      <c r="BI76">
        <f t="shared" ca="1" si="103"/>
        <v>0</v>
      </c>
      <c r="BJ76" t="str">
        <f t="shared" ca="1" si="104"/>
        <v/>
      </c>
      <c r="BK76">
        <f t="shared" ca="1" si="105"/>
        <v>0</v>
      </c>
      <c r="BL76" t="str">
        <f t="shared" ca="1" si="106"/>
        <v>R</v>
      </c>
      <c r="BM76">
        <f t="shared" ca="1" si="107"/>
        <v>0</v>
      </c>
      <c r="BN76" t="str">
        <f t="shared" ca="1" si="108"/>
        <v>R</v>
      </c>
      <c r="BO76">
        <f t="shared" ca="1" si="109"/>
        <v>0</v>
      </c>
      <c r="BP76" t="str">
        <f t="shared" ca="1" si="110"/>
        <v>R</v>
      </c>
      <c r="BQ76">
        <f t="shared" ca="1" si="111"/>
        <v>0</v>
      </c>
      <c r="BR76" t="str">
        <f t="shared" ca="1" si="112"/>
        <v/>
      </c>
      <c r="BS76">
        <f t="shared" ca="1" si="113"/>
        <v>0</v>
      </c>
      <c r="BT76" t="str">
        <f t="shared" ca="1" si="114"/>
        <v>R</v>
      </c>
      <c r="BU76">
        <f t="shared" ca="1" si="115"/>
        <v>0</v>
      </c>
      <c r="BV76" t="str">
        <f t="shared" ca="1" si="116"/>
        <v/>
      </c>
      <c r="BW76">
        <f t="shared" ca="1" si="117"/>
        <v>0</v>
      </c>
      <c r="BX76" t="str">
        <f t="shared" ca="1" si="118"/>
        <v/>
      </c>
      <c r="BY76">
        <f t="shared" ca="1" si="119"/>
        <v>0</v>
      </c>
      <c r="BZ76" t="str">
        <f t="shared" ca="1" si="120"/>
        <v/>
      </c>
      <c r="CA76">
        <f t="shared" ca="1" si="121"/>
        <v>0</v>
      </c>
      <c r="CB76" t="str">
        <f t="shared" ca="1" si="122"/>
        <v>R</v>
      </c>
      <c r="CC76">
        <f t="shared" ca="1" si="123"/>
        <v>0</v>
      </c>
    </row>
    <row r="77" spans="2:81" ht="14.25" customHeight="1" x14ac:dyDescent="0.3">
      <c r="B77" s="51">
        <f t="shared" si="97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242"/>
      <c r="G77" s="52"/>
      <c r="H77" s="52"/>
      <c r="I77" s="52"/>
      <c r="J77" s="242"/>
      <c r="K77" s="52"/>
      <c r="L77" s="52"/>
      <c r="M77" s="52"/>
      <c r="N77" s="242"/>
      <c r="O77" s="52"/>
      <c r="P77" s="52"/>
      <c r="Q77" s="52"/>
      <c r="R77" s="52">
        <f>$E77*1000</f>
        <v>1000</v>
      </c>
      <c r="S77" s="52">
        <v>5000</v>
      </c>
      <c r="T77" s="52"/>
      <c r="U77" s="52"/>
      <c r="V77" s="242"/>
      <c r="W77" s="52"/>
      <c r="X77" s="52"/>
      <c r="Y77" s="52"/>
      <c r="Z77" s="242"/>
      <c r="AA77" s="52"/>
      <c r="AB77" s="52"/>
      <c r="AC77" s="52"/>
      <c r="AD77" s="242"/>
      <c r="AE77" s="52"/>
      <c r="AF77" s="52"/>
      <c r="AG77" s="52"/>
      <c r="AH77" s="242"/>
      <c r="AI77" s="52"/>
      <c r="AJ77" s="52"/>
      <c r="AK77" s="52"/>
      <c r="AL77" s="242"/>
      <c r="AM77" s="52"/>
      <c r="AN77" s="52"/>
      <c r="AO77" s="52"/>
      <c r="AP77" s="52">
        <f t="shared" si="94"/>
        <v>1000</v>
      </c>
      <c r="AQ77" s="52"/>
      <c r="AR77" s="52"/>
      <c r="AS77" s="52"/>
      <c r="AT77" s="52">
        <f t="shared" si="95"/>
        <v>1000</v>
      </c>
      <c r="AU77" s="52">
        <v>4000</v>
      </c>
      <c r="AV77" s="52"/>
      <c r="AW77" s="52"/>
      <c r="AX77" s="242"/>
      <c r="AY77" s="52"/>
      <c r="AZ77" s="52"/>
      <c r="BA77" s="52"/>
      <c r="BB77" s="52">
        <f t="shared" si="98"/>
        <v>12000</v>
      </c>
      <c r="BC77" s="52">
        <f t="shared" si="99"/>
        <v>0</v>
      </c>
      <c r="BE77">
        <f ca="1">'Monthly Collection-2024)'!CC77</f>
        <v>3000</v>
      </c>
      <c r="BF77" t="str">
        <f t="shared" ca="1" si="100"/>
        <v>G</v>
      </c>
      <c r="BG77">
        <f t="shared" ca="1" si="101"/>
        <v>2000</v>
      </c>
      <c r="BH77" t="str">
        <f t="shared" ca="1" si="102"/>
        <v>G</v>
      </c>
      <c r="BI77">
        <f t="shared" ca="1" si="103"/>
        <v>1000</v>
      </c>
      <c r="BJ77" t="str">
        <f t="shared" ca="1" si="104"/>
        <v>G</v>
      </c>
      <c r="BK77">
        <f t="shared" ca="1" si="105"/>
        <v>0</v>
      </c>
      <c r="BL77" t="str">
        <f t="shared" ca="1" si="106"/>
        <v/>
      </c>
      <c r="BM77">
        <f t="shared" ca="1" si="107"/>
        <v>5000</v>
      </c>
      <c r="BN77" t="str">
        <f t="shared" ca="1" si="108"/>
        <v>G</v>
      </c>
      <c r="BO77">
        <f t="shared" ca="1" si="109"/>
        <v>4000</v>
      </c>
      <c r="BP77" t="str">
        <f t="shared" ca="1" si="110"/>
        <v>G</v>
      </c>
      <c r="BQ77">
        <f t="shared" ca="1" si="111"/>
        <v>3000</v>
      </c>
      <c r="BR77" t="str">
        <f t="shared" ca="1" si="112"/>
        <v>G</v>
      </c>
      <c r="BS77">
        <f t="shared" ca="1" si="113"/>
        <v>2000</v>
      </c>
      <c r="BT77" t="str">
        <f t="shared" ca="1" si="114"/>
        <v>G</v>
      </c>
      <c r="BU77">
        <f t="shared" ca="1" si="115"/>
        <v>1000</v>
      </c>
      <c r="BV77" t="str">
        <f t="shared" ca="1" si="116"/>
        <v>G</v>
      </c>
      <c r="BW77">
        <f t="shared" ca="1" si="117"/>
        <v>0</v>
      </c>
      <c r="BX77" t="str">
        <f t="shared" ca="1" si="118"/>
        <v/>
      </c>
      <c r="BY77">
        <f t="shared" ca="1" si="119"/>
        <v>0</v>
      </c>
      <c r="BZ77" t="str">
        <f t="shared" ca="1" si="120"/>
        <v/>
      </c>
      <c r="CA77">
        <f t="shared" ca="1" si="121"/>
        <v>4000</v>
      </c>
      <c r="CB77" t="str">
        <f t="shared" ca="1" si="122"/>
        <v>G</v>
      </c>
      <c r="CC77">
        <f t="shared" ca="1" si="123"/>
        <v>3000</v>
      </c>
    </row>
    <row r="78" spans="2:81" ht="14.25" customHeight="1" x14ac:dyDescent="0.3">
      <c r="B78" s="55">
        <f t="shared" si="97"/>
        <v>75</v>
      </c>
      <c r="C78" s="56" t="s">
        <v>146</v>
      </c>
      <c r="D78" s="12">
        <f>'Member Wise Deposit Summary'!D78</f>
        <v>1608600387</v>
      </c>
      <c r="E78" s="56">
        <v>1</v>
      </c>
      <c r="F78" s="56">
        <f>$E78*1000</f>
        <v>1000</v>
      </c>
      <c r="G78" s="56">
        <v>4000</v>
      </c>
      <c r="H78" s="56"/>
      <c r="I78" s="56"/>
      <c r="J78" s="244"/>
      <c r="K78" s="56"/>
      <c r="L78" s="56"/>
      <c r="M78" s="56"/>
      <c r="N78" s="244"/>
      <c r="O78" s="56"/>
      <c r="P78" s="56"/>
      <c r="Q78" s="56"/>
      <c r="R78" s="244"/>
      <c r="S78" s="56"/>
      <c r="T78" s="56"/>
      <c r="U78" s="56"/>
      <c r="V78" s="244"/>
      <c r="W78" s="56"/>
      <c r="X78" s="56"/>
      <c r="Y78" s="56"/>
      <c r="Z78" s="56">
        <f>$E78*1000</f>
        <v>1000</v>
      </c>
      <c r="AA78" s="56">
        <v>4000</v>
      </c>
      <c r="AB78" s="56"/>
      <c r="AC78" s="56"/>
      <c r="AD78" s="244"/>
      <c r="AE78" s="56"/>
      <c r="AF78" s="56"/>
      <c r="AG78" s="56"/>
      <c r="AH78" s="244"/>
      <c r="AI78" s="56"/>
      <c r="AJ78" s="56"/>
      <c r="AK78" s="56"/>
      <c r="AL78" s="244"/>
      <c r="AM78" s="56"/>
      <c r="AN78" s="56"/>
      <c r="AO78" s="56"/>
      <c r="AP78" s="244"/>
      <c r="AQ78" s="56"/>
      <c r="AR78" s="56"/>
      <c r="AS78" s="56"/>
      <c r="AT78" s="56">
        <f t="shared" si="95"/>
        <v>1000</v>
      </c>
      <c r="AU78" s="56">
        <v>1000</v>
      </c>
      <c r="AV78" s="56"/>
      <c r="AW78" s="56"/>
      <c r="AX78" s="244"/>
      <c r="AY78" s="56"/>
      <c r="AZ78" s="56"/>
      <c r="BA78" s="56"/>
      <c r="BB78" s="56">
        <f t="shared" si="98"/>
        <v>12000</v>
      </c>
      <c r="BC78" s="56">
        <f t="shared" si="99"/>
        <v>0</v>
      </c>
      <c r="BE78">
        <f ca="1">'Monthly Collection-2024)'!CC78</f>
        <v>0</v>
      </c>
      <c r="BF78" t="str">
        <f t="shared" ca="1" si="100"/>
        <v/>
      </c>
      <c r="BG78">
        <f t="shared" ca="1" si="101"/>
        <v>4000</v>
      </c>
      <c r="BH78" t="str">
        <f t="shared" ca="1" si="102"/>
        <v>G</v>
      </c>
      <c r="BI78">
        <f t="shared" ca="1" si="103"/>
        <v>3000</v>
      </c>
      <c r="BJ78" t="str">
        <f t="shared" ca="1" si="104"/>
        <v>G</v>
      </c>
      <c r="BK78">
        <f t="shared" ca="1" si="105"/>
        <v>2000</v>
      </c>
      <c r="BL78" t="str">
        <f t="shared" ca="1" si="106"/>
        <v>G</v>
      </c>
      <c r="BM78">
        <f t="shared" ca="1" si="107"/>
        <v>1000</v>
      </c>
      <c r="BN78" t="str">
        <f t="shared" ca="1" si="108"/>
        <v>G</v>
      </c>
      <c r="BO78">
        <f t="shared" ca="1" si="109"/>
        <v>0</v>
      </c>
      <c r="BP78" t="str">
        <f t="shared" ca="1" si="110"/>
        <v/>
      </c>
      <c r="BQ78">
        <f t="shared" ca="1" si="111"/>
        <v>4000</v>
      </c>
      <c r="BR78" t="str">
        <f t="shared" ca="1" si="112"/>
        <v>G</v>
      </c>
      <c r="BS78">
        <f t="shared" ca="1" si="113"/>
        <v>3000</v>
      </c>
      <c r="BT78" t="str">
        <f t="shared" ca="1" si="114"/>
        <v>G</v>
      </c>
      <c r="BU78">
        <f t="shared" ca="1" si="115"/>
        <v>2000</v>
      </c>
      <c r="BV78" t="str">
        <f t="shared" ca="1" si="116"/>
        <v>G</v>
      </c>
      <c r="BW78">
        <f t="shared" ca="1" si="117"/>
        <v>1000</v>
      </c>
      <c r="BX78" t="str">
        <f t="shared" ca="1" si="118"/>
        <v>G</v>
      </c>
      <c r="BY78">
        <f t="shared" ca="1" si="119"/>
        <v>0</v>
      </c>
      <c r="BZ78" t="str">
        <f t="shared" ca="1" si="120"/>
        <v/>
      </c>
      <c r="CA78">
        <f t="shared" ca="1" si="121"/>
        <v>1000</v>
      </c>
      <c r="CB78" t="str">
        <f t="shared" ca="1" si="122"/>
        <v>G</v>
      </c>
      <c r="CC78">
        <f t="shared" ca="1" si="123"/>
        <v>0</v>
      </c>
    </row>
    <row r="79" spans="2:81" ht="14.25" customHeight="1" x14ac:dyDescent="0.3">
      <c r="B79" s="51">
        <f t="shared" si="97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242"/>
      <c r="G79" s="52"/>
      <c r="H79" s="52"/>
      <c r="I79" s="52"/>
      <c r="J79" s="52">
        <f>$E79*1000</f>
        <v>1000</v>
      </c>
      <c r="K79" s="52">
        <v>2000</v>
      </c>
      <c r="L79" s="52"/>
      <c r="M79" s="52"/>
      <c r="N79" s="242"/>
      <c r="O79" s="52"/>
      <c r="P79" s="52"/>
      <c r="Q79" s="52"/>
      <c r="R79" s="242"/>
      <c r="S79" s="52"/>
      <c r="T79" s="52"/>
      <c r="U79" s="52"/>
      <c r="V79" s="243"/>
      <c r="W79" s="52"/>
      <c r="X79" s="52"/>
      <c r="Y79" s="52"/>
      <c r="Z79" s="52">
        <f>$E79*1000</f>
        <v>1000</v>
      </c>
      <c r="AA79" s="52">
        <v>1000</v>
      </c>
      <c r="AB79" s="52">
        <v>1000</v>
      </c>
      <c r="AC79" s="52">
        <v>50</v>
      </c>
      <c r="AD79" s="242"/>
      <c r="AE79" s="52"/>
      <c r="AF79" s="52"/>
      <c r="AG79" s="52"/>
      <c r="AH79" s="52">
        <f>$E79*1000</f>
        <v>1000</v>
      </c>
      <c r="AI79" s="52">
        <v>2000</v>
      </c>
      <c r="AJ79" s="52"/>
      <c r="AK79" s="52"/>
      <c r="AL79" s="242"/>
      <c r="AM79" s="52"/>
      <c r="AN79" s="52"/>
      <c r="AO79" s="52"/>
      <c r="AP79" s="242"/>
      <c r="AQ79" s="52"/>
      <c r="AR79" s="52"/>
      <c r="AS79" s="52"/>
      <c r="AT79" s="52">
        <f t="shared" si="95"/>
        <v>1000</v>
      </c>
      <c r="AU79" s="52"/>
      <c r="AV79" s="52"/>
      <c r="AW79" s="52"/>
      <c r="AX79" s="52">
        <f>$E79*1000</f>
        <v>1000</v>
      </c>
      <c r="AY79" s="52"/>
      <c r="AZ79" s="52"/>
      <c r="BA79" s="52"/>
      <c r="BB79" s="52">
        <f t="shared" si="98"/>
        <v>11000</v>
      </c>
      <c r="BC79" s="52">
        <f t="shared" si="99"/>
        <v>50</v>
      </c>
      <c r="BE79">
        <f ca="1">'Monthly Collection-2024)'!CC79</f>
        <v>1000</v>
      </c>
      <c r="BF79" t="str">
        <f t="shared" ca="1" si="100"/>
        <v>G</v>
      </c>
      <c r="BG79">
        <f t="shared" ca="1" si="101"/>
        <v>0</v>
      </c>
      <c r="BH79" t="str">
        <f t="shared" ca="1" si="102"/>
        <v/>
      </c>
      <c r="BI79">
        <f t="shared" ca="1" si="103"/>
        <v>2000</v>
      </c>
      <c r="BJ79" t="str">
        <f t="shared" ca="1" si="104"/>
        <v>G</v>
      </c>
      <c r="BK79">
        <f t="shared" ca="1" si="105"/>
        <v>1000</v>
      </c>
      <c r="BL79" t="str">
        <f t="shared" ca="1" si="106"/>
        <v>G</v>
      </c>
      <c r="BM79">
        <f t="shared" ca="1" si="107"/>
        <v>0</v>
      </c>
      <c r="BN79" t="str">
        <f t="shared" ca="1" si="108"/>
        <v>R</v>
      </c>
      <c r="BO79">
        <f t="shared" ca="1" si="109"/>
        <v>0</v>
      </c>
      <c r="BP79" t="str">
        <f t="shared" ca="1" si="110"/>
        <v/>
      </c>
      <c r="BQ79">
        <f t="shared" ca="1" si="111"/>
        <v>1000</v>
      </c>
      <c r="BR79" t="str">
        <f t="shared" ca="1" si="112"/>
        <v>G</v>
      </c>
      <c r="BS79">
        <f t="shared" ca="1" si="113"/>
        <v>0</v>
      </c>
      <c r="BT79" t="str">
        <f t="shared" ca="1" si="114"/>
        <v/>
      </c>
      <c r="BU79">
        <f t="shared" ca="1" si="115"/>
        <v>2000</v>
      </c>
      <c r="BV79" t="str">
        <f t="shared" ca="1" si="116"/>
        <v>G</v>
      </c>
      <c r="BW79">
        <f t="shared" ca="1" si="117"/>
        <v>1000</v>
      </c>
      <c r="BX79" t="str">
        <f t="shared" ca="1" si="118"/>
        <v>G</v>
      </c>
      <c r="BY79">
        <f t="shared" ca="1" si="119"/>
        <v>0</v>
      </c>
      <c r="BZ79" t="str">
        <f t="shared" ca="1" si="120"/>
        <v/>
      </c>
      <c r="CA79">
        <f t="shared" ca="1" si="121"/>
        <v>0</v>
      </c>
      <c r="CB79" t="str">
        <f t="shared" ca="1" si="122"/>
        <v/>
      </c>
      <c r="CC79">
        <f t="shared" ca="1" si="123"/>
        <v>0</v>
      </c>
    </row>
    <row r="80" spans="2:81" ht="15" customHeight="1" x14ac:dyDescent="0.3">
      <c r="B80" s="59">
        <f t="shared" si="97"/>
        <v>77</v>
      </c>
      <c r="C80" s="60" t="s">
        <v>148</v>
      </c>
      <c r="D80" s="12">
        <f>'Member Wise Deposit Summary'!D80</f>
        <v>1812676040</v>
      </c>
      <c r="E80" s="60">
        <v>1</v>
      </c>
      <c r="F80" s="60">
        <f>$E80*1000</f>
        <v>1000</v>
      </c>
      <c r="G80" s="60"/>
      <c r="H80" s="60"/>
      <c r="I80" s="60"/>
      <c r="J80" s="60">
        <f>$E80*1000</f>
        <v>1000</v>
      </c>
      <c r="K80" s="60"/>
      <c r="L80" s="60"/>
      <c r="M80" s="60"/>
      <c r="N80" s="60">
        <f>$E80*1000</f>
        <v>1000</v>
      </c>
      <c r="O80" s="60"/>
      <c r="P80" s="60"/>
      <c r="Q80" s="60"/>
      <c r="R80" s="60">
        <f>$E80*1000</f>
        <v>1000</v>
      </c>
      <c r="S80" s="60"/>
      <c r="T80" s="60"/>
      <c r="U80" s="60"/>
      <c r="V80" s="60">
        <f>$E80*1000</f>
        <v>1000</v>
      </c>
      <c r="W80" s="60">
        <v>1000</v>
      </c>
      <c r="X80" s="60"/>
      <c r="Y80" s="60"/>
      <c r="Z80" s="244"/>
      <c r="AA80" s="60"/>
      <c r="AB80" s="60"/>
      <c r="AC80" s="60"/>
      <c r="AD80" s="60">
        <f>$E80*1000</f>
        <v>1000</v>
      </c>
      <c r="AE80" s="60">
        <v>2000</v>
      </c>
      <c r="AF80" s="60"/>
      <c r="AG80" s="60"/>
      <c r="AH80" s="244"/>
      <c r="AI80" s="60"/>
      <c r="AJ80" s="60"/>
      <c r="AK80" s="60"/>
      <c r="AL80" s="244"/>
      <c r="AM80" s="60"/>
      <c r="AN80" s="60"/>
      <c r="AO80" s="60"/>
      <c r="AP80" s="60">
        <f>$E80*1000</f>
        <v>1000</v>
      </c>
      <c r="AQ80" s="60">
        <v>2000</v>
      </c>
      <c r="AR80" s="60"/>
      <c r="AS80" s="60"/>
      <c r="AT80" s="246"/>
      <c r="AU80" s="60"/>
      <c r="AV80" s="60"/>
      <c r="AW80" s="60"/>
      <c r="AX80" s="246"/>
      <c r="AY80" s="60"/>
      <c r="AZ80" s="60"/>
      <c r="BA80" s="60"/>
      <c r="BB80" s="60">
        <f t="shared" si="98"/>
        <v>12000</v>
      </c>
      <c r="BC80" s="60">
        <f t="shared" si="99"/>
        <v>0</v>
      </c>
      <c r="BE80">
        <f ca="1">'Monthly Collection-2024)'!CC80</f>
        <v>0</v>
      </c>
      <c r="BF80" t="str">
        <f t="shared" ca="1" si="100"/>
        <v/>
      </c>
      <c r="BG80">
        <f t="shared" ca="1" si="101"/>
        <v>0</v>
      </c>
      <c r="BH80" t="str">
        <f t="shared" ca="1" si="102"/>
        <v/>
      </c>
      <c r="BI80">
        <f t="shared" ca="1" si="103"/>
        <v>0</v>
      </c>
      <c r="BJ80" t="str">
        <f t="shared" ca="1" si="104"/>
        <v/>
      </c>
      <c r="BK80">
        <f t="shared" ca="1" si="105"/>
        <v>0</v>
      </c>
      <c r="BL80" t="str">
        <f t="shared" ca="1" si="106"/>
        <v/>
      </c>
      <c r="BM80">
        <f t="shared" ca="1" si="107"/>
        <v>0</v>
      </c>
      <c r="BN80" t="str">
        <f t="shared" ca="1" si="108"/>
        <v/>
      </c>
      <c r="BO80">
        <f t="shared" ca="1" si="109"/>
        <v>1000</v>
      </c>
      <c r="BP80" t="str">
        <f t="shared" ca="1" si="110"/>
        <v>G</v>
      </c>
      <c r="BQ80">
        <f t="shared" ca="1" si="111"/>
        <v>0</v>
      </c>
      <c r="BR80" t="str">
        <f t="shared" ca="1" si="112"/>
        <v/>
      </c>
      <c r="BS80">
        <f t="shared" ca="1" si="113"/>
        <v>2000</v>
      </c>
      <c r="BT80" t="str">
        <f t="shared" ca="1" si="114"/>
        <v>G</v>
      </c>
      <c r="BU80">
        <f t="shared" ca="1" si="115"/>
        <v>1000</v>
      </c>
      <c r="BV80" t="str">
        <f t="shared" ca="1" si="116"/>
        <v>G</v>
      </c>
      <c r="BW80">
        <f t="shared" ca="1" si="117"/>
        <v>0</v>
      </c>
      <c r="BX80" t="str">
        <f t="shared" ca="1" si="118"/>
        <v/>
      </c>
      <c r="BY80">
        <f t="shared" ca="1" si="119"/>
        <v>2000</v>
      </c>
      <c r="BZ80" t="str">
        <f t="shared" ca="1" si="120"/>
        <v>G</v>
      </c>
      <c r="CA80">
        <f t="shared" ca="1" si="121"/>
        <v>1000</v>
      </c>
      <c r="CB80" t="str">
        <f t="shared" ca="1" si="122"/>
        <v>G</v>
      </c>
      <c r="CC80">
        <f t="shared" ca="1" si="123"/>
        <v>0</v>
      </c>
    </row>
    <row r="81" spans="2:55" ht="15" customHeight="1" x14ac:dyDescent="0.3">
      <c r="B81" s="299" t="s">
        <v>68</v>
      </c>
      <c r="C81" s="299"/>
      <c r="D81" s="299"/>
      <c r="E81" s="299"/>
      <c r="F81" s="63">
        <f t="shared" ref="F81:AK81" si="125">_xlfn.AGGREGATE(9,6,F4:F80)</f>
        <v>113000</v>
      </c>
      <c r="G81" s="63">
        <f t="shared" si="125"/>
        <v>14000</v>
      </c>
      <c r="H81" s="63">
        <f t="shared" si="125"/>
        <v>20000</v>
      </c>
      <c r="I81" s="63">
        <f t="shared" si="125"/>
        <v>1000</v>
      </c>
      <c r="J81" s="63">
        <f t="shared" si="125"/>
        <v>113000</v>
      </c>
      <c r="K81" s="63">
        <f t="shared" si="125"/>
        <v>2000</v>
      </c>
      <c r="L81" s="63">
        <f t="shared" si="125"/>
        <v>12000</v>
      </c>
      <c r="M81" s="63">
        <f t="shared" si="125"/>
        <v>750</v>
      </c>
      <c r="N81" s="63">
        <f t="shared" si="125"/>
        <v>108000</v>
      </c>
      <c r="O81" s="63">
        <f t="shared" si="125"/>
        <v>4000</v>
      </c>
      <c r="P81" s="63">
        <f t="shared" si="125"/>
        <v>3000</v>
      </c>
      <c r="Q81" s="63">
        <f t="shared" si="125"/>
        <v>150</v>
      </c>
      <c r="R81" s="63">
        <f t="shared" si="125"/>
        <v>104000</v>
      </c>
      <c r="S81" s="63">
        <f t="shared" si="125"/>
        <v>5000</v>
      </c>
      <c r="T81" s="63">
        <f t="shared" si="125"/>
        <v>10000</v>
      </c>
      <c r="U81" s="63">
        <f t="shared" si="125"/>
        <v>500</v>
      </c>
      <c r="V81" s="63">
        <f t="shared" si="125"/>
        <v>108000</v>
      </c>
      <c r="W81" s="63">
        <f t="shared" si="125"/>
        <v>8000</v>
      </c>
      <c r="X81" s="63">
        <f t="shared" si="125"/>
        <v>18000</v>
      </c>
      <c r="Y81" s="63">
        <f t="shared" si="125"/>
        <v>950</v>
      </c>
      <c r="Z81" s="63">
        <f t="shared" si="125"/>
        <v>107000</v>
      </c>
      <c r="AA81" s="63">
        <f t="shared" si="125"/>
        <v>5000</v>
      </c>
      <c r="AB81" s="63">
        <f t="shared" si="125"/>
        <v>7000</v>
      </c>
      <c r="AC81" s="63">
        <f t="shared" si="125"/>
        <v>350</v>
      </c>
      <c r="AD81" s="63">
        <f t="shared" si="125"/>
        <v>102000</v>
      </c>
      <c r="AE81" s="63">
        <f t="shared" si="125"/>
        <v>12000</v>
      </c>
      <c r="AF81" s="63">
        <f t="shared" si="125"/>
        <v>9000</v>
      </c>
      <c r="AG81" s="63">
        <f t="shared" si="125"/>
        <v>450</v>
      </c>
      <c r="AH81" s="63">
        <f t="shared" si="125"/>
        <v>108000</v>
      </c>
      <c r="AI81" s="63">
        <f t="shared" si="125"/>
        <v>2000</v>
      </c>
      <c r="AJ81" s="63">
        <f t="shared" si="125"/>
        <v>24000</v>
      </c>
      <c r="AK81" s="63">
        <f t="shared" si="125"/>
        <v>1250</v>
      </c>
      <c r="AL81" s="63">
        <f t="shared" ref="AL81:BC81" si="126">_xlfn.AGGREGATE(9,6,AL4:AL80)</f>
        <v>105000</v>
      </c>
      <c r="AM81" s="63">
        <f t="shared" si="126"/>
        <v>10000</v>
      </c>
      <c r="AN81" s="63">
        <f t="shared" si="126"/>
        <v>3000</v>
      </c>
      <c r="AO81" s="63">
        <f t="shared" si="126"/>
        <v>150</v>
      </c>
      <c r="AP81" s="63">
        <f t="shared" si="126"/>
        <v>108000</v>
      </c>
      <c r="AQ81" s="63">
        <f t="shared" si="126"/>
        <v>3000</v>
      </c>
      <c r="AR81" s="63">
        <f t="shared" si="126"/>
        <v>11000</v>
      </c>
      <c r="AS81" s="63">
        <f t="shared" si="126"/>
        <v>900</v>
      </c>
      <c r="AT81" s="63">
        <f t="shared" si="126"/>
        <v>114000</v>
      </c>
      <c r="AU81" s="63">
        <f t="shared" si="126"/>
        <v>5000</v>
      </c>
      <c r="AV81" s="63">
        <f t="shared" si="126"/>
        <v>11000</v>
      </c>
      <c r="AW81" s="63">
        <f t="shared" si="126"/>
        <v>550</v>
      </c>
      <c r="AX81" s="63">
        <f t="shared" si="126"/>
        <v>109000</v>
      </c>
      <c r="AY81" s="63">
        <f t="shared" si="126"/>
        <v>0</v>
      </c>
      <c r="AZ81" s="63">
        <f t="shared" si="126"/>
        <v>10000</v>
      </c>
      <c r="BA81" s="63">
        <f t="shared" si="126"/>
        <v>500</v>
      </c>
      <c r="BB81" s="63">
        <f t="shared" si="126"/>
        <v>1507000</v>
      </c>
      <c r="BC81" s="63">
        <f t="shared" si="126"/>
        <v>7500</v>
      </c>
    </row>
  </sheetData>
  <mergeCells count="19">
    <mergeCell ref="B81:E81"/>
    <mergeCell ref="AD2:AG2"/>
    <mergeCell ref="AH2:AK2"/>
    <mergeCell ref="AL2:AO2"/>
    <mergeCell ref="AP2:AS2"/>
    <mergeCell ref="J2:M2"/>
    <mergeCell ref="N2:Q2"/>
    <mergeCell ref="R2:U2"/>
    <mergeCell ref="V2:Y2"/>
    <mergeCell ref="Z2:AC2"/>
    <mergeCell ref="B2:B3"/>
    <mergeCell ref="C2:C3"/>
    <mergeCell ref="D2:D3"/>
    <mergeCell ref="E2:E3"/>
    <mergeCell ref="F2:I2"/>
    <mergeCell ref="AX2:BA2"/>
    <mergeCell ref="BB2:BB3"/>
    <mergeCell ref="BC2:BC3"/>
    <mergeCell ref="AT2:AW2"/>
  </mergeCells>
  <conditionalFormatting sqref="F4:F80">
    <cfRule type="expression" dxfId="212" priority="100">
      <formula>$BF4="R"</formula>
    </cfRule>
    <cfRule type="expression" dxfId="211" priority="101">
      <formula>$BF4="G"</formula>
    </cfRule>
  </conditionalFormatting>
  <conditionalFormatting sqref="J4:J80">
    <cfRule type="expression" dxfId="210" priority="102">
      <formula>$BH4="R"</formula>
    </cfRule>
    <cfRule type="expression" dxfId="209" priority="103">
      <formula>$BH4="G"</formula>
    </cfRule>
  </conditionalFormatting>
  <conditionalFormatting sqref="N4:N80">
    <cfRule type="expression" dxfId="208" priority="104">
      <formula>$BJ4="R"</formula>
    </cfRule>
    <cfRule type="expression" dxfId="207" priority="105">
      <formula>$BJ4="G"</formula>
    </cfRule>
  </conditionalFormatting>
  <conditionalFormatting sqref="R4:R80">
    <cfRule type="expression" dxfId="206" priority="106">
      <formula>$BL4="R"</formula>
    </cfRule>
    <cfRule type="expression" dxfId="205" priority="107">
      <formula>$BL4="G"</formula>
    </cfRule>
  </conditionalFormatting>
  <conditionalFormatting sqref="V4:V80">
    <cfRule type="expression" dxfId="204" priority="108">
      <formula>$BN4="R"</formula>
    </cfRule>
    <cfRule type="expression" dxfId="203" priority="109">
      <formula>$BN4="G"</formula>
    </cfRule>
  </conditionalFormatting>
  <conditionalFormatting sqref="Z4:Z80">
    <cfRule type="expression" dxfId="202" priority="110">
      <formula>$BP4="R"</formula>
    </cfRule>
    <cfRule type="expression" dxfId="201" priority="111">
      <formula>$BP4="G"</formula>
    </cfRule>
  </conditionalFormatting>
  <conditionalFormatting sqref="AD4:AD80">
    <cfRule type="expression" dxfId="200" priority="112">
      <formula>$BR4="R"</formula>
    </cfRule>
    <cfRule type="expression" dxfId="199" priority="113">
      <formula>$BR4="G"</formula>
    </cfRule>
  </conditionalFormatting>
  <conditionalFormatting sqref="AH4:AH80">
    <cfRule type="expression" dxfId="198" priority="114">
      <formula>$BT4="R"</formula>
    </cfRule>
    <cfRule type="expression" dxfId="197" priority="115">
      <formula>$BT4="G"</formula>
    </cfRule>
  </conditionalFormatting>
  <conditionalFormatting sqref="AL4:AL80">
    <cfRule type="expression" dxfId="196" priority="116">
      <formula>$BV4="R"</formula>
    </cfRule>
    <cfRule type="expression" dxfId="195" priority="117">
      <formula>$BV4="G"</formula>
    </cfRule>
  </conditionalFormatting>
  <conditionalFormatting sqref="AP4:AP80">
    <cfRule type="expression" dxfId="194" priority="118">
      <formula>$BX4="R"</formula>
    </cfRule>
    <cfRule type="expression" dxfId="193" priority="119">
      <formula>$BX4="G"</formula>
    </cfRule>
  </conditionalFormatting>
  <conditionalFormatting sqref="AT4:AT80">
    <cfRule type="expression" dxfId="192" priority="120">
      <formula>$BZ4="R"</formula>
    </cfRule>
    <cfRule type="expression" dxfId="191" priority="121">
      <formula>$BZ4="G"</formula>
    </cfRule>
  </conditionalFormatting>
  <conditionalFormatting sqref="AX4:AX80">
    <cfRule type="expression" dxfId="190" priority="122">
      <formula>$CB4="R"</formula>
    </cfRule>
    <cfRule type="expression" dxfId="189" priority="123">
      <formula>$CB4="G"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CD82"/>
  <sheetViews>
    <sheetView showGridLines="0" topLeftCell="A2" zoomScaleNormal="100" workbookViewId="0">
      <selection activeCell="D4" sqref="D4:D80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15.1093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10.77734375" style="3" customWidth="1"/>
    <col min="35" max="35" width="8.33203125" style="3" customWidth="1"/>
    <col min="36" max="36" width="10.109375" style="3" customWidth="1"/>
    <col min="37" max="37" width="8.77734375" style="3" customWidth="1"/>
    <col min="38" max="38" width="10.77734375" style="3" customWidth="1"/>
    <col min="39" max="39" width="8.33203125" style="3" customWidth="1"/>
    <col min="40" max="40" width="10.109375" style="3" customWidth="1"/>
    <col min="41" max="41" width="8.77734375" style="3" customWidth="1"/>
    <col min="42" max="42" width="10.77734375" style="3" customWidth="1"/>
    <col min="43" max="43" width="8.33203125" style="3" customWidth="1"/>
    <col min="44" max="44" width="10.109375" style="3" customWidth="1"/>
    <col min="45" max="45" width="8.77734375" style="3" customWidth="1"/>
    <col min="46" max="46" width="10.77734375" style="3" customWidth="1"/>
    <col min="47" max="47" width="8.33203125" style="3" customWidth="1"/>
    <col min="48" max="48" width="10.109375" style="3" customWidth="1"/>
    <col min="49" max="49" width="8.77734375" style="3" customWidth="1"/>
    <col min="50" max="50" width="10.77734375" style="3" customWidth="1"/>
    <col min="51" max="51" width="8.33203125" style="3" customWidth="1"/>
    <col min="52" max="52" width="10.109375" style="3" customWidth="1"/>
    <col min="53" max="53" width="8.77734375" style="3" customWidth="1"/>
    <col min="54" max="54" width="12" style="3" customWidth="1"/>
    <col min="55" max="55" width="5.21875" style="3" customWidth="1"/>
    <col min="56" max="56" width="8.88671875" style="3"/>
    <col min="57" max="81" width="9.44140625" style="3" hidden="1" customWidth="1" outlineLevel="1"/>
    <col min="82" max="82" width="8.88671875" style="3" collapsed="1"/>
    <col min="83" max="16384" width="8.88671875" style="3"/>
  </cols>
  <sheetData>
    <row r="1" spans="1:81" ht="19.5" customHeight="1" x14ac:dyDescent="0.3">
      <c r="A1" s="4" t="str">
        <f>HYPERLINK("#DASHBOARD!A1","⬅ Dashboard")</f>
        <v>⬅ Dashboard</v>
      </c>
      <c r="BE1" t="s">
        <v>355</v>
      </c>
    </row>
    <row r="2" spans="1:8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46023</v>
      </c>
      <c r="G2" s="296"/>
      <c r="H2" s="296"/>
      <c r="I2" s="296"/>
      <c r="J2" s="300">
        <f>EDATE($F2,1)</f>
        <v>46054</v>
      </c>
      <c r="K2" s="300"/>
      <c r="L2" s="300"/>
      <c r="M2" s="300"/>
      <c r="N2" s="296">
        <f>EDATE($F2,2)</f>
        <v>46082</v>
      </c>
      <c r="O2" s="296"/>
      <c r="P2" s="296"/>
      <c r="Q2" s="296"/>
      <c r="R2" s="300">
        <f>EDATE($F2,3)</f>
        <v>46113</v>
      </c>
      <c r="S2" s="300"/>
      <c r="T2" s="300"/>
      <c r="U2" s="300"/>
      <c r="V2" s="296">
        <f>EDATE($F2,4)</f>
        <v>46143</v>
      </c>
      <c r="W2" s="296"/>
      <c r="X2" s="296"/>
      <c r="Y2" s="296"/>
      <c r="Z2" s="300">
        <f>EDATE($F2,5)</f>
        <v>46174</v>
      </c>
      <c r="AA2" s="300"/>
      <c r="AB2" s="300"/>
      <c r="AC2" s="300"/>
      <c r="AD2" s="296">
        <f>EDATE($F2,6)</f>
        <v>46204</v>
      </c>
      <c r="AE2" s="296"/>
      <c r="AF2" s="296"/>
      <c r="AG2" s="296"/>
      <c r="AH2" s="300">
        <f>EDATE($F2,7)</f>
        <v>46235</v>
      </c>
      <c r="AI2" s="300"/>
      <c r="AJ2" s="300"/>
      <c r="AK2" s="300"/>
      <c r="AL2" s="296">
        <f>EDATE($F2,8)</f>
        <v>46266</v>
      </c>
      <c r="AM2" s="296"/>
      <c r="AN2" s="296"/>
      <c r="AO2" s="296"/>
      <c r="AP2" s="300">
        <f>EDATE($F2,9)</f>
        <v>46296</v>
      </c>
      <c r="AQ2" s="300"/>
      <c r="AR2" s="300"/>
      <c r="AS2" s="300"/>
      <c r="AT2" s="296">
        <f>EDATE($F2,10)</f>
        <v>46327</v>
      </c>
      <c r="AU2" s="296"/>
      <c r="AV2" s="296"/>
      <c r="AW2" s="296"/>
      <c r="AX2" s="300">
        <f>EDATE($F2,11)</f>
        <v>46357</v>
      </c>
      <c r="AY2" s="300"/>
      <c r="AZ2" s="300"/>
      <c r="BA2" s="300"/>
      <c r="BB2" s="297" t="s">
        <v>70</v>
      </c>
      <c r="BC2" s="298" t="s">
        <v>41</v>
      </c>
      <c r="BF2" s="236">
        <f>F$2</f>
        <v>46023</v>
      </c>
      <c r="BH2" s="236">
        <f>J$2</f>
        <v>46054</v>
      </c>
      <c r="BJ2" s="236">
        <f>N$2</f>
        <v>46082</v>
      </c>
      <c r="BL2" s="236">
        <f>R$2</f>
        <v>46113</v>
      </c>
      <c r="BN2" s="236">
        <f>V$2</f>
        <v>46143</v>
      </c>
      <c r="BP2" s="236">
        <f>Z$2</f>
        <v>46174</v>
      </c>
      <c r="BR2" s="236">
        <f>AD$2</f>
        <v>46204</v>
      </c>
      <c r="BT2" s="236">
        <f>AH$2</f>
        <v>46235</v>
      </c>
      <c r="BV2" s="236">
        <f>AL$2</f>
        <v>46266</v>
      </c>
      <c r="BX2" s="236">
        <f>AP$2</f>
        <v>46296</v>
      </c>
      <c r="BZ2" s="236">
        <f>AT$2</f>
        <v>46327</v>
      </c>
      <c r="CB2" s="236">
        <f>AX$2</f>
        <v>46357</v>
      </c>
    </row>
    <row r="3" spans="1:81" s="46" customFormat="1" ht="29.25" customHeight="1" x14ac:dyDescent="0.3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2" t="s">
        <v>44</v>
      </c>
      <c r="AI3" s="22" t="s">
        <v>19</v>
      </c>
      <c r="AJ3" s="22" t="s">
        <v>45</v>
      </c>
      <c r="AK3" s="22" t="s">
        <v>20</v>
      </c>
      <c r="AL3" s="22" t="s">
        <v>44</v>
      </c>
      <c r="AM3" s="22" t="s">
        <v>19</v>
      </c>
      <c r="AN3" s="22" t="s">
        <v>45</v>
      </c>
      <c r="AO3" s="22" t="s">
        <v>20</v>
      </c>
      <c r="AP3" s="22" t="s">
        <v>44</v>
      </c>
      <c r="AQ3" s="22" t="s">
        <v>19</v>
      </c>
      <c r="AR3" s="22" t="s">
        <v>45</v>
      </c>
      <c r="AS3" s="22" t="s">
        <v>20</v>
      </c>
      <c r="AT3" s="22" t="s">
        <v>44</v>
      </c>
      <c r="AU3" s="22" t="s">
        <v>19</v>
      </c>
      <c r="AV3" s="22" t="s">
        <v>45</v>
      </c>
      <c r="AW3" s="22" t="s">
        <v>20</v>
      </c>
      <c r="AX3" s="22" t="s">
        <v>44</v>
      </c>
      <c r="AY3" s="22" t="s">
        <v>19</v>
      </c>
      <c r="AZ3" s="22" t="s">
        <v>45</v>
      </c>
      <c r="BA3" s="22" t="s">
        <v>20</v>
      </c>
      <c r="BB3" s="297"/>
      <c r="BC3" s="298"/>
      <c r="BE3" s="22" t="s">
        <v>356</v>
      </c>
      <c r="BF3" s="22" t="s">
        <v>339</v>
      </c>
      <c r="BG3" s="22" t="s">
        <v>357</v>
      </c>
      <c r="BH3" s="22" t="s">
        <v>339</v>
      </c>
      <c r="BI3" s="22" t="s">
        <v>357</v>
      </c>
      <c r="BJ3" s="22" t="s">
        <v>339</v>
      </c>
      <c r="BK3" s="22" t="s">
        <v>357</v>
      </c>
      <c r="BL3" s="22" t="s">
        <v>339</v>
      </c>
      <c r="BM3" s="22" t="s">
        <v>357</v>
      </c>
      <c r="BN3" s="22" t="s">
        <v>339</v>
      </c>
      <c r="BO3" s="22" t="s">
        <v>357</v>
      </c>
      <c r="BP3" s="22" t="s">
        <v>339</v>
      </c>
      <c r="BQ3" s="22" t="s">
        <v>357</v>
      </c>
      <c r="BR3" s="22" t="s">
        <v>339</v>
      </c>
      <c r="BS3" s="22" t="s">
        <v>357</v>
      </c>
      <c r="BT3" s="22" t="s">
        <v>339</v>
      </c>
      <c r="BU3" s="22" t="s">
        <v>357</v>
      </c>
      <c r="BV3" s="22" t="s">
        <v>339</v>
      </c>
      <c r="BW3" s="22" t="s">
        <v>357</v>
      </c>
      <c r="BX3" s="22" t="s">
        <v>339</v>
      </c>
      <c r="BY3" s="22" t="s">
        <v>357</v>
      </c>
      <c r="BZ3" s="22" t="s">
        <v>339</v>
      </c>
      <c r="CA3" s="22" t="s">
        <v>357</v>
      </c>
      <c r="CB3" s="22" t="s">
        <v>339</v>
      </c>
      <c r="CC3" s="22" t="s">
        <v>357</v>
      </c>
    </row>
    <row r="4" spans="1:8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>
        <f t="shared" ref="F4:F23" si="1">$E4*1000</f>
        <v>3000</v>
      </c>
      <c r="G4" s="48"/>
      <c r="H4" s="48"/>
      <c r="I4" s="48"/>
      <c r="J4" s="48">
        <f>$E4*1000</f>
        <v>3000</v>
      </c>
      <c r="K4" s="48"/>
      <c r="L4" s="48"/>
      <c r="M4" s="48"/>
      <c r="N4" s="48">
        <f>$E4*1000</f>
        <v>3000</v>
      </c>
      <c r="O4" s="48"/>
      <c r="P4" s="48"/>
      <c r="Q4" s="48"/>
      <c r="R4" s="48">
        <f t="shared" ref="R4:R14" si="2">E4*1000</f>
        <v>3000</v>
      </c>
      <c r="S4" s="48"/>
      <c r="T4" s="48"/>
      <c r="U4" s="48"/>
      <c r="V4" s="49">
        <f>E4*1000</f>
        <v>3000</v>
      </c>
      <c r="W4" s="48"/>
      <c r="X4" s="48"/>
      <c r="Y4" s="48"/>
      <c r="Z4" s="49">
        <f>E4*1000</f>
        <v>3000</v>
      </c>
      <c r="AA4" s="48"/>
      <c r="AB4" s="48"/>
      <c r="AC4" s="48"/>
      <c r="AD4" s="49">
        <f>E4*1000</f>
        <v>3000</v>
      </c>
      <c r="AE4" s="48"/>
      <c r="AF4" s="48"/>
      <c r="AG4" s="48"/>
      <c r="AH4" s="49">
        <f>1000*E4</f>
        <v>3000</v>
      </c>
      <c r="AI4" s="48"/>
      <c r="AJ4" s="48"/>
      <c r="AK4" s="48"/>
      <c r="AL4" s="48">
        <f>E4*1000</f>
        <v>3000</v>
      </c>
      <c r="AM4" s="48"/>
      <c r="AN4" s="48"/>
      <c r="AO4" s="48"/>
      <c r="AP4" s="49">
        <v>3000</v>
      </c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>
        <f t="shared" ref="BB4:BB35" si="3">F4+G4+H4+J4+K4+L4+N4+O4+P4+R4+S4+T4+V4+W4+X4+Z4+AA4+AB4+AD4+AE4+AF4+AH4+AI4+AJ4+AL4+AM4+AN4+AP4+AQ4+AR4+AT4+AU4+AV4+AX4+AY4+AZ4</f>
        <v>30000</v>
      </c>
      <c r="BC4" s="48">
        <f t="shared" ref="BC4:BC35" si="4">I4+M4+Q4+U4+Y4+AC4+AG4+AK4+AO4+AS4+AW4+BA4</f>
        <v>0</v>
      </c>
      <c r="BE4">
        <f ca="1">'Monthly Collection-2025'!CC4</f>
        <v>0</v>
      </c>
      <c r="BF4" t="str">
        <f t="shared" ref="BF4:BF35" ca="1" si="5">IF(N(F4)&gt;=$E4*1000,"",IF(AND($E4&gt;0,BE4&gt;=$E4*1000),"G",IF(F$2&lt;=TODAY(),"R","")))</f>
        <v/>
      </c>
      <c r="BG4">
        <f t="shared" ref="BG4:BG35" ca="1" si="6">BE4-IF(BF4="G",$E4*1000,0)+N(G4)</f>
        <v>0</v>
      </c>
      <c r="BH4" t="str">
        <f t="shared" ref="BH4:BH35" ca="1" si="7">IF(N(J4)&gt;=$E4*1000,"",IF(AND($E4&gt;0,BG4&gt;=$E4*1000),"G",IF(J$2&lt;=TODAY(),"R","")))</f>
        <v/>
      </c>
      <c r="BI4">
        <f t="shared" ref="BI4:BI35" ca="1" si="8">BG4-IF(BH4="G",$E4*1000,0)+N(K4)</f>
        <v>0</v>
      </c>
      <c r="BJ4" t="str">
        <f t="shared" ref="BJ4:BJ35" ca="1" si="9">IF(N(N4)&gt;=$E4*1000,"",IF(AND($E4&gt;0,BI4&gt;=$E4*1000),"G",IF(N$2&lt;=TODAY(),"R","")))</f>
        <v/>
      </c>
      <c r="BK4">
        <f t="shared" ref="BK4:BK35" ca="1" si="10">BI4-IF(BJ4="G",$E4*1000,0)+N(O4)</f>
        <v>0</v>
      </c>
      <c r="BL4" t="str">
        <f t="shared" ref="BL4:BL35" ca="1" si="11">IF(N(R4)&gt;=$E4*1000,"",IF(AND($E4&gt;0,BK4&gt;=$E4*1000),"G",IF(R$2&lt;=TODAY(),"R","")))</f>
        <v/>
      </c>
      <c r="BM4">
        <f t="shared" ref="BM4:BM35" ca="1" si="12">BK4-IF(BL4="G",$E4*1000,0)+N(S4)</f>
        <v>0</v>
      </c>
      <c r="BN4" t="str">
        <f t="shared" ref="BN4:BN35" ca="1" si="13">IF(N(V4)&gt;=$E4*1000,"",IF(AND($E4&gt;0,BM4&gt;=$E4*1000),"G",IF(V$2&lt;=TODAY(),"R","")))</f>
        <v/>
      </c>
      <c r="BO4">
        <f t="shared" ref="BO4:BO35" ca="1" si="14">BM4-IF(BN4="G",$E4*1000,0)+N(W4)</f>
        <v>0</v>
      </c>
      <c r="BP4" t="str">
        <f t="shared" ref="BP4:BP35" ca="1" si="15">IF(N(Z4)&gt;=$E4*1000,"",IF(AND($E4&gt;0,BO4&gt;=$E4*1000),"G",IF(Z$2&lt;=TODAY(),"R","")))</f>
        <v/>
      </c>
      <c r="BQ4">
        <f t="shared" ref="BQ4:BQ35" ca="1" si="16">BO4-IF(BP4="G",$E4*1000,0)+N(AA4)</f>
        <v>0</v>
      </c>
      <c r="BR4" t="str">
        <f t="shared" ref="BR4:BR35" ca="1" si="17">IF(N(AD4)&gt;=$E4*1000,"",IF(AND($E4&gt;0,BQ4&gt;=$E4*1000),"G",IF(AD$2&lt;=TODAY(),"R","")))</f>
        <v/>
      </c>
      <c r="BS4">
        <f t="shared" ref="BS4:BS35" ca="1" si="18">BQ4-IF(BR4="G",$E4*1000,0)+N(AE4)</f>
        <v>0</v>
      </c>
      <c r="BT4" t="str">
        <f t="shared" ref="BT4:BT35" ca="1" si="19">IF(N(AH4)&gt;=$E4*1000,"",IF(AND($E4&gt;0,BS4&gt;=$E4*1000),"G",IF(AH$2&lt;=TODAY(),"R","")))</f>
        <v/>
      </c>
      <c r="BU4">
        <f t="shared" ref="BU4:BU35" ca="1" si="20">BS4-IF(BT4="G",$E4*1000,0)+N(AI4)</f>
        <v>0</v>
      </c>
      <c r="BV4" t="str">
        <f t="shared" ref="BV4:BV35" ca="1" si="21">IF(N(AL4)&gt;=$E4*1000,"",IF(AND($E4&gt;0,BU4&gt;=$E4*1000),"G",IF(AL$2&lt;=TODAY(),"R","")))</f>
        <v/>
      </c>
      <c r="BW4">
        <f t="shared" ref="BW4:BW35" ca="1" si="22">BU4-IF(BV4="G",$E4*1000,0)+N(AM4)</f>
        <v>0</v>
      </c>
      <c r="BX4" t="str">
        <f t="shared" ref="BX4:BX35" ca="1" si="23">IF(N(AP4)&gt;=$E4*1000,"",IF(AND($E4&gt;0,BW4&gt;=$E4*1000),"G",IF(AP$2&lt;=TODAY(),"R","")))</f>
        <v/>
      </c>
      <c r="BY4">
        <f t="shared" ref="BY4:BY35" ca="1" si="24">BW4-IF(BX4="G",$E4*1000,0)+N(AQ4)</f>
        <v>0</v>
      </c>
      <c r="BZ4" t="str">
        <f t="shared" ref="BZ4:BZ35" ca="1" si="25">IF(N(AT4)&gt;=$E4*1000,"",IF(AND($E4&gt;0,BY4&gt;=$E4*1000),"G",IF(AT$2&lt;=TODAY(),"R","")))</f>
        <v/>
      </c>
      <c r="CA4">
        <f t="shared" ref="CA4:CA35" ca="1" si="26">BY4-IF(BZ4="G",$E4*1000,0)+N(AU4)</f>
        <v>0</v>
      </c>
      <c r="CB4" t="str">
        <f t="shared" ref="CB4:CB35" ca="1" si="27">IF(N(AX4)&gt;=$E4*1000,"",IF(AND($E4&gt;0,CA4&gt;=$E4*1000),"G",IF(AX$2&lt;=TODAY(),"R","")))</f>
        <v/>
      </c>
      <c r="CC4">
        <f t="shared" ref="CC4:CC35" ca="1" si="28">CA4-IF(CB4="G",$E4*1000,0)+N(AY4)</f>
        <v>0</v>
      </c>
    </row>
    <row r="5" spans="1:8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>
        <f t="shared" si="1"/>
        <v>2000</v>
      </c>
      <c r="G5" s="52"/>
      <c r="H5" s="52"/>
      <c r="I5" s="52"/>
      <c r="J5" s="52">
        <f>$E5*1000</f>
        <v>2000</v>
      </c>
      <c r="K5" s="52"/>
      <c r="L5" s="52"/>
      <c r="M5" s="52"/>
      <c r="N5" s="52">
        <f>$E5*1000</f>
        <v>2000</v>
      </c>
      <c r="O5" s="52"/>
      <c r="P5" s="52"/>
      <c r="Q5" s="52"/>
      <c r="R5" s="52">
        <f t="shared" si="2"/>
        <v>2000</v>
      </c>
      <c r="S5" s="52"/>
      <c r="T5" s="52"/>
      <c r="U5" s="52"/>
      <c r="V5" s="53">
        <f t="shared" ref="V5:V68" si="29">E5*1000</f>
        <v>2000</v>
      </c>
      <c r="W5" s="52"/>
      <c r="X5" s="52"/>
      <c r="Y5" s="52"/>
      <c r="Z5" s="53">
        <f t="shared" ref="Z5:Z68" si="30">E5*1000</f>
        <v>2000</v>
      </c>
      <c r="AA5" s="52"/>
      <c r="AB5" s="52"/>
      <c r="AC5" s="52"/>
      <c r="AD5" s="53">
        <f t="shared" ref="AD5:AD68" si="31">E5*1000</f>
        <v>2000</v>
      </c>
      <c r="AE5" s="52"/>
      <c r="AF5" s="52"/>
      <c r="AG5" s="52"/>
      <c r="AH5" s="53">
        <f t="shared" ref="AH5:AH68" si="32">1000*E5</f>
        <v>2000</v>
      </c>
      <c r="AI5" s="52"/>
      <c r="AJ5" s="52"/>
      <c r="AK5" s="52"/>
      <c r="AL5" s="49">
        <f t="shared" ref="AL5:AL68" si="33">E5*1000</f>
        <v>2000</v>
      </c>
      <c r="AM5" s="52"/>
      <c r="AN5" s="52"/>
      <c r="AO5" s="52"/>
      <c r="AP5" s="53">
        <v>2000</v>
      </c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>
        <f t="shared" si="3"/>
        <v>20000</v>
      </c>
      <c r="BC5" s="52">
        <f t="shared" si="4"/>
        <v>0</v>
      </c>
      <c r="BE5">
        <f ca="1">'Monthly Collection-2025'!CC5</f>
        <v>0</v>
      </c>
      <c r="BF5" t="str">
        <f t="shared" ca="1" si="5"/>
        <v/>
      </c>
      <c r="BG5">
        <f t="shared" ca="1" si="6"/>
        <v>0</v>
      </c>
      <c r="BH5" t="str">
        <f t="shared" ca="1" si="7"/>
        <v/>
      </c>
      <c r="BI5">
        <f t="shared" ca="1" si="8"/>
        <v>0</v>
      </c>
      <c r="BJ5" t="str">
        <f t="shared" ca="1" si="9"/>
        <v/>
      </c>
      <c r="BK5">
        <f t="shared" ca="1" si="10"/>
        <v>0</v>
      </c>
      <c r="BL5" t="str">
        <f t="shared" ca="1" si="11"/>
        <v/>
      </c>
      <c r="BM5">
        <f t="shared" ca="1" si="12"/>
        <v>0</v>
      </c>
      <c r="BN5" t="str">
        <f t="shared" ca="1" si="13"/>
        <v/>
      </c>
      <c r="BO5">
        <f t="shared" ca="1" si="14"/>
        <v>0</v>
      </c>
      <c r="BP5" t="str">
        <f t="shared" ca="1" si="15"/>
        <v/>
      </c>
      <c r="BQ5">
        <f t="shared" ca="1" si="16"/>
        <v>0</v>
      </c>
      <c r="BR5" t="str">
        <f t="shared" ca="1" si="17"/>
        <v/>
      </c>
      <c r="BS5">
        <f t="shared" ca="1" si="18"/>
        <v>0</v>
      </c>
      <c r="BT5" t="str">
        <f t="shared" ca="1" si="19"/>
        <v/>
      </c>
      <c r="BU5">
        <f t="shared" ca="1" si="20"/>
        <v>0</v>
      </c>
      <c r="BV5" t="str">
        <f t="shared" ca="1" si="21"/>
        <v/>
      </c>
      <c r="BW5">
        <f t="shared" ca="1" si="22"/>
        <v>0</v>
      </c>
      <c r="BX5" t="str">
        <f t="shared" ca="1" si="23"/>
        <v/>
      </c>
      <c r="BY5">
        <f t="shared" ca="1" si="24"/>
        <v>0</v>
      </c>
      <c r="BZ5" t="str">
        <f t="shared" ca="1" si="25"/>
        <v/>
      </c>
      <c r="CA5">
        <f t="shared" ca="1" si="26"/>
        <v>0</v>
      </c>
      <c r="CB5" t="str">
        <f t="shared" ca="1" si="27"/>
        <v/>
      </c>
      <c r="CC5">
        <f t="shared" ca="1" si="28"/>
        <v>0</v>
      </c>
    </row>
    <row r="6" spans="1:8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>
        <f t="shared" si="1"/>
        <v>2000</v>
      </c>
      <c r="G6" s="56"/>
      <c r="H6" s="56"/>
      <c r="I6" s="56"/>
      <c r="J6" s="56">
        <f>$E6*1000</f>
        <v>2000</v>
      </c>
      <c r="K6" s="56"/>
      <c r="L6" s="56"/>
      <c r="M6" s="56"/>
      <c r="N6" s="56">
        <f>$E6*1000</f>
        <v>2000</v>
      </c>
      <c r="O6" s="56"/>
      <c r="P6" s="56"/>
      <c r="Q6" s="56"/>
      <c r="R6" s="56">
        <f t="shared" si="2"/>
        <v>2000</v>
      </c>
      <c r="S6" s="56"/>
      <c r="T6" s="56"/>
      <c r="U6" s="56"/>
      <c r="V6" s="57">
        <f t="shared" si="29"/>
        <v>2000</v>
      </c>
      <c r="W6" s="56"/>
      <c r="X6" s="56"/>
      <c r="Y6" s="56"/>
      <c r="Z6" s="57">
        <f t="shared" si="30"/>
        <v>2000</v>
      </c>
      <c r="AA6" s="56"/>
      <c r="AB6" s="56"/>
      <c r="AC6" s="56"/>
      <c r="AD6" s="57">
        <f t="shared" si="31"/>
        <v>2000</v>
      </c>
      <c r="AE6" s="56"/>
      <c r="AF6" s="56"/>
      <c r="AG6" s="56"/>
      <c r="AH6" s="57">
        <f t="shared" si="32"/>
        <v>2000</v>
      </c>
      <c r="AI6" s="56"/>
      <c r="AJ6" s="56"/>
      <c r="AK6" s="56"/>
      <c r="AL6" s="49">
        <f t="shared" si="33"/>
        <v>2000</v>
      </c>
      <c r="AM6" s="56"/>
      <c r="AN6" s="56"/>
      <c r="AO6" s="56"/>
      <c r="AP6" s="57">
        <v>2000</v>
      </c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>
        <f t="shared" si="3"/>
        <v>20000</v>
      </c>
      <c r="BC6" s="56">
        <f t="shared" si="4"/>
        <v>0</v>
      </c>
      <c r="BE6">
        <f ca="1">'Monthly Collection-2025'!CC6</f>
        <v>0</v>
      </c>
      <c r="BF6" t="str">
        <f t="shared" ca="1" si="5"/>
        <v/>
      </c>
      <c r="BG6">
        <f t="shared" ca="1" si="6"/>
        <v>0</v>
      </c>
      <c r="BH6" t="str">
        <f t="shared" ca="1" si="7"/>
        <v/>
      </c>
      <c r="BI6">
        <f t="shared" ca="1" si="8"/>
        <v>0</v>
      </c>
      <c r="BJ6" t="str">
        <f t="shared" ca="1" si="9"/>
        <v/>
      </c>
      <c r="BK6">
        <f t="shared" ca="1" si="10"/>
        <v>0</v>
      </c>
      <c r="BL6" t="str">
        <f t="shared" ca="1" si="11"/>
        <v/>
      </c>
      <c r="BM6">
        <f t="shared" ca="1" si="12"/>
        <v>0</v>
      </c>
      <c r="BN6" t="str">
        <f t="shared" ca="1" si="13"/>
        <v/>
      </c>
      <c r="BO6">
        <f t="shared" ca="1" si="14"/>
        <v>0</v>
      </c>
      <c r="BP6" t="str">
        <f t="shared" ca="1" si="15"/>
        <v/>
      </c>
      <c r="BQ6">
        <f t="shared" ca="1" si="16"/>
        <v>0</v>
      </c>
      <c r="BR6" t="str">
        <f t="shared" ca="1" si="17"/>
        <v/>
      </c>
      <c r="BS6">
        <f t="shared" ca="1" si="18"/>
        <v>0</v>
      </c>
      <c r="BT6" t="str">
        <f t="shared" ca="1" si="19"/>
        <v/>
      </c>
      <c r="BU6">
        <f t="shared" ca="1" si="20"/>
        <v>0</v>
      </c>
      <c r="BV6" t="str">
        <f t="shared" ca="1" si="21"/>
        <v/>
      </c>
      <c r="BW6">
        <f t="shared" ca="1" si="22"/>
        <v>0</v>
      </c>
      <c r="BX6" t="str">
        <f t="shared" ca="1" si="23"/>
        <v/>
      </c>
      <c r="BY6">
        <f t="shared" ca="1" si="24"/>
        <v>0</v>
      </c>
      <c r="BZ6" t="str">
        <f t="shared" ca="1" si="25"/>
        <v/>
      </c>
      <c r="CA6">
        <f t="shared" ca="1" si="26"/>
        <v>0</v>
      </c>
      <c r="CB6" t="str">
        <f t="shared" ca="1" si="27"/>
        <v/>
      </c>
      <c r="CC6">
        <f t="shared" ca="1" si="28"/>
        <v>0</v>
      </c>
    </row>
    <row r="7" spans="1:8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>
        <f t="shared" si="1"/>
        <v>5000</v>
      </c>
      <c r="G7" s="52"/>
      <c r="H7" s="52"/>
      <c r="I7" s="52"/>
      <c r="J7" s="52">
        <f>$E7*1000</f>
        <v>5000</v>
      </c>
      <c r="K7" s="52"/>
      <c r="L7" s="52"/>
      <c r="M7" s="52"/>
      <c r="N7" s="52">
        <f>$E7*1000</f>
        <v>5000</v>
      </c>
      <c r="O7" s="52"/>
      <c r="P7" s="52"/>
      <c r="Q7" s="52"/>
      <c r="R7" s="52">
        <f t="shared" si="2"/>
        <v>5000</v>
      </c>
      <c r="S7" s="52"/>
      <c r="T7" s="52"/>
      <c r="U7" s="52"/>
      <c r="V7" s="53">
        <f t="shared" si="29"/>
        <v>5000</v>
      </c>
      <c r="W7" s="52"/>
      <c r="X7" s="52"/>
      <c r="Y7" s="52"/>
      <c r="Z7" s="53">
        <f t="shared" si="30"/>
        <v>5000</v>
      </c>
      <c r="AA7" s="52"/>
      <c r="AB7" s="52"/>
      <c r="AC7" s="52"/>
      <c r="AD7" s="53">
        <f t="shared" si="31"/>
        <v>5000</v>
      </c>
      <c r="AE7" s="52"/>
      <c r="AF7" s="52"/>
      <c r="AG7" s="52"/>
      <c r="AH7" s="53">
        <f t="shared" si="32"/>
        <v>5000</v>
      </c>
      <c r="AI7" s="52"/>
      <c r="AJ7" s="52"/>
      <c r="AK7" s="52"/>
      <c r="AL7" s="49">
        <f t="shared" si="33"/>
        <v>5000</v>
      </c>
      <c r="AM7" s="52"/>
      <c r="AN7" s="52"/>
      <c r="AO7" s="52"/>
      <c r="AP7" s="53">
        <v>5000</v>
      </c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>
        <f t="shared" si="3"/>
        <v>50000</v>
      </c>
      <c r="BC7" s="52">
        <f t="shared" si="4"/>
        <v>0</v>
      </c>
      <c r="BE7">
        <f ca="1">'Monthly Collection-2025'!CC7</f>
        <v>0</v>
      </c>
      <c r="BF7" t="str">
        <f t="shared" ca="1" si="5"/>
        <v/>
      </c>
      <c r="BG7">
        <f t="shared" ca="1" si="6"/>
        <v>0</v>
      </c>
      <c r="BH7" t="str">
        <f t="shared" ca="1" si="7"/>
        <v/>
      </c>
      <c r="BI7">
        <f t="shared" ca="1" si="8"/>
        <v>0</v>
      </c>
      <c r="BJ7" t="str">
        <f t="shared" ca="1" si="9"/>
        <v/>
      </c>
      <c r="BK7">
        <f t="shared" ca="1" si="10"/>
        <v>0</v>
      </c>
      <c r="BL7" t="str">
        <f t="shared" ca="1" si="11"/>
        <v/>
      </c>
      <c r="BM7">
        <f t="shared" ca="1" si="12"/>
        <v>0</v>
      </c>
      <c r="BN7" t="str">
        <f t="shared" ca="1" si="13"/>
        <v/>
      </c>
      <c r="BO7">
        <f t="shared" ca="1" si="14"/>
        <v>0</v>
      </c>
      <c r="BP7" t="str">
        <f t="shared" ca="1" si="15"/>
        <v/>
      </c>
      <c r="BQ7">
        <f t="shared" ca="1" si="16"/>
        <v>0</v>
      </c>
      <c r="BR7" t="str">
        <f t="shared" ca="1" si="17"/>
        <v/>
      </c>
      <c r="BS7">
        <f t="shared" ca="1" si="18"/>
        <v>0</v>
      </c>
      <c r="BT7" t="str">
        <f t="shared" ca="1" si="19"/>
        <v/>
      </c>
      <c r="BU7">
        <f t="shared" ca="1" si="20"/>
        <v>0</v>
      </c>
      <c r="BV7" t="str">
        <f t="shared" ca="1" si="21"/>
        <v/>
      </c>
      <c r="BW7">
        <f t="shared" ca="1" si="22"/>
        <v>0</v>
      </c>
      <c r="BX7" t="str">
        <f t="shared" ca="1" si="23"/>
        <v/>
      </c>
      <c r="BY7">
        <f t="shared" ca="1" si="24"/>
        <v>0</v>
      </c>
      <c r="BZ7" t="str">
        <f t="shared" ca="1" si="25"/>
        <v/>
      </c>
      <c r="CA7">
        <f t="shared" ca="1" si="26"/>
        <v>0</v>
      </c>
      <c r="CB7" t="str">
        <f t="shared" ca="1" si="27"/>
        <v/>
      </c>
      <c r="CC7">
        <f t="shared" ca="1" si="28"/>
        <v>0</v>
      </c>
    </row>
    <row r="8" spans="1:8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>
        <f t="shared" si="1"/>
        <v>2000</v>
      </c>
      <c r="G8" s="56"/>
      <c r="H8" s="56"/>
      <c r="I8" s="56"/>
      <c r="J8" s="56">
        <f>$E8*1000</f>
        <v>2000</v>
      </c>
      <c r="K8" s="56"/>
      <c r="L8" s="56"/>
      <c r="M8" s="56"/>
      <c r="N8" s="56">
        <f>$E8*1000</f>
        <v>2000</v>
      </c>
      <c r="O8" s="56"/>
      <c r="P8" s="56"/>
      <c r="Q8" s="56"/>
      <c r="R8" s="56">
        <f t="shared" si="2"/>
        <v>2000</v>
      </c>
      <c r="S8" s="56"/>
      <c r="T8" s="56"/>
      <c r="U8" s="56"/>
      <c r="V8" s="57">
        <f t="shared" si="29"/>
        <v>2000</v>
      </c>
      <c r="W8" s="56"/>
      <c r="X8" s="56"/>
      <c r="Y8" s="56"/>
      <c r="Z8" s="57">
        <f t="shared" si="30"/>
        <v>2000</v>
      </c>
      <c r="AA8" s="56"/>
      <c r="AB8" s="56"/>
      <c r="AC8" s="56"/>
      <c r="AD8" s="57">
        <f t="shared" si="31"/>
        <v>2000</v>
      </c>
      <c r="AE8" s="56"/>
      <c r="AF8" s="56"/>
      <c r="AG8" s="56"/>
      <c r="AH8" s="57">
        <f t="shared" si="32"/>
        <v>2000</v>
      </c>
      <c r="AI8" s="56"/>
      <c r="AJ8" s="56"/>
      <c r="AK8" s="56"/>
      <c r="AL8" s="49">
        <f t="shared" si="33"/>
        <v>2000</v>
      </c>
      <c r="AM8" s="56"/>
      <c r="AN8" s="56"/>
      <c r="AO8" s="56"/>
      <c r="AP8" s="57">
        <v>2000</v>
      </c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>
        <f t="shared" si="3"/>
        <v>20000</v>
      </c>
      <c r="BC8" s="56">
        <f t="shared" si="4"/>
        <v>0</v>
      </c>
      <c r="BE8">
        <f ca="1">'Monthly Collection-2025'!CC8</f>
        <v>0</v>
      </c>
      <c r="BF8" t="str">
        <f t="shared" ca="1" si="5"/>
        <v/>
      </c>
      <c r="BG8">
        <f t="shared" ca="1" si="6"/>
        <v>0</v>
      </c>
      <c r="BH8" t="str">
        <f t="shared" ca="1" si="7"/>
        <v/>
      </c>
      <c r="BI8">
        <f t="shared" ca="1" si="8"/>
        <v>0</v>
      </c>
      <c r="BJ8" t="str">
        <f t="shared" ca="1" si="9"/>
        <v/>
      </c>
      <c r="BK8">
        <f t="shared" ca="1" si="10"/>
        <v>0</v>
      </c>
      <c r="BL8" t="str">
        <f t="shared" ca="1" si="11"/>
        <v/>
      </c>
      <c r="BM8">
        <f t="shared" ca="1" si="12"/>
        <v>0</v>
      </c>
      <c r="BN8" t="str">
        <f t="shared" ca="1" si="13"/>
        <v/>
      </c>
      <c r="BO8">
        <f t="shared" ca="1" si="14"/>
        <v>0</v>
      </c>
      <c r="BP8" t="str">
        <f t="shared" ca="1" si="15"/>
        <v/>
      </c>
      <c r="BQ8">
        <f t="shared" ca="1" si="16"/>
        <v>0</v>
      </c>
      <c r="BR8" t="str">
        <f t="shared" ca="1" si="17"/>
        <v/>
      </c>
      <c r="BS8">
        <f t="shared" ca="1" si="18"/>
        <v>0</v>
      </c>
      <c r="BT8" t="str">
        <f t="shared" ca="1" si="19"/>
        <v/>
      </c>
      <c r="BU8">
        <f t="shared" ca="1" si="20"/>
        <v>0</v>
      </c>
      <c r="BV8" t="str">
        <f t="shared" ca="1" si="21"/>
        <v/>
      </c>
      <c r="BW8">
        <f t="shared" ca="1" si="22"/>
        <v>0</v>
      </c>
      <c r="BX8" t="str">
        <f t="shared" ca="1" si="23"/>
        <v/>
      </c>
      <c r="BY8">
        <f t="shared" ca="1" si="24"/>
        <v>0</v>
      </c>
      <c r="BZ8" t="str">
        <f t="shared" ca="1" si="25"/>
        <v/>
      </c>
      <c r="CA8">
        <f t="shared" ca="1" si="26"/>
        <v>0</v>
      </c>
      <c r="CB8" t="str">
        <f t="shared" ca="1" si="27"/>
        <v/>
      </c>
      <c r="CC8">
        <f t="shared" ca="1" si="28"/>
        <v>0</v>
      </c>
    </row>
    <row r="9" spans="1:8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52">
        <f t="shared" si="1"/>
        <v>2000</v>
      </c>
      <c r="G9" s="52">
        <v>4000</v>
      </c>
      <c r="H9" s="52"/>
      <c r="I9" s="52"/>
      <c r="J9" s="242"/>
      <c r="K9" s="52"/>
      <c r="L9" s="52"/>
      <c r="M9" s="52"/>
      <c r="N9" s="242"/>
      <c r="O9" s="52"/>
      <c r="P9" s="52"/>
      <c r="Q9" s="52"/>
      <c r="R9" s="52">
        <f t="shared" si="2"/>
        <v>2000</v>
      </c>
      <c r="S9" s="52">
        <v>6000</v>
      </c>
      <c r="T9" s="52"/>
      <c r="U9" s="52"/>
      <c r="V9" s="242"/>
      <c r="W9" s="52"/>
      <c r="X9" s="52"/>
      <c r="Y9" s="52"/>
      <c r="Z9" s="247"/>
      <c r="AA9" s="52"/>
      <c r="AB9" s="52"/>
      <c r="AC9" s="52"/>
      <c r="AD9" s="247"/>
      <c r="AE9" s="52"/>
      <c r="AF9" s="52"/>
      <c r="AG9" s="52"/>
      <c r="AH9" s="53">
        <f t="shared" si="32"/>
        <v>2000</v>
      </c>
      <c r="AI9" s="52"/>
      <c r="AJ9" s="52"/>
      <c r="AK9" s="52"/>
      <c r="AL9" s="49">
        <f t="shared" si="33"/>
        <v>2000</v>
      </c>
      <c r="AM9" s="52"/>
      <c r="AN9" s="52"/>
      <c r="AO9" s="52"/>
      <c r="AP9" s="53">
        <v>2000</v>
      </c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>
        <f t="shared" si="3"/>
        <v>20000</v>
      </c>
      <c r="BC9" s="52">
        <f t="shared" si="4"/>
        <v>0</v>
      </c>
      <c r="BE9">
        <f ca="1">'Monthly Collection-2025'!CC9</f>
        <v>0</v>
      </c>
      <c r="BF9" t="str">
        <f t="shared" ca="1" si="5"/>
        <v/>
      </c>
      <c r="BG9">
        <f t="shared" ca="1" si="6"/>
        <v>4000</v>
      </c>
      <c r="BH9" t="str">
        <f t="shared" ca="1" si="7"/>
        <v>G</v>
      </c>
      <c r="BI9">
        <f t="shared" ca="1" si="8"/>
        <v>2000</v>
      </c>
      <c r="BJ9" t="str">
        <f t="shared" ca="1" si="9"/>
        <v>G</v>
      </c>
      <c r="BK9">
        <f t="shared" ca="1" si="10"/>
        <v>0</v>
      </c>
      <c r="BL9" t="str">
        <f t="shared" ca="1" si="11"/>
        <v/>
      </c>
      <c r="BM9">
        <f t="shared" ca="1" si="12"/>
        <v>6000</v>
      </c>
      <c r="BN9" t="str">
        <f t="shared" ca="1" si="13"/>
        <v>G</v>
      </c>
      <c r="BO9">
        <f t="shared" ca="1" si="14"/>
        <v>4000</v>
      </c>
      <c r="BP9" t="str">
        <f t="shared" ca="1" si="15"/>
        <v>G</v>
      </c>
      <c r="BQ9">
        <f t="shared" ca="1" si="16"/>
        <v>2000</v>
      </c>
      <c r="BR9" t="str">
        <f t="shared" ca="1" si="17"/>
        <v>G</v>
      </c>
      <c r="BS9">
        <f t="shared" ca="1" si="18"/>
        <v>0</v>
      </c>
      <c r="BT9" t="str">
        <f t="shared" ca="1" si="19"/>
        <v/>
      </c>
      <c r="BU9">
        <f t="shared" ca="1" si="20"/>
        <v>0</v>
      </c>
      <c r="BV9" t="str">
        <f t="shared" ca="1" si="21"/>
        <v/>
      </c>
      <c r="BW9">
        <f t="shared" ca="1" si="22"/>
        <v>0</v>
      </c>
      <c r="BX9" t="str">
        <f t="shared" ca="1" si="23"/>
        <v/>
      </c>
      <c r="BY9">
        <f t="shared" ca="1" si="24"/>
        <v>0</v>
      </c>
      <c r="BZ9" t="str">
        <f t="shared" ca="1" si="25"/>
        <v/>
      </c>
      <c r="CA9">
        <f t="shared" ca="1" si="26"/>
        <v>0</v>
      </c>
      <c r="CB9" t="str">
        <f t="shared" ca="1" si="27"/>
        <v/>
      </c>
      <c r="CC9">
        <f t="shared" ca="1" si="28"/>
        <v>0</v>
      </c>
    </row>
    <row r="10" spans="1:8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>
        <f t="shared" si="1"/>
        <v>2000</v>
      </c>
      <c r="G10" s="56"/>
      <c r="H10" s="56"/>
      <c r="I10" s="56"/>
      <c r="J10" s="56">
        <f>$E10*1000</f>
        <v>2000</v>
      </c>
      <c r="K10" s="56"/>
      <c r="L10" s="56"/>
      <c r="M10" s="56"/>
      <c r="N10" s="56">
        <f t="shared" ref="N10:N24" si="34">$E10*1000</f>
        <v>2000</v>
      </c>
      <c r="O10" s="56"/>
      <c r="P10" s="56"/>
      <c r="Q10" s="56"/>
      <c r="R10" s="56">
        <f t="shared" si="2"/>
        <v>2000</v>
      </c>
      <c r="S10" s="56"/>
      <c r="T10" s="56"/>
      <c r="U10" s="56"/>
      <c r="V10" s="57">
        <f t="shared" si="29"/>
        <v>2000</v>
      </c>
      <c r="W10" s="56"/>
      <c r="X10" s="56"/>
      <c r="Y10" s="56"/>
      <c r="Z10" s="57">
        <f t="shared" si="30"/>
        <v>2000</v>
      </c>
      <c r="AA10" s="56"/>
      <c r="AB10" s="56"/>
      <c r="AC10" s="56"/>
      <c r="AD10" s="57">
        <f t="shared" si="31"/>
        <v>2000</v>
      </c>
      <c r="AE10" s="56"/>
      <c r="AF10" s="56"/>
      <c r="AG10" s="56"/>
      <c r="AH10" s="57">
        <f t="shared" si="32"/>
        <v>2000</v>
      </c>
      <c r="AI10" s="56"/>
      <c r="AJ10" s="56"/>
      <c r="AK10" s="56"/>
      <c r="AL10" s="49">
        <f t="shared" si="33"/>
        <v>2000</v>
      </c>
      <c r="AM10" s="56"/>
      <c r="AN10" s="56"/>
      <c r="AO10" s="56"/>
      <c r="AP10" s="57">
        <v>2000</v>
      </c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>
        <f t="shared" si="3"/>
        <v>20000</v>
      </c>
      <c r="BC10" s="56">
        <f t="shared" si="4"/>
        <v>0</v>
      </c>
      <c r="BE10">
        <f ca="1">'Monthly Collection-2025'!CC10</f>
        <v>0</v>
      </c>
      <c r="BF10" t="str">
        <f t="shared" ca="1" si="5"/>
        <v/>
      </c>
      <c r="BG10">
        <f t="shared" ca="1" si="6"/>
        <v>0</v>
      </c>
      <c r="BH10" t="str">
        <f t="shared" ca="1" si="7"/>
        <v/>
      </c>
      <c r="BI10">
        <f t="shared" ca="1" si="8"/>
        <v>0</v>
      </c>
      <c r="BJ10" t="str">
        <f t="shared" ca="1" si="9"/>
        <v/>
      </c>
      <c r="BK10">
        <f t="shared" ca="1" si="10"/>
        <v>0</v>
      </c>
      <c r="BL10" t="str">
        <f t="shared" ca="1" si="11"/>
        <v/>
      </c>
      <c r="BM10">
        <f t="shared" ca="1" si="12"/>
        <v>0</v>
      </c>
      <c r="BN10" t="str">
        <f t="shared" ca="1" si="13"/>
        <v/>
      </c>
      <c r="BO10">
        <f t="shared" ca="1" si="14"/>
        <v>0</v>
      </c>
      <c r="BP10" t="str">
        <f t="shared" ca="1" si="15"/>
        <v/>
      </c>
      <c r="BQ10">
        <f t="shared" ca="1" si="16"/>
        <v>0</v>
      </c>
      <c r="BR10" t="str">
        <f t="shared" ca="1" si="17"/>
        <v/>
      </c>
      <c r="BS10">
        <f t="shared" ca="1" si="18"/>
        <v>0</v>
      </c>
      <c r="BT10" t="str">
        <f t="shared" ca="1" si="19"/>
        <v/>
      </c>
      <c r="BU10">
        <f t="shared" ca="1" si="20"/>
        <v>0</v>
      </c>
      <c r="BV10" t="str">
        <f t="shared" ca="1" si="21"/>
        <v/>
      </c>
      <c r="BW10">
        <f t="shared" ca="1" si="22"/>
        <v>0</v>
      </c>
      <c r="BX10" t="str">
        <f t="shared" ca="1" si="23"/>
        <v/>
      </c>
      <c r="BY10">
        <f t="shared" ca="1" si="24"/>
        <v>0</v>
      </c>
      <c r="BZ10" t="str">
        <f t="shared" ca="1" si="25"/>
        <v/>
      </c>
      <c r="CA10">
        <f t="shared" ca="1" si="26"/>
        <v>0</v>
      </c>
      <c r="CB10" t="str">
        <f t="shared" ca="1" si="27"/>
        <v/>
      </c>
      <c r="CC10">
        <f t="shared" ca="1" si="28"/>
        <v>0</v>
      </c>
    </row>
    <row r="11" spans="1:8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>
        <f t="shared" si="1"/>
        <v>2000</v>
      </c>
      <c r="G11" s="52"/>
      <c r="H11" s="52"/>
      <c r="I11" s="52"/>
      <c r="J11" s="52">
        <f>$E11*1000</f>
        <v>2000</v>
      </c>
      <c r="K11" s="52"/>
      <c r="L11" s="52"/>
      <c r="M11" s="52"/>
      <c r="N11" s="52">
        <f t="shared" si="34"/>
        <v>2000</v>
      </c>
      <c r="O11" s="52"/>
      <c r="P11" s="52"/>
      <c r="Q11" s="52"/>
      <c r="R11" s="52">
        <f t="shared" si="2"/>
        <v>2000</v>
      </c>
      <c r="S11" s="52"/>
      <c r="T11" s="52"/>
      <c r="U11" s="52"/>
      <c r="V11" s="53">
        <f t="shared" si="29"/>
        <v>2000</v>
      </c>
      <c r="W11" s="52"/>
      <c r="X11" s="52"/>
      <c r="Y11" s="52"/>
      <c r="Z11" s="53">
        <f t="shared" si="30"/>
        <v>2000</v>
      </c>
      <c r="AA11" s="52"/>
      <c r="AB11" s="52"/>
      <c r="AC11" s="52"/>
      <c r="AD11" s="53">
        <f t="shared" si="31"/>
        <v>2000</v>
      </c>
      <c r="AE11" s="52"/>
      <c r="AF11" s="52"/>
      <c r="AG11" s="52"/>
      <c r="AH11" s="53">
        <f t="shared" si="32"/>
        <v>2000</v>
      </c>
      <c r="AI11" s="52"/>
      <c r="AJ11" s="52"/>
      <c r="AK11" s="52"/>
      <c r="AL11" s="49">
        <f t="shared" si="33"/>
        <v>2000</v>
      </c>
      <c r="AM11" s="52"/>
      <c r="AN11" s="52"/>
      <c r="AO11" s="52"/>
      <c r="AP11" s="53">
        <v>2000</v>
      </c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>
        <f t="shared" si="3"/>
        <v>20000</v>
      </c>
      <c r="BC11" s="52">
        <f t="shared" si="4"/>
        <v>0</v>
      </c>
      <c r="BE11">
        <f ca="1">'Monthly Collection-2025'!CC11</f>
        <v>0</v>
      </c>
      <c r="BF11" t="str">
        <f t="shared" ca="1" si="5"/>
        <v/>
      </c>
      <c r="BG11">
        <f t="shared" ca="1" si="6"/>
        <v>0</v>
      </c>
      <c r="BH11" t="str">
        <f t="shared" ca="1" si="7"/>
        <v/>
      </c>
      <c r="BI11">
        <f t="shared" ca="1" si="8"/>
        <v>0</v>
      </c>
      <c r="BJ11" t="str">
        <f t="shared" ca="1" si="9"/>
        <v/>
      </c>
      <c r="BK11">
        <f t="shared" ca="1" si="10"/>
        <v>0</v>
      </c>
      <c r="BL11" t="str">
        <f t="shared" ca="1" si="11"/>
        <v/>
      </c>
      <c r="BM11">
        <f t="shared" ca="1" si="12"/>
        <v>0</v>
      </c>
      <c r="BN11" t="str">
        <f t="shared" ca="1" si="13"/>
        <v/>
      </c>
      <c r="BO11">
        <f t="shared" ca="1" si="14"/>
        <v>0</v>
      </c>
      <c r="BP11" t="str">
        <f t="shared" ca="1" si="15"/>
        <v/>
      </c>
      <c r="BQ11">
        <f t="shared" ca="1" si="16"/>
        <v>0</v>
      </c>
      <c r="BR11" t="str">
        <f t="shared" ca="1" si="17"/>
        <v/>
      </c>
      <c r="BS11">
        <f t="shared" ca="1" si="18"/>
        <v>0</v>
      </c>
      <c r="BT11" t="str">
        <f t="shared" ca="1" si="19"/>
        <v/>
      </c>
      <c r="BU11">
        <f t="shared" ca="1" si="20"/>
        <v>0</v>
      </c>
      <c r="BV11" t="str">
        <f t="shared" ca="1" si="21"/>
        <v/>
      </c>
      <c r="BW11">
        <f t="shared" ca="1" si="22"/>
        <v>0</v>
      </c>
      <c r="BX11" t="str">
        <f t="shared" ca="1" si="23"/>
        <v/>
      </c>
      <c r="BY11">
        <f t="shared" ca="1" si="24"/>
        <v>0</v>
      </c>
      <c r="BZ11" t="str">
        <f t="shared" ca="1" si="25"/>
        <v/>
      </c>
      <c r="CA11">
        <f t="shared" ca="1" si="26"/>
        <v>0</v>
      </c>
      <c r="CB11" t="str">
        <f t="shared" ca="1" si="27"/>
        <v/>
      </c>
      <c r="CC11">
        <f t="shared" ca="1" si="28"/>
        <v>0</v>
      </c>
    </row>
    <row r="12" spans="1:8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>
        <f t="shared" si="1"/>
        <v>2000</v>
      </c>
      <c r="G12" s="56"/>
      <c r="H12" s="56"/>
      <c r="I12" s="56"/>
      <c r="J12" s="56">
        <f>$E12*1000</f>
        <v>2000</v>
      </c>
      <c r="K12" s="56"/>
      <c r="L12" s="56"/>
      <c r="M12" s="56"/>
      <c r="N12" s="56">
        <f t="shared" si="34"/>
        <v>2000</v>
      </c>
      <c r="O12" s="56"/>
      <c r="P12" s="56"/>
      <c r="Q12" s="56"/>
      <c r="R12" s="56">
        <f t="shared" si="2"/>
        <v>2000</v>
      </c>
      <c r="S12" s="56"/>
      <c r="T12" s="56"/>
      <c r="U12" s="56"/>
      <c r="V12" s="57">
        <f t="shared" si="29"/>
        <v>2000</v>
      </c>
      <c r="W12" s="56"/>
      <c r="X12" s="56"/>
      <c r="Y12" s="56"/>
      <c r="Z12" s="57">
        <f t="shared" si="30"/>
        <v>2000</v>
      </c>
      <c r="AA12" s="56"/>
      <c r="AB12" s="56"/>
      <c r="AC12" s="56"/>
      <c r="AD12" s="57">
        <f t="shared" si="31"/>
        <v>2000</v>
      </c>
      <c r="AE12" s="56"/>
      <c r="AF12" s="56"/>
      <c r="AG12" s="56"/>
      <c r="AH12" s="57">
        <f t="shared" si="32"/>
        <v>2000</v>
      </c>
      <c r="AI12" s="56"/>
      <c r="AJ12" s="56"/>
      <c r="AK12" s="56"/>
      <c r="AL12" s="49">
        <f t="shared" si="33"/>
        <v>2000</v>
      </c>
      <c r="AM12" s="56"/>
      <c r="AN12" s="56"/>
      <c r="AO12" s="56"/>
      <c r="AP12" s="57">
        <v>2000</v>
      </c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>
        <f t="shared" si="3"/>
        <v>20000</v>
      </c>
      <c r="BC12" s="56">
        <f t="shared" si="4"/>
        <v>0</v>
      </c>
      <c r="BE12">
        <f ca="1">'Monthly Collection-2025'!CC12</f>
        <v>0</v>
      </c>
      <c r="BF12" t="str">
        <f t="shared" ca="1" si="5"/>
        <v/>
      </c>
      <c r="BG12">
        <f t="shared" ca="1" si="6"/>
        <v>0</v>
      </c>
      <c r="BH12" t="str">
        <f t="shared" ca="1" si="7"/>
        <v/>
      </c>
      <c r="BI12">
        <f t="shared" ca="1" si="8"/>
        <v>0</v>
      </c>
      <c r="BJ12" t="str">
        <f t="shared" ca="1" si="9"/>
        <v/>
      </c>
      <c r="BK12">
        <f t="shared" ca="1" si="10"/>
        <v>0</v>
      </c>
      <c r="BL12" t="str">
        <f t="shared" ca="1" si="11"/>
        <v/>
      </c>
      <c r="BM12">
        <f t="shared" ca="1" si="12"/>
        <v>0</v>
      </c>
      <c r="BN12" t="str">
        <f t="shared" ca="1" si="13"/>
        <v/>
      </c>
      <c r="BO12">
        <f t="shared" ca="1" si="14"/>
        <v>0</v>
      </c>
      <c r="BP12" t="str">
        <f t="shared" ca="1" si="15"/>
        <v/>
      </c>
      <c r="BQ12">
        <f t="shared" ca="1" si="16"/>
        <v>0</v>
      </c>
      <c r="BR12" t="str">
        <f t="shared" ca="1" si="17"/>
        <v/>
      </c>
      <c r="BS12">
        <f t="shared" ca="1" si="18"/>
        <v>0</v>
      </c>
      <c r="BT12" t="str">
        <f t="shared" ca="1" si="19"/>
        <v/>
      </c>
      <c r="BU12">
        <f t="shared" ca="1" si="20"/>
        <v>0</v>
      </c>
      <c r="BV12" t="str">
        <f t="shared" ca="1" si="21"/>
        <v/>
      </c>
      <c r="BW12">
        <f t="shared" ca="1" si="22"/>
        <v>0</v>
      </c>
      <c r="BX12" t="str">
        <f t="shared" ca="1" si="23"/>
        <v/>
      </c>
      <c r="BY12">
        <f t="shared" ca="1" si="24"/>
        <v>0</v>
      </c>
      <c r="BZ12" t="str">
        <f t="shared" ca="1" si="25"/>
        <v/>
      </c>
      <c r="CA12">
        <f t="shared" ca="1" si="26"/>
        <v>0</v>
      </c>
      <c r="CB12" t="str">
        <f t="shared" ca="1" si="27"/>
        <v/>
      </c>
      <c r="CC12">
        <f t="shared" ca="1" si="28"/>
        <v>0</v>
      </c>
    </row>
    <row r="13" spans="1:8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>
        <f t="shared" si="1"/>
        <v>1000</v>
      </c>
      <c r="G13" s="52"/>
      <c r="H13" s="52"/>
      <c r="I13" s="52"/>
      <c r="J13" s="243"/>
      <c r="K13" s="52"/>
      <c r="L13" s="52"/>
      <c r="M13" s="52"/>
      <c r="N13" s="52">
        <f t="shared" si="34"/>
        <v>1000</v>
      </c>
      <c r="O13" s="52"/>
      <c r="P13" s="52">
        <v>1000</v>
      </c>
      <c r="Q13" s="52">
        <v>50</v>
      </c>
      <c r="R13" s="52">
        <f t="shared" si="2"/>
        <v>1000</v>
      </c>
      <c r="S13" s="52"/>
      <c r="T13" s="52"/>
      <c r="U13" s="52"/>
      <c r="V13" s="53">
        <f t="shared" si="29"/>
        <v>1000</v>
      </c>
      <c r="W13" s="52"/>
      <c r="X13" s="52"/>
      <c r="Y13" s="52"/>
      <c r="Z13" s="53">
        <f t="shared" si="30"/>
        <v>1000</v>
      </c>
      <c r="AA13" s="52"/>
      <c r="AB13" s="52"/>
      <c r="AC13" s="52"/>
      <c r="AD13" s="53">
        <f t="shared" si="31"/>
        <v>1000</v>
      </c>
      <c r="AE13" s="52"/>
      <c r="AF13" s="52"/>
      <c r="AG13" s="52"/>
      <c r="AH13" s="53">
        <f t="shared" si="32"/>
        <v>1000</v>
      </c>
      <c r="AI13" s="52"/>
      <c r="AJ13" s="52"/>
      <c r="AK13" s="52"/>
      <c r="AL13" s="49">
        <f t="shared" si="33"/>
        <v>1000</v>
      </c>
      <c r="AM13" s="52"/>
      <c r="AN13" s="52"/>
      <c r="AO13" s="52"/>
      <c r="AP13" s="248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>
        <f t="shared" si="3"/>
        <v>9000</v>
      </c>
      <c r="BC13" s="52">
        <f t="shared" si="4"/>
        <v>50</v>
      </c>
      <c r="BE13">
        <f ca="1">'Monthly Collection-2025'!CC13</f>
        <v>0</v>
      </c>
      <c r="BF13" t="str">
        <f t="shared" ca="1" si="5"/>
        <v/>
      </c>
      <c r="BG13">
        <f t="shared" ca="1" si="6"/>
        <v>0</v>
      </c>
      <c r="BH13" t="str">
        <f t="shared" ca="1" si="7"/>
        <v>R</v>
      </c>
      <c r="BI13">
        <f t="shared" ca="1" si="8"/>
        <v>0</v>
      </c>
      <c r="BJ13" t="str">
        <f t="shared" ca="1" si="9"/>
        <v/>
      </c>
      <c r="BK13">
        <f t="shared" ca="1" si="10"/>
        <v>0</v>
      </c>
      <c r="BL13" t="str">
        <f t="shared" ca="1" si="11"/>
        <v/>
      </c>
      <c r="BM13">
        <f t="shared" ca="1" si="12"/>
        <v>0</v>
      </c>
      <c r="BN13" t="str">
        <f t="shared" ca="1" si="13"/>
        <v/>
      </c>
      <c r="BO13">
        <f t="shared" ca="1" si="14"/>
        <v>0</v>
      </c>
      <c r="BP13" t="str">
        <f t="shared" ca="1" si="15"/>
        <v/>
      </c>
      <c r="BQ13">
        <f t="shared" ca="1" si="16"/>
        <v>0</v>
      </c>
      <c r="BR13" t="str">
        <f t="shared" ca="1" si="17"/>
        <v/>
      </c>
      <c r="BS13">
        <f t="shared" ca="1" si="18"/>
        <v>0</v>
      </c>
      <c r="BT13" t="str">
        <f t="shared" ca="1" si="19"/>
        <v/>
      </c>
      <c r="BU13">
        <f t="shared" ca="1" si="20"/>
        <v>0</v>
      </c>
      <c r="BV13" t="str">
        <f t="shared" ca="1" si="21"/>
        <v/>
      </c>
      <c r="BW13">
        <f t="shared" ca="1" si="22"/>
        <v>0</v>
      </c>
      <c r="BX13" t="str">
        <f t="shared" ca="1" si="23"/>
        <v>R</v>
      </c>
      <c r="BY13">
        <f t="shared" ca="1" si="24"/>
        <v>0</v>
      </c>
      <c r="BZ13" t="str">
        <f t="shared" ca="1" si="25"/>
        <v/>
      </c>
      <c r="CA13">
        <f t="shared" ca="1" si="26"/>
        <v>0</v>
      </c>
      <c r="CB13" t="str">
        <f t="shared" ca="1" si="27"/>
        <v/>
      </c>
      <c r="CC13">
        <f t="shared" ca="1" si="28"/>
        <v>0</v>
      </c>
    </row>
    <row r="14" spans="1:8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>
        <f t="shared" si="1"/>
        <v>3000</v>
      </c>
      <c r="G14" s="56"/>
      <c r="H14" s="56"/>
      <c r="I14" s="56"/>
      <c r="J14" s="56">
        <f t="shared" ref="J14:J25" si="35">$E14*1000</f>
        <v>3000</v>
      </c>
      <c r="K14" s="56"/>
      <c r="L14" s="56"/>
      <c r="M14" s="56"/>
      <c r="N14" s="56">
        <f t="shared" si="34"/>
        <v>3000</v>
      </c>
      <c r="O14" s="56"/>
      <c r="P14" s="56"/>
      <c r="Q14" s="56"/>
      <c r="R14" s="56">
        <f t="shared" si="2"/>
        <v>3000</v>
      </c>
      <c r="S14" s="56"/>
      <c r="T14" s="56"/>
      <c r="U14" s="56"/>
      <c r="V14" s="57">
        <f t="shared" si="29"/>
        <v>3000</v>
      </c>
      <c r="W14" s="56"/>
      <c r="X14" s="56"/>
      <c r="Y14" s="56"/>
      <c r="Z14" s="57">
        <f t="shared" si="30"/>
        <v>3000</v>
      </c>
      <c r="AA14" s="56"/>
      <c r="AB14" s="56"/>
      <c r="AC14" s="56"/>
      <c r="AD14" s="57">
        <f t="shared" si="31"/>
        <v>3000</v>
      </c>
      <c r="AE14" s="56"/>
      <c r="AF14" s="56"/>
      <c r="AG14" s="56"/>
      <c r="AH14" s="57">
        <f t="shared" si="32"/>
        <v>3000</v>
      </c>
      <c r="AI14" s="56"/>
      <c r="AJ14" s="56"/>
      <c r="AK14" s="56"/>
      <c r="AL14" s="49">
        <f t="shared" si="33"/>
        <v>3000</v>
      </c>
      <c r="AM14" s="56"/>
      <c r="AN14" s="56"/>
      <c r="AO14" s="56"/>
      <c r="AP14" s="57">
        <v>3000</v>
      </c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>
        <f t="shared" si="3"/>
        <v>30000</v>
      </c>
      <c r="BC14" s="56">
        <f t="shared" si="4"/>
        <v>0</v>
      </c>
      <c r="BE14">
        <f ca="1">'Monthly Collection-2025'!CC14</f>
        <v>0</v>
      </c>
      <c r="BF14" t="str">
        <f t="shared" ca="1" si="5"/>
        <v/>
      </c>
      <c r="BG14">
        <f t="shared" ca="1" si="6"/>
        <v>0</v>
      </c>
      <c r="BH14" t="str">
        <f t="shared" ca="1" si="7"/>
        <v/>
      </c>
      <c r="BI14">
        <f t="shared" ca="1" si="8"/>
        <v>0</v>
      </c>
      <c r="BJ14" t="str">
        <f t="shared" ca="1" si="9"/>
        <v/>
      </c>
      <c r="BK14">
        <f t="shared" ca="1" si="10"/>
        <v>0</v>
      </c>
      <c r="BL14" t="str">
        <f t="shared" ca="1" si="11"/>
        <v/>
      </c>
      <c r="BM14">
        <f t="shared" ca="1" si="12"/>
        <v>0</v>
      </c>
      <c r="BN14" t="str">
        <f t="shared" ca="1" si="13"/>
        <v/>
      </c>
      <c r="BO14">
        <f t="shared" ca="1" si="14"/>
        <v>0</v>
      </c>
      <c r="BP14" t="str">
        <f t="shared" ca="1" si="15"/>
        <v/>
      </c>
      <c r="BQ14">
        <f t="shared" ca="1" si="16"/>
        <v>0</v>
      </c>
      <c r="BR14" t="str">
        <f t="shared" ca="1" si="17"/>
        <v/>
      </c>
      <c r="BS14">
        <f t="shared" ca="1" si="18"/>
        <v>0</v>
      </c>
      <c r="BT14" t="str">
        <f t="shared" ca="1" si="19"/>
        <v/>
      </c>
      <c r="BU14">
        <f t="shared" ca="1" si="20"/>
        <v>0</v>
      </c>
      <c r="BV14" t="str">
        <f t="shared" ca="1" si="21"/>
        <v/>
      </c>
      <c r="BW14">
        <f t="shared" ca="1" si="22"/>
        <v>0</v>
      </c>
      <c r="BX14" t="str">
        <f t="shared" ca="1" si="23"/>
        <v/>
      </c>
      <c r="BY14">
        <f t="shared" ca="1" si="24"/>
        <v>0</v>
      </c>
      <c r="BZ14" t="str">
        <f t="shared" ca="1" si="25"/>
        <v/>
      </c>
      <c r="CA14">
        <f t="shared" ca="1" si="26"/>
        <v>0</v>
      </c>
      <c r="CB14" t="str">
        <f t="shared" ca="1" si="27"/>
        <v/>
      </c>
      <c r="CC14">
        <f t="shared" ca="1" si="28"/>
        <v>0</v>
      </c>
    </row>
    <row r="15" spans="1:8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>
        <f t="shared" si="1"/>
        <v>1000</v>
      </c>
      <c r="G15" s="52"/>
      <c r="H15" s="52"/>
      <c r="I15" s="52"/>
      <c r="J15" s="52">
        <f t="shared" si="35"/>
        <v>1000</v>
      </c>
      <c r="K15" s="52"/>
      <c r="L15" s="52"/>
      <c r="M15" s="52"/>
      <c r="N15" s="52">
        <f t="shared" si="34"/>
        <v>1000</v>
      </c>
      <c r="O15" s="52">
        <v>1000</v>
      </c>
      <c r="P15" s="52"/>
      <c r="Q15" s="52"/>
      <c r="R15" s="242"/>
      <c r="S15" s="52"/>
      <c r="T15" s="52"/>
      <c r="U15" s="52"/>
      <c r="V15" s="53">
        <f t="shared" si="29"/>
        <v>1000</v>
      </c>
      <c r="W15" s="52"/>
      <c r="X15" s="52"/>
      <c r="Y15" s="52"/>
      <c r="Z15" s="53">
        <f t="shared" si="30"/>
        <v>1000</v>
      </c>
      <c r="AA15" s="52"/>
      <c r="AB15" s="52"/>
      <c r="AC15" s="52"/>
      <c r="AD15" s="53">
        <f t="shared" si="31"/>
        <v>1000</v>
      </c>
      <c r="AE15" s="52"/>
      <c r="AF15" s="52"/>
      <c r="AG15" s="52"/>
      <c r="AH15" s="53">
        <f t="shared" si="32"/>
        <v>1000</v>
      </c>
      <c r="AI15" s="52"/>
      <c r="AJ15" s="52"/>
      <c r="AK15" s="52"/>
      <c r="AL15" s="49">
        <f t="shared" si="33"/>
        <v>1000</v>
      </c>
      <c r="AM15" s="52"/>
      <c r="AN15" s="52"/>
      <c r="AO15" s="52"/>
      <c r="AP15" s="53">
        <v>1000</v>
      </c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>
        <f t="shared" si="3"/>
        <v>10000</v>
      </c>
      <c r="BC15" s="52">
        <f t="shared" si="4"/>
        <v>0</v>
      </c>
      <c r="BE15">
        <f ca="1">'Monthly Collection-2025'!CC15</f>
        <v>0</v>
      </c>
      <c r="BF15" t="str">
        <f t="shared" ca="1" si="5"/>
        <v/>
      </c>
      <c r="BG15">
        <f t="shared" ca="1" si="6"/>
        <v>0</v>
      </c>
      <c r="BH15" t="str">
        <f t="shared" ca="1" si="7"/>
        <v/>
      </c>
      <c r="BI15">
        <f t="shared" ca="1" si="8"/>
        <v>0</v>
      </c>
      <c r="BJ15" t="str">
        <f t="shared" ca="1" si="9"/>
        <v/>
      </c>
      <c r="BK15">
        <f t="shared" ca="1" si="10"/>
        <v>1000</v>
      </c>
      <c r="BL15" t="str">
        <f t="shared" ca="1" si="11"/>
        <v>G</v>
      </c>
      <c r="BM15">
        <f t="shared" ca="1" si="12"/>
        <v>0</v>
      </c>
      <c r="BN15" t="str">
        <f t="shared" ca="1" si="13"/>
        <v/>
      </c>
      <c r="BO15">
        <f t="shared" ca="1" si="14"/>
        <v>0</v>
      </c>
      <c r="BP15" t="str">
        <f t="shared" ca="1" si="15"/>
        <v/>
      </c>
      <c r="BQ15">
        <f t="shared" ca="1" si="16"/>
        <v>0</v>
      </c>
      <c r="BR15" t="str">
        <f t="shared" ca="1" si="17"/>
        <v/>
      </c>
      <c r="BS15">
        <f t="shared" ca="1" si="18"/>
        <v>0</v>
      </c>
      <c r="BT15" t="str">
        <f t="shared" ca="1" si="19"/>
        <v/>
      </c>
      <c r="BU15">
        <f t="shared" ca="1" si="20"/>
        <v>0</v>
      </c>
      <c r="BV15" t="str">
        <f t="shared" ca="1" si="21"/>
        <v/>
      </c>
      <c r="BW15">
        <f t="shared" ca="1" si="22"/>
        <v>0</v>
      </c>
      <c r="BX15" t="str">
        <f t="shared" ca="1" si="23"/>
        <v/>
      </c>
      <c r="BY15">
        <f t="shared" ca="1" si="24"/>
        <v>0</v>
      </c>
      <c r="BZ15" t="str">
        <f t="shared" ca="1" si="25"/>
        <v/>
      </c>
      <c r="CA15">
        <f t="shared" ca="1" si="26"/>
        <v>0</v>
      </c>
      <c r="CB15" t="str">
        <f t="shared" ca="1" si="27"/>
        <v/>
      </c>
      <c r="CC15">
        <f t="shared" ca="1" si="28"/>
        <v>0</v>
      </c>
    </row>
    <row r="16" spans="1:8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>
        <f t="shared" si="1"/>
        <v>2000</v>
      </c>
      <c r="G16" s="56"/>
      <c r="H16" s="56"/>
      <c r="I16" s="56"/>
      <c r="J16" s="56">
        <f t="shared" si="35"/>
        <v>2000</v>
      </c>
      <c r="K16" s="56"/>
      <c r="L16" s="56"/>
      <c r="M16" s="56"/>
      <c r="N16" s="56">
        <f t="shared" si="34"/>
        <v>2000</v>
      </c>
      <c r="O16" s="56"/>
      <c r="P16" s="56"/>
      <c r="Q16" s="56"/>
      <c r="R16" s="56">
        <f t="shared" ref="R16:R26" si="36">E16*1000</f>
        <v>2000</v>
      </c>
      <c r="S16" s="56"/>
      <c r="T16" s="56"/>
      <c r="U16" s="56"/>
      <c r="V16" s="57">
        <f t="shared" si="29"/>
        <v>2000</v>
      </c>
      <c r="W16" s="56"/>
      <c r="X16" s="56"/>
      <c r="Y16" s="56"/>
      <c r="Z16" s="57">
        <f t="shared" si="30"/>
        <v>2000</v>
      </c>
      <c r="AA16" s="56"/>
      <c r="AB16" s="56"/>
      <c r="AC16" s="56"/>
      <c r="AD16" s="57">
        <f t="shared" si="31"/>
        <v>2000</v>
      </c>
      <c r="AE16" s="56"/>
      <c r="AF16" s="56"/>
      <c r="AG16" s="56"/>
      <c r="AH16" s="57">
        <f t="shared" si="32"/>
        <v>2000</v>
      </c>
      <c r="AI16" s="56"/>
      <c r="AJ16" s="56"/>
      <c r="AK16" s="56"/>
      <c r="AL16" s="49">
        <f t="shared" si="33"/>
        <v>2000</v>
      </c>
      <c r="AM16" s="56"/>
      <c r="AN16" s="56"/>
      <c r="AO16" s="56"/>
      <c r="AP16" s="57">
        <v>2000</v>
      </c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>
        <f t="shared" si="3"/>
        <v>20000</v>
      </c>
      <c r="BC16" s="56">
        <f t="shared" si="4"/>
        <v>0</v>
      </c>
      <c r="BE16">
        <f ca="1">'Monthly Collection-2025'!CC16</f>
        <v>0</v>
      </c>
      <c r="BF16" t="str">
        <f t="shared" ca="1" si="5"/>
        <v/>
      </c>
      <c r="BG16">
        <f t="shared" ca="1" si="6"/>
        <v>0</v>
      </c>
      <c r="BH16" t="str">
        <f t="shared" ca="1" si="7"/>
        <v/>
      </c>
      <c r="BI16">
        <f t="shared" ca="1" si="8"/>
        <v>0</v>
      </c>
      <c r="BJ16" t="str">
        <f t="shared" ca="1" si="9"/>
        <v/>
      </c>
      <c r="BK16">
        <f t="shared" ca="1" si="10"/>
        <v>0</v>
      </c>
      <c r="BL16" t="str">
        <f t="shared" ca="1" si="11"/>
        <v/>
      </c>
      <c r="BM16">
        <f t="shared" ca="1" si="12"/>
        <v>0</v>
      </c>
      <c r="BN16" t="str">
        <f t="shared" ca="1" si="13"/>
        <v/>
      </c>
      <c r="BO16">
        <f t="shared" ca="1" si="14"/>
        <v>0</v>
      </c>
      <c r="BP16" t="str">
        <f t="shared" ca="1" si="15"/>
        <v/>
      </c>
      <c r="BQ16">
        <f t="shared" ca="1" si="16"/>
        <v>0</v>
      </c>
      <c r="BR16" t="str">
        <f t="shared" ca="1" si="17"/>
        <v/>
      </c>
      <c r="BS16">
        <f t="shared" ca="1" si="18"/>
        <v>0</v>
      </c>
      <c r="BT16" t="str">
        <f t="shared" ca="1" si="19"/>
        <v/>
      </c>
      <c r="BU16">
        <f t="shared" ca="1" si="20"/>
        <v>0</v>
      </c>
      <c r="BV16" t="str">
        <f t="shared" ca="1" si="21"/>
        <v/>
      </c>
      <c r="BW16">
        <f t="shared" ca="1" si="22"/>
        <v>0</v>
      </c>
      <c r="BX16" t="str">
        <f t="shared" ca="1" si="23"/>
        <v/>
      </c>
      <c r="BY16">
        <f t="shared" ca="1" si="24"/>
        <v>0</v>
      </c>
      <c r="BZ16" t="str">
        <f t="shared" ca="1" si="25"/>
        <v/>
      </c>
      <c r="CA16">
        <f t="shared" ca="1" si="26"/>
        <v>0</v>
      </c>
      <c r="CB16" t="str">
        <f t="shared" ca="1" si="27"/>
        <v/>
      </c>
      <c r="CC16">
        <f t="shared" ca="1" si="28"/>
        <v>0</v>
      </c>
    </row>
    <row r="17" spans="2:8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>
        <f t="shared" si="1"/>
        <v>3000</v>
      </c>
      <c r="G17" s="52"/>
      <c r="H17" s="52"/>
      <c r="I17" s="52"/>
      <c r="J17" s="52">
        <f t="shared" si="35"/>
        <v>3000</v>
      </c>
      <c r="K17" s="52"/>
      <c r="L17" s="52"/>
      <c r="M17" s="52"/>
      <c r="N17" s="52">
        <f t="shared" si="34"/>
        <v>3000</v>
      </c>
      <c r="O17" s="52"/>
      <c r="P17" s="52"/>
      <c r="Q17" s="52"/>
      <c r="R17" s="52">
        <f t="shared" si="36"/>
        <v>3000</v>
      </c>
      <c r="S17" s="52"/>
      <c r="T17" s="52"/>
      <c r="U17" s="52"/>
      <c r="V17" s="53">
        <f t="shared" si="29"/>
        <v>3000</v>
      </c>
      <c r="W17" s="52"/>
      <c r="X17" s="52"/>
      <c r="Y17" s="52"/>
      <c r="Z17" s="53">
        <f t="shared" si="30"/>
        <v>3000</v>
      </c>
      <c r="AA17" s="52"/>
      <c r="AB17" s="52"/>
      <c r="AC17" s="52"/>
      <c r="AD17" s="53">
        <f t="shared" si="31"/>
        <v>3000</v>
      </c>
      <c r="AE17" s="52"/>
      <c r="AF17" s="52"/>
      <c r="AG17" s="52"/>
      <c r="AH17" s="53">
        <f t="shared" si="32"/>
        <v>3000</v>
      </c>
      <c r="AI17" s="52"/>
      <c r="AJ17" s="52"/>
      <c r="AK17" s="52"/>
      <c r="AL17" s="49">
        <f t="shared" si="33"/>
        <v>3000</v>
      </c>
      <c r="AM17" s="52"/>
      <c r="AN17" s="52"/>
      <c r="AO17" s="52"/>
      <c r="AP17" s="53">
        <v>3000</v>
      </c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>
        <f t="shared" si="3"/>
        <v>30000</v>
      </c>
      <c r="BC17" s="52">
        <f t="shared" si="4"/>
        <v>0</v>
      </c>
      <c r="BE17">
        <f ca="1">'Monthly Collection-2025'!CC17</f>
        <v>0</v>
      </c>
      <c r="BF17" t="str">
        <f t="shared" ca="1" si="5"/>
        <v/>
      </c>
      <c r="BG17">
        <f t="shared" ca="1" si="6"/>
        <v>0</v>
      </c>
      <c r="BH17" t="str">
        <f t="shared" ca="1" si="7"/>
        <v/>
      </c>
      <c r="BI17">
        <f t="shared" ca="1" si="8"/>
        <v>0</v>
      </c>
      <c r="BJ17" t="str">
        <f t="shared" ca="1" si="9"/>
        <v/>
      </c>
      <c r="BK17">
        <f t="shared" ca="1" si="10"/>
        <v>0</v>
      </c>
      <c r="BL17" t="str">
        <f t="shared" ca="1" si="11"/>
        <v/>
      </c>
      <c r="BM17">
        <f t="shared" ca="1" si="12"/>
        <v>0</v>
      </c>
      <c r="BN17" t="str">
        <f t="shared" ca="1" si="13"/>
        <v/>
      </c>
      <c r="BO17">
        <f t="shared" ca="1" si="14"/>
        <v>0</v>
      </c>
      <c r="BP17" t="str">
        <f t="shared" ca="1" si="15"/>
        <v/>
      </c>
      <c r="BQ17">
        <f t="shared" ca="1" si="16"/>
        <v>0</v>
      </c>
      <c r="BR17" t="str">
        <f t="shared" ca="1" si="17"/>
        <v/>
      </c>
      <c r="BS17">
        <f t="shared" ca="1" si="18"/>
        <v>0</v>
      </c>
      <c r="BT17" t="str">
        <f t="shared" ca="1" si="19"/>
        <v/>
      </c>
      <c r="BU17">
        <f t="shared" ca="1" si="20"/>
        <v>0</v>
      </c>
      <c r="BV17" t="str">
        <f t="shared" ca="1" si="21"/>
        <v/>
      </c>
      <c r="BW17">
        <f t="shared" ca="1" si="22"/>
        <v>0</v>
      </c>
      <c r="BX17" t="str">
        <f t="shared" ca="1" si="23"/>
        <v/>
      </c>
      <c r="BY17">
        <f t="shared" ca="1" si="24"/>
        <v>0</v>
      </c>
      <c r="BZ17" t="str">
        <f t="shared" ca="1" si="25"/>
        <v/>
      </c>
      <c r="CA17">
        <f t="shared" ca="1" si="26"/>
        <v>0</v>
      </c>
      <c r="CB17" t="str">
        <f t="shared" ca="1" si="27"/>
        <v/>
      </c>
      <c r="CC17">
        <f t="shared" ca="1" si="28"/>
        <v>0</v>
      </c>
    </row>
    <row r="18" spans="2:8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>
        <f t="shared" si="1"/>
        <v>3000</v>
      </c>
      <c r="G18" s="56"/>
      <c r="H18" s="56"/>
      <c r="I18" s="56"/>
      <c r="J18" s="56">
        <f t="shared" si="35"/>
        <v>3000</v>
      </c>
      <c r="K18" s="56"/>
      <c r="L18" s="56"/>
      <c r="M18" s="56"/>
      <c r="N18" s="56">
        <f t="shared" si="34"/>
        <v>3000</v>
      </c>
      <c r="O18" s="56"/>
      <c r="P18" s="56"/>
      <c r="Q18" s="56"/>
      <c r="R18" s="56">
        <f t="shared" si="36"/>
        <v>3000</v>
      </c>
      <c r="S18" s="56"/>
      <c r="T18" s="56"/>
      <c r="U18" s="56"/>
      <c r="V18" s="57">
        <f t="shared" si="29"/>
        <v>3000</v>
      </c>
      <c r="W18" s="56"/>
      <c r="X18" s="56"/>
      <c r="Y18" s="56"/>
      <c r="Z18" s="57">
        <f t="shared" si="30"/>
        <v>3000</v>
      </c>
      <c r="AA18" s="56"/>
      <c r="AB18" s="56"/>
      <c r="AC18" s="56"/>
      <c r="AD18" s="57">
        <f t="shared" si="31"/>
        <v>3000</v>
      </c>
      <c r="AE18" s="56"/>
      <c r="AF18" s="56"/>
      <c r="AG18" s="56"/>
      <c r="AH18" s="57">
        <f t="shared" si="32"/>
        <v>3000</v>
      </c>
      <c r="AI18" s="56"/>
      <c r="AJ18" s="56"/>
      <c r="AK18" s="56"/>
      <c r="AL18" s="49">
        <f t="shared" si="33"/>
        <v>3000</v>
      </c>
      <c r="AM18" s="56"/>
      <c r="AN18" s="56"/>
      <c r="AO18" s="56"/>
      <c r="AP18" s="57">
        <v>3000</v>
      </c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>
        <f t="shared" si="3"/>
        <v>30000</v>
      </c>
      <c r="BC18" s="56">
        <f t="shared" si="4"/>
        <v>0</v>
      </c>
      <c r="BE18">
        <f ca="1">'Monthly Collection-2025'!CC18</f>
        <v>0</v>
      </c>
      <c r="BF18" t="str">
        <f t="shared" ca="1" si="5"/>
        <v/>
      </c>
      <c r="BG18">
        <f t="shared" ca="1" si="6"/>
        <v>0</v>
      </c>
      <c r="BH18" t="str">
        <f t="shared" ca="1" si="7"/>
        <v/>
      </c>
      <c r="BI18">
        <f t="shared" ca="1" si="8"/>
        <v>0</v>
      </c>
      <c r="BJ18" t="str">
        <f t="shared" ca="1" si="9"/>
        <v/>
      </c>
      <c r="BK18">
        <f t="shared" ca="1" si="10"/>
        <v>0</v>
      </c>
      <c r="BL18" t="str">
        <f t="shared" ca="1" si="11"/>
        <v/>
      </c>
      <c r="BM18">
        <f t="shared" ca="1" si="12"/>
        <v>0</v>
      </c>
      <c r="BN18" t="str">
        <f t="shared" ca="1" si="13"/>
        <v/>
      </c>
      <c r="BO18">
        <f t="shared" ca="1" si="14"/>
        <v>0</v>
      </c>
      <c r="BP18" t="str">
        <f t="shared" ca="1" si="15"/>
        <v/>
      </c>
      <c r="BQ18">
        <f t="shared" ca="1" si="16"/>
        <v>0</v>
      </c>
      <c r="BR18" t="str">
        <f t="shared" ca="1" si="17"/>
        <v/>
      </c>
      <c r="BS18">
        <f t="shared" ca="1" si="18"/>
        <v>0</v>
      </c>
      <c r="BT18" t="str">
        <f t="shared" ca="1" si="19"/>
        <v/>
      </c>
      <c r="BU18">
        <f t="shared" ca="1" si="20"/>
        <v>0</v>
      </c>
      <c r="BV18" t="str">
        <f t="shared" ca="1" si="21"/>
        <v/>
      </c>
      <c r="BW18">
        <f t="shared" ca="1" si="22"/>
        <v>0</v>
      </c>
      <c r="BX18" t="str">
        <f t="shared" ca="1" si="23"/>
        <v/>
      </c>
      <c r="BY18">
        <f t="shared" ca="1" si="24"/>
        <v>0</v>
      </c>
      <c r="BZ18" t="str">
        <f t="shared" ca="1" si="25"/>
        <v/>
      </c>
      <c r="CA18">
        <f t="shared" ca="1" si="26"/>
        <v>0</v>
      </c>
      <c r="CB18" t="str">
        <f t="shared" ca="1" si="27"/>
        <v/>
      </c>
      <c r="CC18">
        <f t="shared" ca="1" si="28"/>
        <v>0</v>
      </c>
    </row>
    <row r="19" spans="2:8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52">
        <f t="shared" si="1"/>
        <v>2000</v>
      </c>
      <c r="G19" s="52"/>
      <c r="H19" s="52"/>
      <c r="I19" s="52"/>
      <c r="J19" s="52">
        <f t="shared" si="35"/>
        <v>2000</v>
      </c>
      <c r="K19" s="52"/>
      <c r="L19" s="52"/>
      <c r="M19" s="52"/>
      <c r="N19" s="52">
        <f t="shared" si="34"/>
        <v>2000</v>
      </c>
      <c r="O19" s="52"/>
      <c r="P19" s="52"/>
      <c r="Q19" s="52"/>
      <c r="R19" s="52">
        <f t="shared" si="36"/>
        <v>2000</v>
      </c>
      <c r="S19" s="52"/>
      <c r="T19" s="52"/>
      <c r="U19" s="52"/>
      <c r="V19" s="53">
        <f t="shared" si="29"/>
        <v>2000</v>
      </c>
      <c r="W19" s="52"/>
      <c r="X19" s="52"/>
      <c r="Y19" s="52"/>
      <c r="Z19" s="53">
        <f t="shared" si="30"/>
        <v>2000</v>
      </c>
      <c r="AA19" s="52"/>
      <c r="AB19" s="52"/>
      <c r="AC19" s="52"/>
      <c r="AD19" s="53">
        <f t="shared" si="31"/>
        <v>2000</v>
      </c>
      <c r="AE19" s="52"/>
      <c r="AF19" s="52"/>
      <c r="AG19" s="52"/>
      <c r="AH19" s="53">
        <f t="shared" si="32"/>
        <v>2000</v>
      </c>
      <c r="AI19" s="52"/>
      <c r="AJ19" s="52"/>
      <c r="AK19" s="52"/>
      <c r="AL19" s="49">
        <f t="shared" si="33"/>
        <v>2000</v>
      </c>
      <c r="AM19" s="52"/>
      <c r="AN19" s="52"/>
      <c r="AO19" s="52"/>
      <c r="AP19" s="248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>
        <f t="shared" si="3"/>
        <v>18000</v>
      </c>
      <c r="BC19" s="52">
        <f t="shared" si="4"/>
        <v>0</v>
      </c>
      <c r="BE19">
        <f ca="1">'Monthly Collection-2025'!CC19</f>
        <v>0</v>
      </c>
      <c r="BF19" t="str">
        <f t="shared" ca="1" si="5"/>
        <v/>
      </c>
      <c r="BG19">
        <f t="shared" ca="1" si="6"/>
        <v>0</v>
      </c>
      <c r="BH19" t="str">
        <f t="shared" ca="1" si="7"/>
        <v/>
      </c>
      <c r="BI19">
        <f t="shared" ca="1" si="8"/>
        <v>0</v>
      </c>
      <c r="BJ19" t="str">
        <f t="shared" ca="1" si="9"/>
        <v/>
      </c>
      <c r="BK19">
        <f t="shared" ca="1" si="10"/>
        <v>0</v>
      </c>
      <c r="BL19" t="str">
        <f t="shared" ca="1" si="11"/>
        <v/>
      </c>
      <c r="BM19">
        <f t="shared" ca="1" si="12"/>
        <v>0</v>
      </c>
      <c r="BN19" t="str">
        <f t="shared" ca="1" si="13"/>
        <v/>
      </c>
      <c r="BO19">
        <f t="shared" ca="1" si="14"/>
        <v>0</v>
      </c>
      <c r="BP19" t="str">
        <f t="shared" ca="1" si="15"/>
        <v/>
      </c>
      <c r="BQ19">
        <f t="shared" ca="1" si="16"/>
        <v>0</v>
      </c>
      <c r="BR19" t="str">
        <f t="shared" ca="1" si="17"/>
        <v/>
      </c>
      <c r="BS19">
        <f t="shared" ca="1" si="18"/>
        <v>0</v>
      </c>
      <c r="BT19" t="str">
        <f t="shared" ca="1" si="19"/>
        <v/>
      </c>
      <c r="BU19">
        <f t="shared" ca="1" si="20"/>
        <v>0</v>
      </c>
      <c r="BV19" t="str">
        <f t="shared" ca="1" si="21"/>
        <v/>
      </c>
      <c r="BW19">
        <f t="shared" ca="1" si="22"/>
        <v>0</v>
      </c>
      <c r="BX19" t="str">
        <f t="shared" ca="1" si="23"/>
        <v>R</v>
      </c>
      <c r="BY19">
        <f t="shared" ca="1" si="24"/>
        <v>0</v>
      </c>
      <c r="BZ19" t="str">
        <f t="shared" ca="1" si="25"/>
        <v/>
      </c>
      <c r="CA19">
        <f t="shared" ca="1" si="26"/>
        <v>0</v>
      </c>
      <c r="CB19" t="str">
        <f t="shared" ca="1" si="27"/>
        <v/>
      </c>
      <c r="CC19">
        <f t="shared" ca="1" si="28"/>
        <v>0</v>
      </c>
    </row>
    <row r="20" spans="2:8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>
        <f t="shared" si="1"/>
        <v>2000</v>
      </c>
      <c r="G20" s="56"/>
      <c r="H20" s="56"/>
      <c r="I20" s="56"/>
      <c r="J20" s="56">
        <f t="shared" si="35"/>
        <v>2000</v>
      </c>
      <c r="K20" s="56"/>
      <c r="L20" s="56"/>
      <c r="M20" s="56"/>
      <c r="N20" s="56">
        <f t="shared" si="34"/>
        <v>2000</v>
      </c>
      <c r="O20" s="56"/>
      <c r="P20" s="56"/>
      <c r="Q20" s="56"/>
      <c r="R20" s="56">
        <f t="shared" si="36"/>
        <v>2000</v>
      </c>
      <c r="S20" s="56"/>
      <c r="T20" s="56"/>
      <c r="U20" s="56"/>
      <c r="V20" s="57">
        <f t="shared" si="29"/>
        <v>2000</v>
      </c>
      <c r="W20" s="56"/>
      <c r="X20" s="56"/>
      <c r="Y20" s="56"/>
      <c r="Z20" s="57">
        <f t="shared" si="30"/>
        <v>2000</v>
      </c>
      <c r="AA20" s="56"/>
      <c r="AB20" s="56"/>
      <c r="AC20" s="56"/>
      <c r="AD20" s="57">
        <f t="shared" si="31"/>
        <v>2000</v>
      </c>
      <c r="AE20" s="56"/>
      <c r="AF20" s="56"/>
      <c r="AG20" s="56"/>
      <c r="AH20" s="57">
        <f t="shared" si="32"/>
        <v>2000</v>
      </c>
      <c r="AI20" s="56"/>
      <c r="AJ20" s="56"/>
      <c r="AK20" s="56"/>
      <c r="AL20" s="49">
        <f t="shared" si="33"/>
        <v>2000</v>
      </c>
      <c r="AM20" s="56"/>
      <c r="AN20" s="56"/>
      <c r="AO20" s="56"/>
      <c r="AP20" s="57">
        <v>2000</v>
      </c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>
        <f t="shared" si="3"/>
        <v>20000</v>
      </c>
      <c r="BC20" s="56">
        <f t="shared" si="4"/>
        <v>0</v>
      </c>
      <c r="BE20">
        <f ca="1">'Monthly Collection-2025'!CC20</f>
        <v>0</v>
      </c>
      <c r="BF20" t="str">
        <f t="shared" ca="1" si="5"/>
        <v/>
      </c>
      <c r="BG20">
        <f t="shared" ca="1" si="6"/>
        <v>0</v>
      </c>
      <c r="BH20" t="str">
        <f t="shared" ca="1" si="7"/>
        <v/>
      </c>
      <c r="BI20">
        <f t="shared" ca="1" si="8"/>
        <v>0</v>
      </c>
      <c r="BJ20" t="str">
        <f t="shared" ca="1" si="9"/>
        <v/>
      </c>
      <c r="BK20">
        <f t="shared" ca="1" si="10"/>
        <v>0</v>
      </c>
      <c r="BL20" t="str">
        <f t="shared" ca="1" si="11"/>
        <v/>
      </c>
      <c r="BM20">
        <f t="shared" ca="1" si="12"/>
        <v>0</v>
      </c>
      <c r="BN20" t="str">
        <f t="shared" ca="1" si="13"/>
        <v/>
      </c>
      <c r="BO20">
        <f t="shared" ca="1" si="14"/>
        <v>0</v>
      </c>
      <c r="BP20" t="str">
        <f t="shared" ca="1" si="15"/>
        <v/>
      </c>
      <c r="BQ20">
        <f t="shared" ca="1" si="16"/>
        <v>0</v>
      </c>
      <c r="BR20" t="str">
        <f t="shared" ca="1" si="17"/>
        <v/>
      </c>
      <c r="BS20">
        <f t="shared" ca="1" si="18"/>
        <v>0</v>
      </c>
      <c r="BT20" t="str">
        <f t="shared" ca="1" si="19"/>
        <v/>
      </c>
      <c r="BU20">
        <f t="shared" ca="1" si="20"/>
        <v>0</v>
      </c>
      <c r="BV20" t="str">
        <f t="shared" ca="1" si="21"/>
        <v/>
      </c>
      <c r="BW20">
        <f t="shared" ca="1" si="22"/>
        <v>0</v>
      </c>
      <c r="BX20" t="str">
        <f t="shared" ca="1" si="23"/>
        <v/>
      </c>
      <c r="BY20">
        <f t="shared" ca="1" si="24"/>
        <v>0</v>
      </c>
      <c r="BZ20" t="str">
        <f t="shared" ca="1" si="25"/>
        <v/>
      </c>
      <c r="CA20">
        <f t="shared" ca="1" si="26"/>
        <v>0</v>
      </c>
      <c r="CB20" t="str">
        <f t="shared" ca="1" si="27"/>
        <v/>
      </c>
      <c r="CC20">
        <f t="shared" ca="1" si="28"/>
        <v>0</v>
      </c>
    </row>
    <row r="21" spans="2:8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>
        <f t="shared" si="1"/>
        <v>2000</v>
      </c>
      <c r="G21" s="52"/>
      <c r="H21" s="52"/>
      <c r="I21" s="52"/>
      <c r="J21" s="52">
        <f t="shared" si="35"/>
        <v>2000</v>
      </c>
      <c r="K21" s="52"/>
      <c r="L21" s="52"/>
      <c r="M21" s="52"/>
      <c r="N21" s="52">
        <f t="shared" si="34"/>
        <v>2000</v>
      </c>
      <c r="O21" s="52"/>
      <c r="P21" s="52"/>
      <c r="Q21" s="52"/>
      <c r="R21" s="52">
        <f t="shared" si="36"/>
        <v>2000</v>
      </c>
      <c r="S21" s="52"/>
      <c r="T21" s="52"/>
      <c r="U21" s="52"/>
      <c r="V21" s="53">
        <f t="shared" si="29"/>
        <v>2000</v>
      </c>
      <c r="W21" s="52"/>
      <c r="X21" s="52"/>
      <c r="Y21" s="52"/>
      <c r="Z21" s="53">
        <f t="shared" si="30"/>
        <v>2000</v>
      </c>
      <c r="AA21" s="52"/>
      <c r="AB21" s="52"/>
      <c r="AC21" s="52"/>
      <c r="AD21" s="53">
        <f t="shared" si="31"/>
        <v>2000</v>
      </c>
      <c r="AE21" s="52"/>
      <c r="AF21" s="52"/>
      <c r="AG21" s="52"/>
      <c r="AH21" s="53">
        <f t="shared" si="32"/>
        <v>2000</v>
      </c>
      <c r="AI21" s="52">
        <v>2000</v>
      </c>
      <c r="AJ21" s="52"/>
      <c r="AK21" s="52"/>
      <c r="AL21" s="247"/>
      <c r="AM21" s="52">
        <v>2000</v>
      </c>
      <c r="AN21" s="52"/>
      <c r="AO21" s="52"/>
      <c r="AP21" s="249"/>
      <c r="AQ21" s="52">
        <v>4000</v>
      </c>
      <c r="AR21" s="52"/>
      <c r="AS21" s="52"/>
      <c r="AT21" s="249"/>
      <c r="AU21" s="52"/>
      <c r="AV21" s="52"/>
      <c r="AW21" s="52"/>
      <c r="AX21" s="249"/>
      <c r="AY21" s="52"/>
      <c r="AZ21" s="52"/>
      <c r="BA21" s="52"/>
      <c r="BB21" s="52">
        <f t="shared" si="3"/>
        <v>24000</v>
      </c>
      <c r="BC21" s="52">
        <f t="shared" si="4"/>
        <v>0</v>
      </c>
      <c r="BE21">
        <f ca="1">'Monthly Collection-2025'!CC21</f>
        <v>0</v>
      </c>
      <c r="BF21" t="str">
        <f t="shared" ca="1" si="5"/>
        <v/>
      </c>
      <c r="BG21">
        <f t="shared" ca="1" si="6"/>
        <v>0</v>
      </c>
      <c r="BH21" t="str">
        <f t="shared" ca="1" si="7"/>
        <v/>
      </c>
      <c r="BI21">
        <f t="shared" ca="1" si="8"/>
        <v>0</v>
      </c>
      <c r="BJ21" t="str">
        <f t="shared" ca="1" si="9"/>
        <v/>
      </c>
      <c r="BK21">
        <f t="shared" ca="1" si="10"/>
        <v>0</v>
      </c>
      <c r="BL21" t="str">
        <f t="shared" ca="1" si="11"/>
        <v/>
      </c>
      <c r="BM21">
        <f t="shared" ca="1" si="12"/>
        <v>0</v>
      </c>
      <c r="BN21" t="str">
        <f t="shared" ca="1" si="13"/>
        <v/>
      </c>
      <c r="BO21">
        <f t="shared" ca="1" si="14"/>
        <v>0</v>
      </c>
      <c r="BP21" t="str">
        <f t="shared" ca="1" si="15"/>
        <v/>
      </c>
      <c r="BQ21">
        <f t="shared" ca="1" si="16"/>
        <v>0</v>
      </c>
      <c r="BR21" t="str">
        <f t="shared" ca="1" si="17"/>
        <v/>
      </c>
      <c r="BS21">
        <f t="shared" ca="1" si="18"/>
        <v>0</v>
      </c>
      <c r="BT21" t="str">
        <f t="shared" ca="1" si="19"/>
        <v/>
      </c>
      <c r="BU21">
        <f t="shared" ca="1" si="20"/>
        <v>2000</v>
      </c>
      <c r="BV21" t="str">
        <f t="shared" ca="1" si="21"/>
        <v>G</v>
      </c>
      <c r="BW21">
        <f t="shared" ca="1" si="22"/>
        <v>2000</v>
      </c>
      <c r="BX21" t="str">
        <f t="shared" ca="1" si="23"/>
        <v>G</v>
      </c>
      <c r="BY21">
        <f t="shared" ca="1" si="24"/>
        <v>4000</v>
      </c>
      <c r="BZ21" t="str">
        <f t="shared" ca="1" si="25"/>
        <v>G</v>
      </c>
      <c r="CA21">
        <f t="shared" ca="1" si="26"/>
        <v>2000</v>
      </c>
      <c r="CB21" t="str">
        <f t="shared" ca="1" si="27"/>
        <v>G</v>
      </c>
      <c r="CC21">
        <f t="shared" ca="1" si="28"/>
        <v>0</v>
      </c>
    </row>
    <row r="22" spans="2:8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>
        <f t="shared" si="1"/>
        <v>1000</v>
      </c>
      <c r="G22" s="56"/>
      <c r="H22" s="56"/>
      <c r="I22" s="56"/>
      <c r="J22" s="56">
        <f t="shared" si="35"/>
        <v>1000</v>
      </c>
      <c r="K22" s="56"/>
      <c r="L22" s="56"/>
      <c r="M22" s="56"/>
      <c r="N22" s="56">
        <f t="shared" si="34"/>
        <v>1000</v>
      </c>
      <c r="O22" s="56"/>
      <c r="P22" s="56"/>
      <c r="Q22" s="56"/>
      <c r="R22" s="56">
        <f t="shared" si="36"/>
        <v>1000</v>
      </c>
      <c r="S22" s="56"/>
      <c r="T22" s="56"/>
      <c r="U22" s="56"/>
      <c r="V22" s="57">
        <f t="shared" si="29"/>
        <v>1000</v>
      </c>
      <c r="W22" s="56"/>
      <c r="X22" s="56"/>
      <c r="Y22" s="56"/>
      <c r="Z22" s="57">
        <f t="shared" si="30"/>
        <v>1000</v>
      </c>
      <c r="AA22" s="56"/>
      <c r="AB22" s="56"/>
      <c r="AC22" s="56"/>
      <c r="AD22" s="57">
        <f t="shared" si="31"/>
        <v>1000</v>
      </c>
      <c r="AE22" s="56"/>
      <c r="AF22" s="56"/>
      <c r="AG22" s="56"/>
      <c r="AH22" s="57">
        <f t="shared" si="32"/>
        <v>1000</v>
      </c>
      <c r="AI22" s="56"/>
      <c r="AJ22" s="56"/>
      <c r="AK22" s="56"/>
      <c r="AL22" s="49">
        <f t="shared" si="33"/>
        <v>1000</v>
      </c>
      <c r="AM22" s="56"/>
      <c r="AN22" s="56"/>
      <c r="AO22" s="56"/>
      <c r="AP22" s="57">
        <v>1000</v>
      </c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>
        <f t="shared" si="3"/>
        <v>10000</v>
      </c>
      <c r="BC22" s="56">
        <f t="shared" si="4"/>
        <v>0</v>
      </c>
      <c r="BE22">
        <f ca="1">'Monthly Collection-2025'!CC22</f>
        <v>0</v>
      </c>
      <c r="BF22" t="str">
        <f t="shared" ca="1" si="5"/>
        <v/>
      </c>
      <c r="BG22">
        <f t="shared" ca="1" si="6"/>
        <v>0</v>
      </c>
      <c r="BH22" t="str">
        <f t="shared" ca="1" si="7"/>
        <v/>
      </c>
      <c r="BI22">
        <f t="shared" ca="1" si="8"/>
        <v>0</v>
      </c>
      <c r="BJ22" t="str">
        <f t="shared" ca="1" si="9"/>
        <v/>
      </c>
      <c r="BK22">
        <f t="shared" ca="1" si="10"/>
        <v>0</v>
      </c>
      <c r="BL22" t="str">
        <f t="shared" ca="1" si="11"/>
        <v/>
      </c>
      <c r="BM22">
        <f t="shared" ca="1" si="12"/>
        <v>0</v>
      </c>
      <c r="BN22" t="str">
        <f t="shared" ca="1" si="13"/>
        <v/>
      </c>
      <c r="BO22">
        <f t="shared" ca="1" si="14"/>
        <v>0</v>
      </c>
      <c r="BP22" t="str">
        <f t="shared" ca="1" si="15"/>
        <v/>
      </c>
      <c r="BQ22">
        <f t="shared" ca="1" si="16"/>
        <v>0</v>
      </c>
      <c r="BR22" t="str">
        <f t="shared" ca="1" si="17"/>
        <v/>
      </c>
      <c r="BS22">
        <f t="shared" ca="1" si="18"/>
        <v>0</v>
      </c>
      <c r="BT22" t="str">
        <f t="shared" ca="1" si="19"/>
        <v/>
      </c>
      <c r="BU22">
        <f t="shared" ca="1" si="20"/>
        <v>0</v>
      </c>
      <c r="BV22" t="str">
        <f t="shared" ca="1" si="21"/>
        <v/>
      </c>
      <c r="BW22">
        <f t="shared" ca="1" si="22"/>
        <v>0</v>
      </c>
      <c r="BX22" t="str">
        <f t="shared" ca="1" si="23"/>
        <v/>
      </c>
      <c r="BY22">
        <f t="shared" ca="1" si="24"/>
        <v>0</v>
      </c>
      <c r="BZ22" t="str">
        <f t="shared" ca="1" si="25"/>
        <v/>
      </c>
      <c r="CA22">
        <f t="shared" ca="1" si="26"/>
        <v>0</v>
      </c>
      <c r="CB22" t="str">
        <f t="shared" ca="1" si="27"/>
        <v/>
      </c>
      <c r="CC22">
        <f t="shared" ca="1" si="28"/>
        <v>0</v>
      </c>
    </row>
    <row r="23" spans="2:8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>
        <f t="shared" si="1"/>
        <v>2000</v>
      </c>
      <c r="G23" s="52"/>
      <c r="H23" s="52"/>
      <c r="I23" s="52"/>
      <c r="J23" s="52">
        <f t="shared" si="35"/>
        <v>2000</v>
      </c>
      <c r="K23" s="52"/>
      <c r="L23" s="52"/>
      <c r="M23" s="52"/>
      <c r="N23" s="52">
        <f t="shared" si="34"/>
        <v>2000</v>
      </c>
      <c r="O23" s="52"/>
      <c r="P23" s="52"/>
      <c r="Q23" s="52"/>
      <c r="R23" s="52">
        <f t="shared" si="36"/>
        <v>2000</v>
      </c>
      <c r="S23" s="52"/>
      <c r="T23" s="52"/>
      <c r="U23" s="52"/>
      <c r="V23" s="53">
        <f t="shared" si="29"/>
        <v>2000</v>
      </c>
      <c r="W23" s="52"/>
      <c r="X23" s="52"/>
      <c r="Y23" s="52"/>
      <c r="Z23" s="53">
        <f t="shared" si="30"/>
        <v>2000</v>
      </c>
      <c r="AA23" s="52"/>
      <c r="AB23" s="52"/>
      <c r="AC23" s="52"/>
      <c r="AD23" s="53">
        <f t="shared" si="31"/>
        <v>2000</v>
      </c>
      <c r="AE23" s="52"/>
      <c r="AF23" s="52"/>
      <c r="AG23" s="52"/>
      <c r="AH23" s="53">
        <f t="shared" si="32"/>
        <v>2000</v>
      </c>
      <c r="AI23" s="52"/>
      <c r="AJ23" s="52"/>
      <c r="AK23" s="52"/>
      <c r="AL23" s="49">
        <f t="shared" si="33"/>
        <v>2000</v>
      </c>
      <c r="AM23" s="52"/>
      <c r="AN23" s="52"/>
      <c r="AO23" s="52"/>
      <c r="AP23" s="53">
        <v>2000</v>
      </c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>
        <f t="shared" si="3"/>
        <v>20000</v>
      </c>
      <c r="BC23" s="52">
        <f t="shared" si="4"/>
        <v>0</v>
      </c>
      <c r="BE23">
        <f ca="1">'Monthly Collection-2025'!CC23</f>
        <v>0</v>
      </c>
      <c r="BF23" t="str">
        <f t="shared" ca="1" si="5"/>
        <v/>
      </c>
      <c r="BG23">
        <f t="shared" ca="1" si="6"/>
        <v>0</v>
      </c>
      <c r="BH23" t="str">
        <f t="shared" ca="1" si="7"/>
        <v/>
      </c>
      <c r="BI23">
        <f t="shared" ca="1" si="8"/>
        <v>0</v>
      </c>
      <c r="BJ23" t="str">
        <f t="shared" ca="1" si="9"/>
        <v/>
      </c>
      <c r="BK23">
        <f t="shared" ca="1" si="10"/>
        <v>0</v>
      </c>
      <c r="BL23" t="str">
        <f t="shared" ca="1" si="11"/>
        <v/>
      </c>
      <c r="BM23">
        <f t="shared" ca="1" si="12"/>
        <v>0</v>
      </c>
      <c r="BN23" t="str">
        <f t="shared" ca="1" si="13"/>
        <v/>
      </c>
      <c r="BO23">
        <f t="shared" ca="1" si="14"/>
        <v>0</v>
      </c>
      <c r="BP23" t="str">
        <f t="shared" ca="1" si="15"/>
        <v/>
      </c>
      <c r="BQ23">
        <f t="shared" ca="1" si="16"/>
        <v>0</v>
      </c>
      <c r="BR23" t="str">
        <f t="shared" ca="1" si="17"/>
        <v/>
      </c>
      <c r="BS23">
        <f t="shared" ca="1" si="18"/>
        <v>0</v>
      </c>
      <c r="BT23" t="str">
        <f t="shared" ca="1" si="19"/>
        <v/>
      </c>
      <c r="BU23">
        <f t="shared" ca="1" si="20"/>
        <v>0</v>
      </c>
      <c r="BV23" t="str">
        <f t="shared" ca="1" si="21"/>
        <v/>
      </c>
      <c r="BW23">
        <f t="shared" ca="1" si="22"/>
        <v>0</v>
      </c>
      <c r="BX23" t="str">
        <f t="shared" ca="1" si="23"/>
        <v/>
      </c>
      <c r="BY23">
        <f t="shared" ca="1" si="24"/>
        <v>0</v>
      </c>
      <c r="BZ23" t="str">
        <f t="shared" ca="1" si="25"/>
        <v/>
      </c>
      <c r="CA23">
        <f t="shared" ca="1" si="26"/>
        <v>0</v>
      </c>
      <c r="CB23" t="str">
        <f t="shared" ca="1" si="27"/>
        <v/>
      </c>
      <c r="CC23">
        <f t="shared" ca="1" si="28"/>
        <v>0</v>
      </c>
    </row>
    <row r="24" spans="2:8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241"/>
      <c r="G24" s="56"/>
      <c r="H24" s="56"/>
      <c r="I24" s="56"/>
      <c r="J24" s="56">
        <f t="shared" si="35"/>
        <v>1000</v>
      </c>
      <c r="K24" s="56"/>
      <c r="L24" s="56">
        <v>1000</v>
      </c>
      <c r="M24" s="56">
        <v>50</v>
      </c>
      <c r="N24" s="56">
        <f t="shared" si="34"/>
        <v>1000</v>
      </c>
      <c r="O24" s="56"/>
      <c r="P24" s="56"/>
      <c r="Q24" s="56"/>
      <c r="R24" s="56">
        <f t="shared" si="36"/>
        <v>1000</v>
      </c>
      <c r="S24" s="56"/>
      <c r="T24" s="56"/>
      <c r="U24" s="56"/>
      <c r="V24" s="57">
        <f t="shared" si="29"/>
        <v>1000</v>
      </c>
      <c r="W24" s="56"/>
      <c r="X24" s="56"/>
      <c r="Y24" s="56"/>
      <c r="Z24" s="57">
        <f t="shared" si="30"/>
        <v>1000</v>
      </c>
      <c r="AA24" s="56"/>
      <c r="AB24" s="56"/>
      <c r="AC24" s="56"/>
      <c r="AD24" s="57">
        <f t="shared" si="31"/>
        <v>1000</v>
      </c>
      <c r="AE24" s="56"/>
      <c r="AF24" s="56"/>
      <c r="AG24" s="56"/>
      <c r="AH24" s="57">
        <f t="shared" si="32"/>
        <v>1000</v>
      </c>
      <c r="AI24" s="56"/>
      <c r="AJ24" s="56"/>
      <c r="AK24" s="56"/>
      <c r="AL24" s="49">
        <f t="shared" si="33"/>
        <v>1000</v>
      </c>
      <c r="AM24" s="56"/>
      <c r="AN24" s="56"/>
      <c r="AO24" s="56"/>
      <c r="AP24" s="57">
        <v>1000</v>
      </c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>
        <f t="shared" si="3"/>
        <v>10000</v>
      </c>
      <c r="BC24" s="56">
        <f t="shared" si="4"/>
        <v>50</v>
      </c>
      <c r="BE24">
        <f ca="1">'Monthly Collection-2025'!CC24</f>
        <v>0</v>
      </c>
      <c r="BF24" t="str">
        <f t="shared" ca="1" si="5"/>
        <v>R</v>
      </c>
      <c r="BG24">
        <f t="shared" ca="1" si="6"/>
        <v>0</v>
      </c>
      <c r="BH24" t="str">
        <f t="shared" ca="1" si="7"/>
        <v/>
      </c>
      <c r="BI24">
        <f t="shared" ca="1" si="8"/>
        <v>0</v>
      </c>
      <c r="BJ24" t="str">
        <f t="shared" ca="1" si="9"/>
        <v/>
      </c>
      <c r="BK24">
        <f t="shared" ca="1" si="10"/>
        <v>0</v>
      </c>
      <c r="BL24" t="str">
        <f t="shared" ca="1" si="11"/>
        <v/>
      </c>
      <c r="BM24">
        <f t="shared" ca="1" si="12"/>
        <v>0</v>
      </c>
      <c r="BN24" t="str">
        <f t="shared" ca="1" si="13"/>
        <v/>
      </c>
      <c r="BO24">
        <f t="shared" ca="1" si="14"/>
        <v>0</v>
      </c>
      <c r="BP24" t="str">
        <f t="shared" ca="1" si="15"/>
        <v/>
      </c>
      <c r="BQ24">
        <f t="shared" ca="1" si="16"/>
        <v>0</v>
      </c>
      <c r="BR24" t="str">
        <f t="shared" ca="1" si="17"/>
        <v/>
      </c>
      <c r="BS24">
        <f t="shared" ca="1" si="18"/>
        <v>0</v>
      </c>
      <c r="BT24" t="str">
        <f t="shared" ca="1" si="19"/>
        <v/>
      </c>
      <c r="BU24">
        <f t="shared" ca="1" si="20"/>
        <v>0</v>
      </c>
      <c r="BV24" t="str">
        <f t="shared" ca="1" si="21"/>
        <v/>
      </c>
      <c r="BW24">
        <f t="shared" ca="1" si="22"/>
        <v>0</v>
      </c>
      <c r="BX24" t="str">
        <f t="shared" ca="1" si="23"/>
        <v/>
      </c>
      <c r="BY24">
        <f t="shared" ca="1" si="24"/>
        <v>0</v>
      </c>
      <c r="BZ24" t="str">
        <f t="shared" ca="1" si="25"/>
        <v/>
      </c>
      <c r="CA24">
        <f t="shared" ca="1" si="26"/>
        <v>0</v>
      </c>
      <c r="CB24" t="str">
        <f t="shared" ca="1" si="27"/>
        <v/>
      </c>
      <c r="CC24">
        <f t="shared" ca="1" si="28"/>
        <v>0</v>
      </c>
    </row>
    <row r="25" spans="2:8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>
        <f t="shared" ref="F25:F43" si="37">$E25*1000</f>
        <v>1000</v>
      </c>
      <c r="G25" s="52"/>
      <c r="H25" s="52"/>
      <c r="I25" s="52"/>
      <c r="J25" s="52">
        <f t="shared" si="35"/>
        <v>1000</v>
      </c>
      <c r="K25" s="52">
        <v>1000</v>
      </c>
      <c r="L25" s="52"/>
      <c r="M25" s="52"/>
      <c r="N25" s="242"/>
      <c r="O25" s="52"/>
      <c r="P25" s="52"/>
      <c r="Q25" s="52"/>
      <c r="R25" s="52">
        <f t="shared" si="36"/>
        <v>1000</v>
      </c>
      <c r="S25" s="52"/>
      <c r="T25" s="52"/>
      <c r="U25" s="52"/>
      <c r="V25" s="248"/>
      <c r="W25" s="52"/>
      <c r="X25" s="52"/>
      <c r="Y25" s="52"/>
      <c r="Z25" s="53">
        <f t="shared" si="30"/>
        <v>1000</v>
      </c>
      <c r="AA25" s="52"/>
      <c r="AB25" s="52">
        <v>1000</v>
      </c>
      <c r="AC25" s="52">
        <v>50</v>
      </c>
      <c r="AD25" s="53">
        <f t="shared" si="31"/>
        <v>1000</v>
      </c>
      <c r="AE25" s="52"/>
      <c r="AF25" s="52"/>
      <c r="AG25" s="52"/>
      <c r="AH25" s="53">
        <f t="shared" si="32"/>
        <v>1000</v>
      </c>
      <c r="AI25" s="52"/>
      <c r="AJ25" s="52"/>
      <c r="AK25" s="52"/>
      <c r="AL25" s="49">
        <f t="shared" si="33"/>
        <v>1000</v>
      </c>
      <c r="AM25" s="52"/>
      <c r="AN25" s="52"/>
      <c r="AO25" s="52"/>
      <c r="AP25" s="248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>
        <f t="shared" si="3"/>
        <v>9000</v>
      </c>
      <c r="BC25" s="52">
        <f t="shared" si="4"/>
        <v>50</v>
      </c>
      <c r="BE25">
        <f ca="1">'Monthly Collection-2025'!CC25</f>
        <v>0</v>
      </c>
      <c r="BF25" t="str">
        <f t="shared" ca="1" si="5"/>
        <v/>
      </c>
      <c r="BG25">
        <f t="shared" ca="1" si="6"/>
        <v>0</v>
      </c>
      <c r="BH25" t="str">
        <f t="shared" ca="1" si="7"/>
        <v/>
      </c>
      <c r="BI25">
        <f t="shared" ca="1" si="8"/>
        <v>1000</v>
      </c>
      <c r="BJ25" t="str">
        <f t="shared" ca="1" si="9"/>
        <v>G</v>
      </c>
      <c r="BK25">
        <f t="shared" ca="1" si="10"/>
        <v>0</v>
      </c>
      <c r="BL25" t="str">
        <f t="shared" ca="1" si="11"/>
        <v/>
      </c>
      <c r="BM25">
        <f t="shared" ca="1" si="12"/>
        <v>0</v>
      </c>
      <c r="BN25" t="str">
        <f t="shared" ca="1" si="13"/>
        <v>R</v>
      </c>
      <c r="BO25">
        <f t="shared" ca="1" si="14"/>
        <v>0</v>
      </c>
      <c r="BP25" t="str">
        <f t="shared" ca="1" si="15"/>
        <v/>
      </c>
      <c r="BQ25">
        <f t="shared" ca="1" si="16"/>
        <v>0</v>
      </c>
      <c r="BR25" t="str">
        <f t="shared" ca="1" si="17"/>
        <v/>
      </c>
      <c r="BS25">
        <f t="shared" ca="1" si="18"/>
        <v>0</v>
      </c>
      <c r="BT25" t="str">
        <f t="shared" ca="1" si="19"/>
        <v/>
      </c>
      <c r="BU25">
        <f t="shared" ca="1" si="20"/>
        <v>0</v>
      </c>
      <c r="BV25" t="str">
        <f t="shared" ca="1" si="21"/>
        <v/>
      </c>
      <c r="BW25">
        <f t="shared" ca="1" si="22"/>
        <v>0</v>
      </c>
      <c r="BX25" t="str">
        <f t="shared" ca="1" si="23"/>
        <v>R</v>
      </c>
      <c r="BY25">
        <f t="shared" ca="1" si="24"/>
        <v>0</v>
      </c>
      <c r="BZ25" t="str">
        <f t="shared" ca="1" si="25"/>
        <v/>
      </c>
      <c r="CA25">
        <f t="shared" ca="1" si="26"/>
        <v>0</v>
      </c>
      <c r="CB25" t="str">
        <f t="shared" ca="1" si="27"/>
        <v/>
      </c>
      <c r="CC25">
        <f t="shared" ca="1" si="28"/>
        <v>0</v>
      </c>
    </row>
    <row r="26" spans="2:8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>
        <f t="shared" si="37"/>
        <v>1000</v>
      </c>
      <c r="G26" s="56"/>
      <c r="H26" s="56"/>
      <c r="I26" s="56"/>
      <c r="J26" s="241"/>
      <c r="K26" s="56"/>
      <c r="L26" s="56"/>
      <c r="M26" s="56"/>
      <c r="N26" s="56">
        <f>$E26*1000</f>
        <v>1000</v>
      </c>
      <c r="O26" s="56"/>
      <c r="P26" s="56">
        <v>1000</v>
      </c>
      <c r="Q26" s="56">
        <v>50</v>
      </c>
      <c r="R26" s="56">
        <f t="shared" si="36"/>
        <v>1000</v>
      </c>
      <c r="S26" s="56"/>
      <c r="T26" s="56"/>
      <c r="U26" s="56"/>
      <c r="V26" s="57">
        <f t="shared" si="29"/>
        <v>1000</v>
      </c>
      <c r="W26" s="56"/>
      <c r="X26" s="56"/>
      <c r="Y26" s="56"/>
      <c r="Z26" s="245"/>
      <c r="AA26" s="56"/>
      <c r="AB26" s="56"/>
      <c r="AC26" s="56"/>
      <c r="AD26" s="245"/>
      <c r="AE26" s="56"/>
      <c r="AF26" s="56"/>
      <c r="AG26" s="56"/>
      <c r="AH26" s="245"/>
      <c r="AI26" s="56"/>
      <c r="AJ26" s="56">
        <v>1000</v>
      </c>
      <c r="AK26" s="56">
        <v>50</v>
      </c>
      <c r="AL26" s="250"/>
      <c r="AM26" s="56"/>
      <c r="AN26" s="56"/>
      <c r="AO26" s="56"/>
      <c r="AP26" s="245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>
        <f t="shared" si="3"/>
        <v>6000</v>
      </c>
      <c r="BC26" s="56">
        <f t="shared" si="4"/>
        <v>100</v>
      </c>
      <c r="BE26">
        <f ca="1">'Monthly Collection-2025'!CC26</f>
        <v>0</v>
      </c>
      <c r="BF26" t="str">
        <f t="shared" ca="1" si="5"/>
        <v/>
      </c>
      <c r="BG26">
        <f t="shared" ca="1" si="6"/>
        <v>0</v>
      </c>
      <c r="BH26" t="str">
        <f t="shared" ca="1" si="7"/>
        <v>R</v>
      </c>
      <c r="BI26">
        <f t="shared" ca="1" si="8"/>
        <v>0</v>
      </c>
      <c r="BJ26" t="str">
        <f t="shared" ca="1" si="9"/>
        <v/>
      </c>
      <c r="BK26">
        <f t="shared" ca="1" si="10"/>
        <v>0</v>
      </c>
      <c r="BL26" t="str">
        <f t="shared" ca="1" si="11"/>
        <v/>
      </c>
      <c r="BM26">
        <f t="shared" ca="1" si="12"/>
        <v>0</v>
      </c>
      <c r="BN26" t="str">
        <f t="shared" ca="1" si="13"/>
        <v/>
      </c>
      <c r="BO26">
        <f t="shared" ca="1" si="14"/>
        <v>0</v>
      </c>
      <c r="BP26" t="str">
        <f t="shared" ca="1" si="15"/>
        <v>R</v>
      </c>
      <c r="BQ26">
        <f t="shared" ca="1" si="16"/>
        <v>0</v>
      </c>
      <c r="BR26" t="str">
        <f t="shared" ca="1" si="17"/>
        <v>R</v>
      </c>
      <c r="BS26">
        <f t="shared" ca="1" si="18"/>
        <v>0</v>
      </c>
      <c r="BT26" t="str">
        <f t="shared" ca="1" si="19"/>
        <v>R</v>
      </c>
      <c r="BU26">
        <f t="shared" ca="1" si="20"/>
        <v>0</v>
      </c>
      <c r="BV26" t="str">
        <f t="shared" ca="1" si="21"/>
        <v>R</v>
      </c>
      <c r="BW26">
        <f t="shared" ca="1" si="22"/>
        <v>0</v>
      </c>
      <c r="BX26" t="str">
        <f t="shared" ca="1" si="23"/>
        <v>R</v>
      </c>
      <c r="BY26">
        <f t="shared" ca="1" si="24"/>
        <v>0</v>
      </c>
      <c r="BZ26" t="str">
        <f t="shared" ca="1" si="25"/>
        <v/>
      </c>
      <c r="CA26">
        <f t="shared" ca="1" si="26"/>
        <v>0</v>
      </c>
      <c r="CB26" t="str">
        <f t="shared" ca="1" si="27"/>
        <v/>
      </c>
      <c r="CC26">
        <f t="shared" ca="1" si="28"/>
        <v>0</v>
      </c>
    </row>
    <row r="27" spans="2:8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>
        <f t="shared" si="37"/>
        <v>1000</v>
      </c>
      <c r="G27" s="52"/>
      <c r="H27" s="52">
        <v>1000</v>
      </c>
      <c r="I27" s="52">
        <v>50</v>
      </c>
      <c r="J27" s="243"/>
      <c r="K27" s="52"/>
      <c r="L27" s="52"/>
      <c r="M27" s="52"/>
      <c r="N27" s="243"/>
      <c r="O27" s="52"/>
      <c r="P27" s="52"/>
      <c r="Q27" s="52"/>
      <c r="R27" s="243"/>
      <c r="S27" s="52"/>
      <c r="T27" s="52"/>
      <c r="U27" s="52"/>
      <c r="V27" s="248"/>
      <c r="W27" s="52"/>
      <c r="X27" s="52"/>
      <c r="Y27" s="52"/>
      <c r="Z27" s="248"/>
      <c r="AA27" s="52"/>
      <c r="AB27" s="52">
        <v>2000</v>
      </c>
      <c r="AC27" s="52">
        <v>100</v>
      </c>
      <c r="AD27" s="248"/>
      <c r="AE27" s="52"/>
      <c r="AF27" s="52"/>
      <c r="AG27" s="52"/>
      <c r="AH27" s="248"/>
      <c r="AI27" s="52"/>
      <c r="AJ27" s="52"/>
      <c r="AK27" s="52"/>
      <c r="AL27" s="251"/>
      <c r="AM27" s="52"/>
      <c r="AN27" s="52">
        <v>2000</v>
      </c>
      <c r="AO27" s="52">
        <v>100</v>
      </c>
      <c r="AP27" s="248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>
        <f t="shared" si="3"/>
        <v>6000</v>
      </c>
      <c r="BC27" s="52">
        <f t="shared" si="4"/>
        <v>250</v>
      </c>
      <c r="BE27">
        <f ca="1">'Monthly Collection-2025'!CC27</f>
        <v>0</v>
      </c>
      <c r="BF27" t="str">
        <f t="shared" ca="1" si="5"/>
        <v/>
      </c>
      <c r="BG27">
        <f t="shared" ca="1" si="6"/>
        <v>0</v>
      </c>
      <c r="BH27" t="str">
        <f t="shared" ca="1" si="7"/>
        <v>R</v>
      </c>
      <c r="BI27">
        <f t="shared" ca="1" si="8"/>
        <v>0</v>
      </c>
      <c r="BJ27" t="str">
        <f t="shared" ca="1" si="9"/>
        <v>R</v>
      </c>
      <c r="BK27">
        <f t="shared" ca="1" si="10"/>
        <v>0</v>
      </c>
      <c r="BL27" t="str">
        <f t="shared" ca="1" si="11"/>
        <v>R</v>
      </c>
      <c r="BM27">
        <f t="shared" ca="1" si="12"/>
        <v>0</v>
      </c>
      <c r="BN27" t="str">
        <f t="shared" ca="1" si="13"/>
        <v>R</v>
      </c>
      <c r="BO27">
        <f t="shared" ca="1" si="14"/>
        <v>0</v>
      </c>
      <c r="BP27" t="str">
        <f t="shared" ca="1" si="15"/>
        <v>R</v>
      </c>
      <c r="BQ27">
        <f t="shared" ca="1" si="16"/>
        <v>0</v>
      </c>
      <c r="BR27" t="str">
        <f t="shared" ca="1" si="17"/>
        <v>R</v>
      </c>
      <c r="BS27">
        <f t="shared" ca="1" si="18"/>
        <v>0</v>
      </c>
      <c r="BT27" t="str">
        <f t="shared" ca="1" si="19"/>
        <v>R</v>
      </c>
      <c r="BU27">
        <f t="shared" ca="1" si="20"/>
        <v>0</v>
      </c>
      <c r="BV27" t="str">
        <f t="shared" ca="1" si="21"/>
        <v>R</v>
      </c>
      <c r="BW27">
        <f t="shared" ca="1" si="22"/>
        <v>0</v>
      </c>
      <c r="BX27" t="str">
        <f t="shared" ca="1" si="23"/>
        <v>R</v>
      </c>
      <c r="BY27">
        <f t="shared" ca="1" si="24"/>
        <v>0</v>
      </c>
      <c r="BZ27" t="str">
        <f t="shared" ca="1" si="25"/>
        <v/>
      </c>
      <c r="CA27">
        <f t="shared" ca="1" si="26"/>
        <v>0</v>
      </c>
      <c r="CB27" t="str">
        <f t="shared" ca="1" si="27"/>
        <v/>
      </c>
      <c r="CC27">
        <f t="shared" ca="1" si="28"/>
        <v>0</v>
      </c>
    </row>
    <row r="28" spans="2:8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>
        <f t="shared" si="37"/>
        <v>1000</v>
      </c>
      <c r="G28" s="56"/>
      <c r="H28" s="56"/>
      <c r="I28" s="56"/>
      <c r="J28" s="56">
        <f t="shared" ref="J28:J43" si="38">$E28*1000</f>
        <v>1000</v>
      </c>
      <c r="K28" s="56"/>
      <c r="L28" s="56"/>
      <c r="M28" s="56"/>
      <c r="N28" s="56">
        <f t="shared" ref="N28:N43" si="39">$E28*1000</f>
        <v>1000</v>
      </c>
      <c r="O28" s="56"/>
      <c r="P28" s="56"/>
      <c r="Q28" s="56"/>
      <c r="R28" s="56">
        <f t="shared" ref="R28:R35" si="40">E28*1000</f>
        <v>1000</v>
      </c>
      <c r="S28" s="56">
        <v>1000</v>
      </c>
      <c r="T28" s="56"/>
      <c r="U28" s="56"/>
      <c r="V28" s="244"/>
      <c r="W28" s="56"/>
      <c r="X28" s="56"/>
      <c r="Y28" s="56"/>
      <c r="Z28" s="57">
        <f t="shared" si="30"/>
        <v>1000</v>
      </c>
      <c r="AA28" s="56">
        <v>1000</v>
      </c>
      <c r="AB28" s="56"/>
      <c r="AC28" s="56"/>
      <c r="AD28" s="252"/>
      <c r="AE28" s="56">
        <v>1000</v>
      </c>
      <c r="AF28" s="56"/>
      <c r="AG28" s="56"/>
      <c r="AH28" s="252"/>
      <c r="AI28" s="56"/>
      <c r="AJ28" s="56"/>
      <c r="AK28" s="56"/>
      <c r="AL28" s="49">
        <f t="shared" si="33"/>
        <v>1000</v>
      </c>
      <c r="AM28" s="56">
        <v>1000</v>
      </c>
      <c r="AN28" s="56"/>
      <c r="AO28" s="56"/>
      <c r="AP28" s="253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>
        <f t="shared" si="3"/>
        <v>10000</v>
      </c>
      <c r="BC28" s="56">
        <f t="shared" si="4"/>
        <v>0</v>
      </c>
      <c r="BE28">
        <f ca="1">'Monthly Collection-2025'!CC28</f>
        <v>0</v>
      </c>
      <c r="BF28" t="str">
        <f t="shared" ca="1" si="5"/>
        <v/>
      </c>
      <c r="BG28">
        <f t="shared" ca="1" si="6"/>
        <v>0</v>
      </c>
      <c r="BH28" t="str">
        <f t="shared" ca="1" si="7"/>
        <v/>
      </c>
      <c r="BI28">
        <f t="shared" ca="1" si="8"/>
        <v>0</v>
      </c>
      <c r="BJ28" t="str">
        <f t="shared" ca="1" si="9"/>
        <v/>
      </c>
      <c r="BK28">
        <f t="shared" ca="1" si="10"/>
        <v>0</v>
      </c>
      <c r="BL28" t="str">
        <f t="shared" ca="1" si="11"/>
        <v/>
      </c>
      <c r="BM28">
        <f t="shared" ca="1" si="12"/>
        <v>1000</v>
      </c>
      <c r="BN28" t="str">
        <f t="shared" ca="1" si="13"/>
        <v>G</v>
      </c>
      <c r="BO28">
        <f t="shared" ca="1" si="14"/>
        <v>0</v>
      </c>
      <c r="BP28" t="str">
        <f t="shared" ca="1" si="15"/>
        <v/>
      </c>
      <c r="BQ28">
        <f t="shared" ca="1" si="16"/>
        <v>1000</v>
      </c>
      <c r="BR28" t="str">
        <f t="shared" ca="1" si="17"/>
        <v>G</v>
      </c>
      <c r="BS28">
        <f t="shared" ca="1" si="18"/>
        <v>1000</v>
      </c>
      <c r="BT28" t="str">
        <f t="shared" ca="1" si="19"/>
        <v>G</v>
      </c>
      <c r="BU28">
        <f t="shared" ca="1" si="20"/>
        <v>0</v>
      </c>
      <c r="BV28" t="str">
        <f t="shared" ca="1" si="21"/>
        <v/>
      </c>
      <c r="BW28">
        <f t="shared" ca="1" si="22"/>
        <v>1000</v>
      </c>
      <c r="BX28" t="str">
        <f t="shared" ca="1" si="23"/>
        <v>G</v>
      </c>
      <c r="BY28">
        <f t="shared" ca="1" si="24"/>
        <v>0</v>
      </c>
      <c r="BZ28" t="str">
        <f t="shared" ca="1" si="25"/>
        <v/>
      </c>
      <c r="CA28">
        <f t="shared" ca="1" si="26"/>
        <v>0</v>
      </c>
      <c r="CB28" t="str">
        <f t="shared" ca="1" si="27"/>
        <v/>
      </c>
      <c r="CC28">
        <f t="shared" ca="1" si="28"/>
        <v>0</v>
      </c>
    </row>
    <row r="29" spans="2:8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>
        <f t="shared" si="37"/>
        <v>3000</v>
      </c>
      <c r="G29" s="52"/>
      <c r="H29" s="52"/>
      <c r="I29" s="52"/>
      <c r="J29" s="52">
        <f t="shared" si="38"/>
        <v>3000</v>
      </c>
      <c r="K29" s="52"/>
      <c r="L29" s="52"/>
      <c r="M29" s="52"/>
      <c r="N29" s="52">
        <f t="shared" si="39"/>
        <v>3000</v>
      </c>
      <c r="O29" s="52"/>
      <c r="P29" s="52"/>
      <c r="Q29" s="52"/>
      <c r="R29" s="52">
        <f t="shared" si="40"/>
        <v>3000</v>
      </c>
      <c r="S29" s="52"/>
      <c r="T29" s="52"/>
      <c r="U29" s="52"/>
      <c r="V29" s="248"/>
      <c r="W29" s="52"/>
      <c r="X29" s="52"/>
      <c r="Y29" s="52"/>
      <c r="Z29" s="53">
        <f t="shared" si="30"/>
        <v>3000</v>
      </c>
      <c r="AA29" s="52"/>
      <c r="AB29" s="52">
        <v>3000</v>
      </c>
      <c r="AC29" s="52">
        <v>150</v>
      </c>
      <c r="AD29" s="53">
        <f t="shared" si="31"/>
        <v>3000</v>
      </c>
      <c r="AE29" s="52"/>
      <c r="AF29" s="52"/>
      <c r="AG29" s="52"/>
      <c r="AH29" s="53">
        <f t="shared" si="32"/>
        <v>3000</v>
      </c>
      <c r="AI29" s="52"/>
      <c r="AJ29" s="52"/>
      <c r="AK29" s="52"/>
      <c r="AL29" s="49">
        <f t="shared" si="33"/>
        <v>3000</v>
      </c>
      <c r="AM29" s="52"/>
      <c r="AN29" s="52"/>
      <c r="AO29" s="52"/>
      <c r="AP29" s="248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>
        <f t="shared" si="3"/>
        <v>27000</v>
      </c>
      <c r="BC29" s="52">
        <f t="shared" si="4"/>
        <v>150</v>
      </c>
      <c r="BE29">
        <f ca="1">'Monthly Collection-2025'!CC29</f>
        <v>0</v>
      </c>
      <c r="BF29" t="str">
        <f t="shared" ca="1" si="5"/>
        <v/>
      </c>
      <c r="BG29">
        <f t="shared" ca="1" si="6"/>
        <v>0</v>
      </c>
      <c r="BH29" t="str">
        <f t="shared" ca="1" si="7"/>
        <v/>
      </c>
      <c r="BI29">
        <f t="shared" ca="1" si="8"/>
        <v>0</v>
      </c>
      <c r="BJ29" t="str">
        <f t="shared" ca="1" si="9"/>
        <v/>
      </c>
      <c r="BK29">
        <f t="shared" ca="1" si="10"/>
        <v>0</v>
      </c>
      <c r="BL29" t="str">
        <f t="shared" ca="1" si="11"/>
        <v/>
      </c>
      <c r="BM29">
        <f t="shared" ca="1" si="12"/>
        <v>0</v>
      </c>
      <c r="BN29" t="str">
        <f t="shared" ca="1" si="13"/>
        <v>R</v>
      </c>
      <c r="BO29">
        <f t="shared" ca="1" si="14"/>
        <v>0</v>
      </c>
      <c r="BP29" t="str">
        <f t="shared" ca="1" si="15"/>
        <v/>
      </c>
      <c r="BQ29">
        <f t="shared" ca="1" si="16"/>
        <v>0</v>
      </c>
      <c r="BR29" t="str">
        <f t="shared" ca="1" si="17"/>
        <v/>
      </c>
      <c r="BS29">
        <f t="shared" ca="1" si="18"/>
        <v>0</v>
      </c>
      <c r="BT29" t="str">
        <f t="shared" ca="1" si="19"/>
        <v/>
      </c>
      <c r="BU29">
        <f t="shared" ca="1" si="20"/>
        <v>0</v>
      </c>
      <c r="BV29" t="str">
        <f t="shared" ca="1" si="21"/>
        <v/>
      </c>
      <c r="BW29">
        <f t="shared" ca="1" si="22"/>
        <v>0</v>
      </c>
      <c r="BX29" t="str">
        <f t="shared" ca="1" si="23"/>
        <v>R</v>
      </c>
      <c r="BY29">
        <f t="shared" ca="1" si="24"/>
        <v>0</v>
      </c>
      <c r="BZ29" t="str">
        <f t="shared" ca="1" si="25"/>
        <v/>
      </c>
      <c r="CA29">
        <f t="shared" ca="1" si="26"/>
        <v>0</v>
      </c>
      <c r="CB29" t="str">
        <f t="shared" ca="1" si="27"/>
        <v/>
      </c>
      <c r="CC29">
        <f t="shared" ca="1" si="28"/>
        <v>0</v>
      </c>
    </row>
    <row r="30" spans="2:8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>
        <f t="shared" si="37"/>
        <v>1000</v>
      </c>
      <c r="G30" s="56"/>
      <c r="H30" s="56"/>
      <c r="I30" s="56"/>
      <c r="J30" s="56">
        <f t="shared" si="38"/>
        <v>1000</v>
      </c>
      <c r="K30" s="56"/>
      <c r="L30" s="56"/>
      <c r="M30" s="56"/>
      <c r="N30" s="56">
        <f t="shared" si="39"/>
        <v>1000</v>
      </c>
      <c r="O30" s="56"/>
      <c r="P30" s="56"/>
      <c r="Q30" s="56"/>
      <c r="R30" s="56">
        <f t="shared" si="40"/>
        <v>1000</v>
      </c>
      <c r="S30" s="56"/>
      <c r="T30" s="56"/>
      <c r="U30" s="56"/>
      <c r="V30" s="57">
        <f t="shared" si="29"/>
        <v>1000</v>
      </c>
      <c r="W30" s="56"/>
      <c r="X30" s="56"/>
      <c r="Y30" s="56"/>
      <c r="Z30" s="57">
        <f t="shared" si="30"/>
        <v>1000</v>
      </c>
      <c r="AA30" s="56"/>
      <c r="AB30" s="56"/>
      <c r="AC30" s="56"/>
      <c r="AD30" s="57">
        <f t="shared" si="31"/>
        <v>1000</v>
      </c>
      <c r="AE30" s="56"/>
      <c r="AF30" s="56"/>
      <c r="AG30" s="56"/>
      <c r="AH30" s="57">
        <f t="shared" si="32"/>
        <v>1000</v>
      </c>
      <c r="AI30" s="56"/>
      <c r="AJ30" s="56"/>
      <c r="AK30" s="56"/>
      <c r="AL30" s="49">
        <f t="shared" si="33"/>
        <v>1000</v>
      </c>
      <c r="AM30" s="56"/>
      <c r="AN30" s="56"/>
      <c r="AO30" s="56"/>
      <c r="AP30" s="57">
        <v>1000</v>
      </c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>
        <f t="shared" si="3"/>
        <v>10000</v>
      </c>
      <c r="BC30" s="56">
        <f t="shared" si="4"/>
        <v>0</v>
      </c>
      <c r="BE30">
        <f ca="1">'Monthly Collection-2025'!CC30</f>
        <v>0</v>
      </c>
      <c r="BF30" t="str">
        <f t="shared" ca="1" si="5"/>
        <v/>
      </c>
      <c r="BG30">
        <f t="shared" ca="1" si="6"/>
        <v>0</v>
      </c>
      <c r="BH30" t="str">
        <f t="shared" ca="1" si="7"/>
        <v/>
      </c>
      <c r="BI30">
        <f t="shared" ca="1" si="8"/>
        <v>0</v>
      </c>
      <c r="BJ30" t="str">
        <f t="shared" ca="1" si="9"/>
        <v/>
      </c>
      <c r="BK30">
        <f t="shared" ca="1" si="10"/>
        <v>0</v>
      </c>
      <c r="BL30" t="str">
        <f t="shared" ca="1" si="11"/>
        <v/>
      </c>
      <c r="BM30">
        <f t="shared" ca="1" si="12"/>
        <v>0</v>
      </c>
      <c r="BN30" t="str">
        <f t="shared" ca="1" si="13"/>
        <v/>
      </c>
      <c r="BO30">
        <f t="shared" ca="1" si="14"/>
        <v>0</v>
      </c>
      <c r="BP30" t="str">
        <f t="shared" ca="1" si="15"/>
        <v/>
      </c>
      <c r="BQ30">
        <f t="shared" ca="1" si="16"/>
        <v>0</v>
      </c>
      <c r="BR30" t="str">
        <f t="shared" ca="1" si="17"/>
        <v/>
      </c>
      <c r="BS30">
        <f t="shared" ca="1" si="18"/>
        <v>0</v>
      </c>
      <c r="BT30" t="str">
        <f t="shared" ca="1" si="19"/>
        <v/>
      </c>
      <c r="BU30">
        <f t="shared" ca="1" si="20"/>
        <v>0</v>
      </c>
      <c r="BV30" t="str">
        <f t="shared" ca="1" si="21"/>
        <v/>
      </c>
      <c r="BW30">
        <f t="shared" ca="1" si="22"/>
        <v>0</v>
      </c>
      <c r="BX30" t="str">
        <f t="shared" ca="1" si="23"/>
        <v/>
      </c>
      <c r="BY30">
        <f t="shared" ca="1" si="24"/>
        <v>0</v>
      </c>
      <c r="BZ30" t="str">
        <f t="shared" ca="1" si="25"/>
        <v/>
      </c>
      <c r="CA30">
        <f t="shared" ca="1" si="26"/>
        <v>0</v>
      </c>
      <c r="CB30" t="str">
        <f t="shared" ca="1" si="27"/>
        <v/>
      </c>
      <c r="CC30">
        <f t="shared" ca="1" si="28"/>
        <v>0</v>
      </c>
    </row>
    <row r="31" spans="2:8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>
        <f t="shared" si="37"/>
        <v>1000</v>
      </c>
      <c r="G31" s="52"/>
      <c r="H31" s="52"/>
      <c r="I31" s="52"/>
      <c r="J31" s="52">
        <f t="shared" si="38"/>
        <v>1000</v>
      </c>
      <c r="K31" s="52"/>
      <c r="L31" s="52"/>
      <c r="M31" s="52"/>
      <c r="N31" s="52">
        <f t="shared" si="39"/>
        <v>1000</v>
      </c>
      <c r="O31" s="52"/>
      <c r="P31" s="52"/>
      <c r="Q31" s="52"/>
      <c r="R31" s="52">
        <f t="shared" si="40"/>
        <v>1000</v>
      </c>
      <c r="S31" s="52"/>
      <c r="T31" s="52"/>
      <c r="U31" s="52"/>
      <c r="V31" s="53">
        <f t="shared" si="29"/>
        <v>1000</v>
      </c>
      <c r="W31" s="52"/>
      <c r="X31" s="52"/>
      <c r="Y31" s="52"/>
      <c r="Z31" s="53">
        <f t="shared" si="30"/>
        <v>1000</v>
      </c>
      <c r="AA31" s="52"/>
      <c r="AB31" s="52"/>
      <c r="AC31" s="52"/>
      <c r="AD31" s="53">
        <f t="shared" si="31"/>
        <v>1000</v>
      </c>
      <c r="AE31" s="52"/>
      <c r="AF31" s="52"/>
      <c r="AG31" s="52"/>
      <c r="AH31" s="53">
        <f t="shared" si="32"/>
        <v>1000</v>
      </c>
      <c r="AI31" s="52"/>
      <c r="AJ31" s="52"/>
      <c r="AK31" s="52"/>
      <c r="AL31" s="49">
        <f t="shared" si="33"/>
        <v>1000</v>
      </c>
      <c r="AM31" s="52"/>
      <c r="AN31" s="52"/>
      <c r="AO31" s="52"/>
      <c r="AP31" s="53">
        <v>1000</v>
      </c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>
        <f t="shared" si="3"/>
        <v>10000</v>
      </c>
      <c r="BC31" s="52">
        <f t="shared" si="4"/>
        <v>0</v>
      </c>
      <c r="BE31">
        <f ca="1">'Monthly Collection-2025'!CC31</f>
        <v>0</v>
      </c>
      <c r="BF31" t="str">
        <f t="shared" ca="1" si="5"/>
        <v/>
      </c>
      <c r="BG31">
        <f t="shared" ca="1" si="6"/>
        <v>0</v>
      </c>
      <c r="BH31" t="str">
        <f t="shared" ca="1" si="7"/>
        <v/>
      </c>
      <c r="BI31">
        <f t="shared" ca="1" si="8"/>
        <v>0</v>
      </c>
      <c r="BJ31" t="str">
        <f t="shared" ca="1" si="9"/>
        <v/>
      </c>
      <c r="BK31">
        <f t="shared" ca="1" si="10"/>
        <v>0</v>
      </c>
      <c r="BL31" t="str">
        <f t="shared" ca="1" si="11"/>
        <v/>
      </c>
      <c r="BM31">
        <f t="shared" ca="1" si="12"/>
        <v>0</v>
      </c>
      <c r="BN31" t="str">
        <f t="shared" ca="1" si="13"/>
        <v/>
      </c>
      <c r="BO31">
        <f t="shared" ca="1" si="14"/>
        <v>0</v>
      </c>
      <c r="BP31" t="str">
        <f t="shared" ca="1" si="15"/>
        <v/>
      </c>
      <c r="BQ31">
        <f t="shared" ca="1" si="16"/>
        <v>0</v>
      </c>
      <c r="BR31" t="str">
        <f t="shared" ca="1" si="17"/>
        <v/>
      </c>
      <c r="BS31">
        <f t="shared" ca="1" si="18"/>
        <v>0</v>
      </c>
      <c r="BT31" t="str">
        <f t="shared" ca="1" si="19"/>
        <v/>
      </c>
      <c r="BU31">
        <f t="shared" ca="1" si="20"/>
        <v>0</v>
      </c>
      <c r="BV31" t="str">
        <f t="shared" ca="1" si="21"/>
        <v/>
      </c>
      <c r="BW31">
        <f t="shared" ca="1" si="22"/>
        <v>0</v>
      </c>
      <c r="BX31" t="str">
        <f t="shared" ca="1" si="23"/>
        <v/>
      </c>
      <c r="BY31">
        <f t="shared" ca="1" si="24"/>
        <v>0</v>
      </c>
      <c r="BZ31" t="str">
        <f t="shared" ca="1" si="25"/>
        <v/>
      </c>
      <c r="CA31">
        <f t="shared" ca="1" si="26"/>
        <v>0</v>
      </c>
      <c r="CB31" t="str">
        <f t="shared" ca="1" si="27"/>
        <v/>
      </c>
      <c r="CC31">
        <f t="shared" ca="1" si="28"/>
        <v>0</v>
      </c>
    </row>
    <row r="32" spans="2:8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>
        <f t="shared" si="37"/>
        <v>1000</v>
      </c>
      <c r="G32" s="56"/>
      <c r="H32" s="56"/>
      <c r="I32" s="56"/>
      <c r="J32" s="56">
        <f t="shared" si="38"/>
        <v>1000</v>
      </c>
      <c r="K32" s="56"/>
      <c r="L32" s="56"/>
      <c r="M32" s="56"/>
      <c r="N32" s="56">
        <f t="shared" si="39"/>
        <v>1000</v>
      </c>
      <c r="O32" s="56"/>
      <c r="P32" s="56"/>
      <c r="Q32" s="56"/>
      <c r="R32" s="56">
        <f t="shared" si="40"/>
        <v>1000</v>
      </c>
      <c r="S32" s="56"/>
      <c r="T32" s="56"/>
      <c r="U32" s="56"/>
      <c r="V32" s="57">
        <f t="shared" si="29"/>
        <v>1000</v>
      </c>
      <c r="W32" s="56"/>
      <c r="X32" s="56"/>
      <c r="Y32" s="56"/>
      <c r="Z32" s="57">
        <f t="shared" si="30"/>
        <v>1000</v>
      </c>
      <c r="AA32" s="56"/>
      <c r="AB32" s="56"/>
      <c r="AC32" s="56"/>
      <c r="AD32" s="57">
        <f t="shared" si="31"/>
        <v>1000</v>
      </c>
      <c r="AE32" s="56"/>
      <c r="AF32" s="56"/>
      <c r="AG32" s="56"/>
      <c r="AH32" s="57">
        <f t="shared" si="32"/>
        <v>1000</v>
      </c>
      <c r="AI32" s="56"/>
      <c r="AJ32" s="56"/>
      <c r="AK32" s="56"/>
      <c r="AL32" s="49">
        <f t="shared" si="33"/>
        <v>1000</v>
      </c>
      <c r="AM32" s="56"/>
      <c r="AN32" s="56"/>
      <c r="AO32" s="56"/>
      <c r="AP32" s="57">
        <v>1000</v>
      </c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>
        <f t="shared" si="3"/>
        <v>10000</v>
      </c>
      <c r="BC32" s="56">
        <f t="shared" si="4"/>
        <v>0</v>
      </c>
      <c r="BE32">
        <f ca="1">'Monthly Collection-2025'!CC32</f>
        <v>0</v>
      </c>
      <c r="BF32" t="str">
        <f t="shared" ca="1" si="5"/>
        <v/>
      </c>
      <c r="BG32">
        <f t="shared" ca="1" si="6"/>
        <v>0</v>
      </c>
      <c r="BH32" t="str">
        <f t="shared" ca="1" si="7"/>
        <v/>
      </c>
      <c r="BI32">
        <f t="shared" ca="1" si="8"/>
        <v>0</v>
      </c>
      <c r="BJ32" t="str">
        <f t="shared" ca="1" si="9"/>
        <v/>
      </c>
      <c r="BK32">
        <f t="shared" ca="1" si="10"/>
        <v>0</v>
      </c>
      <c r="BL32" t="str">
        <f t="shared" ca="1" si="11"/>
        <v/>
      </c>
      <c r="BM32">
        <f t="shared" ca="1" si="12"/>
        <v>0</v>
      </c>
      <c r="BN32" t="str">
        <f t="shared" ca="1" si="13"/>
        <v/>
      </c>
      <c r="BO32">
        <f t="shared" ca="1" si="14"/>
        <v>0</v>
      </c>
      <c r="BP32" t="str">
        <f t="shared" ca="1" si="15"/>
        <v/>
      </c>
      <c r="BQ32">
        <f t="shared" ca="1" si="16"/>
        <v>0</v>
      </c>
      <c r="BR32" t="str">
        <f t="shared" ca="1" si="17"/>
        <v/>
      </c>
      <c r="BS32">
        <f t="shared" ca="1" si="18"/>
        <v>0</v>
      </c>
      <c r="BT32" t="str">
        <f t="shared" ca="1" si="19"/>
        <v/>
      </c>
      <c r="BU32">
        <f t="shared" ca="1" si="20"/>
        <v>0</v>
      </c>
      <c r="BV32" t="str">
        <f t="shared" ca="1" si="21"/>
        <v/>
      </c>
      <c r="BW32">
        <f t="shared" ca="1" si="22"/>
        <v>0</v>
      </c>
      <c r="BX32" t="str">
        <f t="shared" ca="1" si="23"/>
        <v/>
      </c>
      <c r="BY32">
        <f t="shared" ca="1" si="24"/>
        <v>0</v>
      </c>
      <c r="BZ32" t="str">
        <f t="shared" ca="1" si="25"/>
        <v/>
      </c>
      <c r="CA32">
        <f t="shared" ca="1" si="26"/>
        <v>0</v>
      </c>
      <c r="CB32" t="str">
        <f t="shared" ca="1" si="27"/>
        <v/>
      </c>
      <c r="CC32">
        <f t="shared" ca="1" si="28"/>
        <v>0</v>
      </c>
    </row>
    <row r="33" spans="2:8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>
        <f t="shared" si="37"/>
        <v>2000</v>
      </c>
      <c r="G33" s="52"/>
      <c r="H33" s="52"/>
      <c r="I33" s="52"/>
      <c r="J33" s="52">
        <f t="shared" si="38"/>
        <v>2000</v>
      </c>
      <c r="K33" s="52"/>
      <c r="L33" s="52"/>
      <c r="M33" s="52"/>
      <c r="N33" s="52">
        <f t="shared" si="39"/>
        <v>2000</v>
      </c>
      <c r="O33" s="52"/>
      <c r="P33" s="52"/>
      <c r="Q33" s="52"/>
      <c r="R33" s="52">
        <f t="shared" si="40"/>
        <v>2000</v>
      </c>
      <c r="S33" s="52"/>
      <c r="T33" s="52"/>
      <c r="U33" s="52"/>
      <c r="V33" s="53">
        <f t="shared" si="29"/>
        <v>2000</v>
      </c>
      <c r="W33" s="52"/>
      <c r="X33" s="52"/>
      <c r="Y33" s="52"/>
      <c r="Z33" s="53">
        <f t="shared" si="30"/>
        <v>2000</v>
      </c>
      <c r="AA33" s="52"/>
      <c r="AB33" s="52"/>
      <c r="AC33" s="52"/>
      <c r="AD33" s="53">
        <f t="shared" si="31"/>
        <v>2000</v>
      </c>
      <c r="AE33" s="52"/>
      <c r="AF33" s="52"/>
      <c r="AG33" s="52"/>
      <c r="AH33" s="53">
        <f t="shared" si="32"/>
        <v>2000</v>
      </c>
      <c r="AI33" s="52"/>
      <c r="AJ33" s="52"/>
      <c r="AK33" s="52"/>
      <c r="AL33" s="49">
        <f t="shared" si="33"/>
        <v>2000</v>
      </c>
      <c r="AM33" s="52"/>
      <c r="AN33" s="52"/>
      <c r="AO33" s="52"/>
      <c r="AP33" s="53">
        <v>2000</v>
      </c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>
        <f t="shared" si="3"/>
        <v>20000</v>
      </c>
      <c r="BC33" s="52">
        <f t="shared" si="4"/>
        <v>0</v>
      </c>
      <c r="BE33">
        <f ca="1">'Monthly Collection-2025'!CC33</f>
        <v>0</v>
      </c>
      <c r="BF33" t="str">
        <f t="shared" ca="1" si="5"/>
        <v/>
      </c>
      <c r="BG33">
        <f t="shared" ca="1" si="6"/>
        <v>0</v>
      </c>
      <c r="BH33" t="str">
        <f t="shared" ca="1" si="7"/>
        <v/>
      </c>
      <c r="BI33">
        <f t="shared" ca="1" si="8"/>
        <v>0</v>
      </c>
      <c r="BJ33" t="str">
        <f t="shared" ca="1" si="9"/>
        <v/>
      </c>
      <c r="BK33">
        <f t="shared" ca="1" si="10"/>
        <v>0</v>
      </c>
      <c r="BL33" t="str">
        <f t="shared" ca="1" si="11"/>
        <v/>
      </c>
      <c r="BM33">
        <f t="shared" ca="1" si="12"/>
        <v>0</v>
      </c>
      <c r="BN33" t="str">
        <f t="shared" ca="1" si="13"/>
        <v/>
      </c>
      <c r="BO33">
        <f t="shared" ca="1" si="14"/>
        <v>0</v>
      </c>
      <c r="BP33" t="str">
        <f t="shared" ca="1" si="15"/>
        <v/>
      </c>
      <c r="BQ33">
        <f t="shared" ca="1" si="16"/>
        <v>0</v>
      </c>
      <c r="BR33" t="str">
        <f t="shared" ca="1" si="17"/>
        <v/>
      </c>
      <c r="BS33">
        <f t="shared" ca="1" si="18"/>
        <v>0</v>
      </c>
      <c r="BT33" t="str">
        <f t="shared" ca="1" si="19"/>
        <v/>
      </c>
      <c r="BU33">
        <f t="shared" ca="1" si="20"/>
        <v>0</v>
      </c>
      <c r="BV33" t="str">
        <f t="shared" ca="1" si="21"/>
        <v/>
      </c>
      <c r="BW33">
        <f t="shared" ca="1" si="22"/>
        <v>0</v>
      </c>
      <c r="BX33" t="str">
        <f t="shared" ca="1" si="23"/>
        <v/>
      </c>
      <c r="BY33">
        <f t="shared" ca="1" si="24"/>
        <v>0</v>
      </c>
      <c r="BZ33" t="str">
        <f t="shared" ca="1" si="25"/>
        <v/>
      </c>
      <c r="CA33">
        <f t="shared" ca="1" si="26"/>
        <v>0</v>
      </c>
      <c r="CB33" t="str">
        <f t="shared" ca="1" si="27"/>
        <v/>
      </c>
      <c r="CC33">
        <f t="shared" ca="1" si="28"/>
        <v>0</v>
      </c>
    </row>
    <row r="34" spans="2:8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>
        <f t="shared" si="37"/>
        <v>2000</v>
      </c>
      <c r="G34" s="56"/>
      <c r="H34" s="56"/>
      <c r="I34" s="56"/>
      <c r="J34" s="56">
        <f t="shared" si="38"/>
        <v>2000</v>
      </c>
      <c r="K34" s="56"/>
      <c r="L34" s="56"/>
      <c r="M34" s="56"/>
      <c r="N34" s="56">
        <f t="shared" si="39"/>
        <v>2000</v>
      </c>
      <c r="O34" s="56"/>
      <c r="P34" s="56"/>
      <c r="Q34" s="56"/>
      <c r="R34" s="56">
        <f t="shared" si="40"/>
        <v>2000</v>
      </c>
      <c r="S34" s="56"/>
      <c r="T34" s="56"/>
      <c r="U34" s="56"/>
      <c r="V34" s="57">
        <f t="shared" si="29"/>
        <v>2000</v>
      </c>
      <c r="W34" s="56"/>
      <c r="X34" s="56"/>
      <c r="Y34" s="56"/>
      <c r="Z34" s="57">
        <f t="shared" si="30"/>
        <v>2000</v>
      </c>
      <c r="AA34" s="56"/>
      <c r="AB34" s="56"/>
      <c r="AC34" s="56"/>
      <c r="AD34" s="57">
        <f t="shared" si="31"/>
        <v>2000</v>
      </c>
      <c r="AE34" s="56"/>
      <c r="AF34" s="56"/>
      <c r="AG34" s="56"/>
      <c r="AH34" s="57">
        <f t="shared" si="32"/>
        <v>2000</v>
      </c>
      <c r="AI34" s="56"/>
      <c r="AJ34" s="56"/>
      <c r="AK34" s="56"/>
      <c r="AL34" s="49">
        <f t="shared" si="33"/>
        <v>2000</v>
      </c>
      <c r="AM34" s="56"/>
      <c r="AN34" s="56"/>
      <c r="AO34" s="56"/>
      <c r="AP34" s="57">
        <v>2000</v>
      </c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>
        <f t="shared" si="3"/>
        <v>20000</v>
      </c>
      <c r="BC34" s="56">
        <f t="shared" si="4"/>
        <v>0</v>
      </c>
      <c r="BE34">
        <f ca="1">'Monthly Collection-2025'!CC34</f>
        <v>0</v>
      </c>
      <c r="BF34" t="str">
        <f t="shared" ca="1" si="5"/>
        <v/>
      </c>
      <c r="BG34">
        <f t="shared" ca="1" si="6"/>
        <v>0</v>
      </c>
      <c r="BH34" t="str">
        <f t="shared" ca="1" si="7"/>
        <v/>
      </c>
      <c r="BI34">
        <f t="shared" ca="1" si="8"/>
        <v>0</v>
      </c>
      <c r="BJ34" t="str">
        <f t="shared" ca="1" si="9"/>
        <v/>
      </c>
      <c r="BK34">
        <f t="shared" ca="1" si="10"/>
        <v>0</v>
      </c>
      <c r="BL34" t="str">
        <f t="shared" ca="1" si="11"/>
        <v/>
      </c>
      <c r="BM34">
        <f t="shared" ca="1" si="12"/>
        <v>0</v>
      </c>
      <c r="BN34" t="str">
        <f t="shared" ca="1" si="13"/>
        <v/>
      </c>
      <c r="BO34">
        <f t="shared" ca="1" si="14"/>
        <v>0</v>
      </c>
      <c r="BP34" t="str">
        <f t="shared" ca="1" si="15"/>
        <v/>
      </c>
      <c r="BQ34">
        <f t="shared" ca="1" si="16"/>
        <v>0</v>
      </c>
      <c r="BR34" t="str">
        <f t="shared" ca="1" si="17"/>
        <v/>
      </c>
      <c r="BS34">
        <f t="shared" ca="1" si="18"/>
        <v>0</v>
      </c>
      <c r="BT34" t="str">
        <f t="shared" ca="1" si="19"/>
        <v/>
      </c>
      <c r="BU34">
        <f t="shared" ca="1" si="20"/>
        <v>0</v>
      </c>
      <c r="BV34" t="str">
        <f t="shared" ca="1" si="21"/>
        <v/>
      </c>
      <c r="BW34">
        <f t="shared" ca="1" si="22"/>
        <v>0</v>
      </c>
      <c r="BX34" t="str">
        <f t="shared" ca="1" si="23"/>
        <v/>
      </c>
      <c r="BY34">
        <f t="shared" ca="1" si="24"/>
        <v>0</v>
      </c>
      <c r="BZ34" t="str">
        <f t="shared" ca="1" si="25"/>
        <v/>
      </c>
      <c r="CA34">
        <f t="shared" ca="1" si="26"/>
        <v>0</v>
      </c>
      <c r="CB34" t="str">
        <f t="shared" ca="1" si="27"/>
        <v/>
      </c>
      <c r="CC34">
        <f t="shared" ca="1" si="28"/>
        <v>0</v>
      </c>
    </row>
    <row r="35" spans="2:8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52">
        <f t="shared" si="37"/>
        <v>2000</v>
      </c>
      <c r="G35" s="52"/>
      <c r="H35" s="52"/>
      <c r="I35" s="52"/>
      <c r="J35" s="52">
        <f t="shared" si="38"/>
        <v>2000</v>
      </c>
      <c r="K35" s="52"/>
      <c r="L35" s="52"/>
      <c r="M35" s="52"/>
      <c r="N35" s="52">
        <f t="shared" si="39"/>
        <v>2000</v>
      </c>
      <c r="O35" s="52"/>
      <c r="P35" s="52"/>
      <c r="Q35" s="52"/>
      <c r="R35" s="52">
        <f t="shared" si="40"/>
        <v>2000</v>
      </c>
      <c r="S35" s="52"/>
      <c r="T35" s="52"/>
      <c r="U35" s="52"/>
      <c r="V35" s="53">
        <f t="shared" si="29"/>
        <v>2000</v>
      </c>
      <c r="W35" s="52"/>
      <c r="X35" s="52"/>
      <c r="Y35" s="52"/>
      <c r="Z35" s="53">
        <f t="shared" si="30"/>
        <v>2000</v>
      </c>
      <c r="AA35" s="52"/>
      <c r="AB35" s="52"/>
      <c r="AC35" s="52"/>
      <c r="AD35" s="53">
        <f t="shared" si="31"/>
        <v>2000</v>
      </c>
      <c r="AE35" s="52"/>
      <c r="AF35" s="52"/>
      <c r="AG35" s="52"/>
      <c r="AH35" s="53">
        <f t="shared" si="32"/>
        <v>2000</v>
      </c>
      <c r="AI35" s="52"/>
      <c r="AJ35" s="52"/>
      <c r="AK35" s="52"/>
      <c r="AL35" s="49">
        <f t="shared" si="33"/>
        <v>2000</v>
      </c>
      <c r="AM35" s="52"/>
      <c r="AN35" s="52"/>
      <c r="AO35" s="52"/>
      <c r="AP35" s="53">
        <v>2000</v>
      </c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>
        <f t="shared" si="3"/>
        <v>20000</v>
      </c>
      <c r="BC35" s="52">
        <f t="shared" si="4"/>
        <v>0</v>
      </c>
      <c r="BE35">
        <f ca="1">'Monthly Collection-2025'!CC35</f>
        <v>0</v>
      </c>
      <c r="BF35" t="str">
        <f t="shared" ca="1" si="5"/>
        <v/>
      </c>
      <c r="BG35">
        <f t="shared" ca="1" si="6"/>
        <v>0</v>
      </c>
      <c r="BH35" t="str">
        <f t="shared" ca="1" si="7"/>
        <v/>
      </c>
      <c r="BI35">
        <f t="shared" ca="1" si="8"/>
        <v>0</v>
      </c>
      <c r="BJ35" t="str">
        <f t="shared" ca="1" si="9"/>
        <v/>
      </c>
      <c r="BK35">
        <f t="shared" ca="1" si="10"/>
        <v>0</v>
      </c>
      <c r="BL35" t="str">
        <f t="shared" ca="1" si="11"/>
        <v/>
      </c>
      <c r="BM35">
        <f t="shared" ca="1" si="12"/>
        <v>0</v>
      </c>
      <c r="BN35" t="str">
        <f t="shared" ca="1" si="13"/>
        <v/>
      </c>
      <c r="BO35">
        <f t="shared" ca="1" si="14"/>
        <v>0</v>
      </c>
      <c r="BP35" t="str">
        <f t="shared" ca="1" si="15"/>
        <v/>
      </c>
      <c r="BQ35">
        <f t="shared" ca="1" si="16"/>
        <v>0</v>
      </c>
      <c r="BR35" t="str">
        <f t="shared" ca="1" si="17"/>
        <v/>
      </c>
      <c r="BS35">
        <f t="shared" ca="1" si="18"/>
        <v>0</v>
      </c>
      <c r="BT35" t="str">
        <f t="shared" ca="1" si="19"/>
        <v/>
      </c>
      <c r="BU35">
        <f t="shared" ca="1" si="20"/>
        <v>0</v>
      </c>
      <c r="BV35" t="str">
        <f t="shared" ca="1" si="21"/>
        <v/>
      </c>
      <c r="BW35">
        <f t="shared" ca="1" si="22"/>
        <v>0</v>
      </c>
      <c r="BX35" t="str">
        <f t="shared" ca="1" si="23"/>
        <v/>
      </c>
      <c r="BY35">
        <f t="shared" ca="1" si="24"/>
        <v>0</v>
      </c>
      <c r="BZ35" t="str">
        <f t="shared" ca="1" si="25"/>
        <v/>
      </c>
      <c r="CA35">
        <f t="shared" ca="1" si="26"/>
        <v>0</v>
      </c>
      <c r="CB35" t="str">
        <f t="shared" ca="1" si="27"/>
        <v/>
      </c>
      <c r="CC35">
        <f t="shared" ca="1" si="28"/>
        <v>0</v>
      </c>
    </row>
    <row r="36" spans="2:81" ht="14.25" customHeight="1" x14ac:dyDescent="0.3">
      <c r="B36" s="55">
        <f t="shared" ref="B36:B67" si="41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>
        <f t="shared" si="37"/>
        <v>1000</v>
      </c>
      <c r="G36" s="56"/>
      <c r="H36" s="56"/>
      <c r="I36" s="56"/>
      <c r="J36" s="56">
        <f t="shared" si="38"/>
        <v>1000</v>
      </c>
      <c r="K36" s="56"/>
      <c r="L36" s="56"/>
      <c r="M36" s="56"/>
      <c r="N36" s="56">
        <f t="shared" si="39"/>
        <v>1000</v>
      </c>
      <c r="O36" s="56"/>
      <c r="P36" s="56"/>
      <c r="Q36" s="56"/>
      <c r="R36" s="241"/>
      <c r="S36" s="56"/>
      <c r="T36" s="56"/>
      <c r="U36" s="56"/>
      <c r="V36" s="57">
        <f t="shared" si="29"/>
        <v>1000</v>
      </c>
      <c r="W36" s="56"/>
      <c r="X36" s="56">
        <v>1000</v>
      </c>
      <c r="Y36" s="56">
        <v>50</v>
      </c>
      <c r="Z36" s="245"/>
      <c r="AA36" s="56"/>
      <c r="AB36" s="56"/>
      <c r="AC36" s="56"/>
      <c r="AD36" s="57">
        <f t="shared" si="31"/>
        <v>1000</v>
      </c>
      <c r="AE36" s="56"/>
      <c r="AF36" s="56">
        <v>1000</v>
      </c>
      <c r="AG36" s="56">
        <v>50</v>
      </c>
      <c r="AH36" s="57">
        <f t="shared" si="32"/>
        <v>1000</v>
      </c>
      <c r="AI36" s="56"/>
      <c r="AJ36" s="56"/>
      <c r="AK36" s="56"/>
      <c r="AL36" s="250"/>
      <c r="AM36" s="56"/>
      <c r="AN36" s="56"/>
      <c r="AO36" s="56"/>
      <c r="AP36" s="245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>
        <f t="shared" ref="BB36:BB67" si="42">F36+G36+H36+J36+K36+L36+N36+O36+P36+R36+S36+T36+V36+W36+X36+Z36+AA36+AB36+AD36+AE36+AF36+AH36+AI36+AJ36+AL36+AM36+AN36+AP36+AQ36+AR36+AT36+AU36+AV36+AX36+AY36+AZ36</f>
        <v>8000</v>
      </c>
      <c r="BC36" s="56">
        <f t="shared" ref="BC36:BC67" si="43">I36+M36+Q36+U36+Y36+AC36+AG36+AK36+AO36+AS36+AW36+BA36</f>
        <v>100</v>
      </c>
      <c r="BE36">
        <f ca="1">'Monthly Collection-2025'!CC36</f>
        <v>0</v>
      </c>
      <c r="BF36" t="str">
        <f t="shared" ref="BF36:BF67" ca="1" si="44">IF(N(F36)&gt;=$E36*1000,"",IF(AND($E36&gt;0,BE36&gt;=$E36*1000),"G",IF(F$2&lt;=TODAY(),"R","")))</f>
        <v/>
      </c>
      <c r="BG36">
        <f t="shared" ref="BG36:BG67" ca="1" si="45">BE36-IF(BF36="G",$E36*1000,0)+N(G36)</f>
        <v>0</v>
      </c>
      <c r="BH36" t="str">
        <f t="shared" ref="BH36:BH67" ca="1" si="46">IF(N(J36)&gt;=$E36*1000,"",IF(AND($E36&gt;0,BG36&gt;=$E36*1000),"G",IF(J$2&lt;=TODAY(),"R","")))</f>
        <v/>
      </c>
      <c r="BI36">
        <f t="shared" ref="BI36:BI67" ca="1" si="47">BG36-IF(BH36="G",$E36*1000,0)+N(K36)</f>
        <v>0</v>
      </c>
      <c r="BJ36" t="str">
        <f t="shared" ref="BJ36:BJ67" ca="1" si="48">IF(N(N36)&gt;=$E36*1000,"",IF(AND($E36&gt;0,BI36&gt;=$E36*1000),"G",IF(N$2&lt;=TODAY(),"R","")))</f>
        <v/>
      </c>
      <c r="BK36">
        <f t="shared" ref="BK36:BK67" ca="1" si="49">BI36-IF(BJ36="G",$E36*1000,0)+N(O36)</f>
        <v>0</v>
      </c>
      <c r="BL36" t="str">
        <f t="shared" ref="BL36:BL67" ca="1" si="50">IF(N(R36)&gt;=$E36*1000,"",IF(AND($E36&gt;0,BK36&gt;=$E36*1000),"G",IF(R$2&lt;=TODAY(),"R","")))</f>
        <v>R</v>
      </c>
      <c r="BM36">
        <f t="shared" ref="BM36:BM67" ca="1" si="51">BK36-IF(BL36="G",$E36*1000,0)+N(S36)</f>
        <v>0</v>
      </c>
      <c r="BN36" t="str">
        <f t="shared" ref="BN36:BN67" ca="1" si="52">IF(N(V36)&gt;=$E36*1000,"",IF(AND($E36&gt;0,BM36&gt;=$E36*1000),"G",IF(V$2&lt;=TODAY(),"R","")))</f>
        <v/>
      </c>
      <c r="BO36">
        <f t="shared" ref="BO36:BO67" ca="1" si="53">BM36-IF(BN36="G",$E36*1000,0)+N(W36)</f>
        <v>0</v>
      </c>
      <c r="BP36" t="str">
        <f t="shared" ref="BP36:BP67" ca="1" si="54">IF(N(Z36)&gt;=$E36*1000,"",IF(AND($E36&gt;0,BO36&gt;=$E36*1000),"G",IF(Z$2&lt;=TODAY(),"R","")))</f>
        <v>R</v>
      </c>
      <c r="BQ36">
        <f t="shared" ref="BQ36:BQ67" ca="1" si="55">BO36-IF(BP36="G",$E36*1000,0)+N(AA36)</f>
        <v>0</v>
      </c>
      <c r="BR36" t="str">
        <f t="shared" ref="BR36:BR67" ca="1" si="56">IF(N(AD36)&gt;=$E36*1000,"",IF(AND($E36&gt;0,BQ36&gt;=$E36*1000),"G",IF(AD$2&lt;=TODAY(),"R","")))</f>
        <v/>
      </c>
      <c r="BS36">
        <f t="shared" ref="BS36:BS67" ca="1" si="57">BQ36-IF(BR36="G",$E36*1000,0)+N(AE36)</f>
        <v>0</v>
      </c>
      <c r="BT36" t="str">
        <f t="shared" ref="BT36:BT67" ca="1" si="58">IF(N(AH36)&gt;=$E36*1000,"",IF(AND($E36&gt;0,BS36&gt;=$E36*1000),"G",IF(AH$2&lt;=TODAY(),"R","")))</f>
        <v/>
      </c>
      <c r="BU36">
        <f t="shared" ref="BU36:BU67" ca="1" si="59">BS36-IF(BT36="G",$E36*1000,0)+N(AI36)</f>
        <v>0</v>
      </c>
      <c r="BV36" t="str">
        <f t="shared" ref="BV36:BV67" ca="1" si="60">IF(N(AL36)&gt;=$E36*1000,"",IF(AND($E36&gt;0,BU36&gt;=$E36*1000),"G",IF(AL$2&lt;=TODAY(),"R","")))</f>
        <v>R</v>
      </c>
      <c r="BW36">
        <f t="shared" ref="BW36:BW67" ca="1" si="61">BU36-IF(BV36="G",$E36*1000,0)+N(AM36)</f>
        <v>0</v>
      </c>
      <c r="BX36" t="str">
        <f t="shared" ref="BX36:BX67" ca="1" si="62">IF(N(AP36)&gt;=$E36*1000,"",IF(AND($E36&gt;0,BW36&gt;=$E36*1000),"G",IF(AP$2&lt;=TODAY(),"R","")))</f>
        <v>R</v>
      </c>
      <c r="BY36">
        <f t="shared" ref="BY36:BY67" ca="1" si="63">BW36-IF(BX36="G",$E36*1000,0)+N(AQ36)</f>
        <v>0</v>
      </c>
      <c r="BZ36" t="str">
        <f t="shared" ref="BZ36:BZ67" ca="1" si="64">IF(N(AT36)&gt;=$E36*1000,"",IF(AND($E36&gt;0,BY36&gt;=$E36*1000),"G",IF(AT$2&lt;=TODAY(),"R","")))</f>
        <v/>
      </c>
      <c r="CA36">
        <f t="shared" ref="CA36:CA67" ca="1" si="65">BY36-IF(BZ36="G",$E36*1000,0)+N(AU36)</f>
        <v>0</v>
      </c>
      <c r="CB36" t="str">
        <f t="shared" ref="CB36:CB67" ca="1" si="66">IF(N(AX36)&gt;=$E36*1000,"",IF(AND($E36&gt;0,CA36&gt;=$E36*1000),"G",IF(AX$2&lt;=TODAY(),"R","")))</f>
        <v/>
      </c>
      <c r="CC36">
        <f t="shared" ref="CC36:CC67" ca="1" si="67">CA36-IF(CB36="G",$E36*1000,0)+N(AY36)</f>
        <v>0</v>
      </c>
    </row>
    <row r="37" spans="2:81" ht="14.25" customHeight="1" x14ac:dyDescent="0.3">
      <c r="B37" s="51">
        <f t="shared" si="41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>
        <f t="shared" si="37"/>
        <v>1000</v>
      </c>
      <c r="G37" s="52"/>
      <c r="H37" s="52"/>
      <c r="I37" s="52"/>
      <c r="J37" s="52">
        <f t="shared" si="38"/>
        <v>1000</v>
      </c>
      <c r="K37" s="52"/>
      <c r="L37" s="52"/>
      <c r="M37" s="52"/>
      <c r="N37" s="52">
        <f t="shared" si="39"/>
        <v>1000</v>
      </c>
      <c r="O37" s="52"/>
      <c r="P37" s="52"/>
      <c r="Q37" s="52"/>
      <c r="R37" s="52">
        <f>E37*1000</f>
        <v>1000</v>
      </c>
      <c r="S37" s="52"/>
      <c r="T37" s="52"/>
      <c r="U37" s="52"/>
      <c r="V37" s="53">
        <f t="shared" si="29"/>
        <v>1000</v>
      </c>
      <c r="W37" s="52"/>
      <c r="X37" s="52"/>
      <c r="Y37" s="52"/>
      <c r="Z37" s="53">
        <f t="shared" si="30"/>
        <v>1000</v>
      </c>
      <c r="AA37" s="52"/>
      <c r="AB37" s="52"/>
      <c r="AC37" s="52"/>
      <c r="AD37" s="53">
        <f t="shared" si="31"/>
        <v>1000</v>
      </c>
      <c r="AE37" s="52"/>
      <c r="AF37" s="52"/>
      <c r="AG37" s="52"/>
      <c r="AH37" s="53">
        <f t="shared" si="32"/>
        <v>1000</v>
      </c>
      <c r="AI37" s="52"/>
      <c r="AJ37" s="52"/>
      <c r="AK37" s="52"/>
      <c r="AL37" s="49">
        <f t="shared" si="33"/>
        <v>1000</v>
      </c>
      <c r="AM37" s="52"/>
      <c r="AN37" s="52"/>
      <c r="AO37" s="52"/>
      <c r="AP37" s="53">
        <v>1000</v>
      </c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>
        <f t="shared" si="42"/>
        <v>10000</v>
      </c>
      <c r="BC37" s="52">
        <f t="shared" si="43"/>
        <v>0</v>
      </c>
      <c r="BE37">
        <f ca="1">'Monthly Collection-2025'!CC37</f>
        <v>0</v>
      </c>
      <c r="BF37" t="str">
        <f t="shared" ca="1" si="44"/>
        <v/>
      </c>
      <c r="BG37">
        <f t="shared" ca="1" si="45"/>
        <v>0</v>
      </c>
      <c r="BH37" t="str">
        <f t="shared" ca="1" si="46"/>
        <v/>
      </c>
      <c r="BI37">
        <f t="shared" ca="1" si="47"/>
        <v>0</v>
      </c>
      <c r="BJ37" t="str">
        <f t="shared" ca="1" si="48"/>
        <v/>
      </c>
      <c r="BK37">
        <f t="shared" ca="1" si="49"/>
        <v>0</v>
      </c>
      <c r="BL37" t="str">
        <f t="shared" ca="1" si="50"/>
        <v/>
      </c>
      <c r="BM37">
        <f t="shared" ca="1" si="51"/>
        <v>0</v>
      </c>
      <c r="BN37" t="str">
        <f t="shared" ca="1" si="52"/>
        <v/>
      </c>
      <c r="BO37">
        <f t="shared" ca="1" si="53"/>
        <v>0</v>
      </c>
      <c r="BP37" t="str">
        <f t="shared" ca="1" si="54"/>
        <v/>
      </c>
      <c r="BQ37">
        <f t="shared" ca="1" si="55"/>
        <v>0</v>
      </c>
      <c r="BR37" t="str">
        <f t="shared" ca="1" si="56"/>
        <v/>
      </c>
      <c r="BS37">
        <f t="shared" ca="1" si="57"/>
        <v>0</v>
      </c>
      <c r="BT37" t="str">
        <f t="shared" ca="1" si="58"/>
        <v/>
      </c>
      <c r="BU37">
        <f t="shared" ca="1" si="59"/>
        <v>0</v>
      </c>
      <c r="BV37" t="str">
        <f t="shared" ca="1" si="60"/>
        <v/>
      </c>
      <c r="BW37">
        <f t="shared" ca="1" si="61"/>
        <v>0</v>
      </c>
      <c r="BX37" t="str">
        <f t="shared" ca="1" si="62"/>
        <v/>
      </c>
      <c r="BY37">
        <f t="shared" ca="1" si="63"/>
        <v>0</v>
      </c>
      <c r="BZ37" t="str">
        <f t="shared" ca="1" si="64"/>
        <v/>
      </c>
      <c r="CA37">
        <f t="shared" ca="1" si="65"/>
        <v>0</v>
      </c>
      <c r="CB37" t="str">
        <f t="shared" ca="1" si="66"/>
        <v/>
      </c>
      <c r="CC37">
        <f t="shared" ca="1" si="67"/>
        <v>0</v>
      </c>
    </row>
    <row r="38" spans="2:81" ht="14.25" customHeight="1" x14ac:dyDescent="0.3">
      <c r="B38" s="55">
        <f t="shared" si="41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>
        <f t="shared" si="37"/>
        <v>2000</v>
      </c>
      <c r="G38" s="56"/>
      <c r="H38" s="56"/>
      <c r="I38" s="56"/>
      <c r="J38" s="56">
        <f t="shared" si="38"/>
        <v>2000</v>
      </c>
      <c r="K38" s="56"/>
      <c r="L38" s="56"/>
      <c r="M38" s="56"/>
      <c r="N38" s="56">
        <f t="shared" si="39"/>
        <v>2000</v>
      </c>
      <c r="O38" s="56"/>
      <c r="P38" s="56"/>
      <c r="Q38" s="56"/>
      <c r="R38" s="56">
        <f>E38*1000</f>
        <v>2000</v>
      </c>
      <c r="S38" s="56"/>
      <c r="T38" s="56"/>
      <c r="U38" s="56"/>
      <c r="V38" s="57">
        <f t="shared" si="29"/>
        <v>2000</v>
      </c>
      <c r="W38" s="56"/>
      <c r="X38" s="56"/>
      <c r="Y38" s="56"/>
      <c r="Z38" s="57">
        <f t="shared" si="30"/>
        <v>2000</v>
      </c>
      <c r="AA38" s="56"/>
      <c r="AB38" s="56"/>
      <c r="AC38" s="56"/>
      <c r="AD38" s="57">
        <f t="shared" si="31"/>
        <v>2000</v>
      </c>
      <c r="AE38" s="56"/>
      <c r="AF38" s="56"/>
      <c r="AG38" s="56"/>
      <c r="AH38" s="57">
        <f t="shared" si="32"/>
        <v>2000</v>
      </c>
      <c r="AI38" s="56"/>
      <c r="AJ38" s="56"/>
      <c r="AK38" s="56"/>
      <c r="AL38" s="49">
        <f t="shared" si="33"/>
        <v>2000</v>
      </c>
      <c r="AM38" s="56"/>
      <c r="AN38" s="56"/>
      <c r="AO38" s="56"/>
      <c r="AP38" s="57">
        <v>2000</v>
      </c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>
        <f t="shared" si="42"/>
        <v>20000</v>
      </c>
      <c r="BC38" s="56">
        <f t="shared" si="43"/>
        <v>0</v>
      </c>
      <c r="BE38">
        <f ca="1">'Monthly Collection-2025'!CC38</f>
        <v>0</v>
      </c>
      <c r="BF38" t="str">
        <f t="shared" ca="1" si="44"/>
        <v/>
      </c>
      <c r="BG38">
        <f t="shared" ca="1" si="45"/>
        <v>0</v>
      </c>
      <c r="BH38" t="str">
        <f t="shared" ca="1" si="46"/>
        <v/>
      </c>
      <c r="BI38">
        <f t="shared" ca="1" si="47"/>
        <v>0</v>
      </c>
      <c r="BJ38" t="str">
        <f t="shared" ca="1" si="48"/>
        <v/>
      </c>
      <c r="BK38">
        <f t="shared" ca="1" si="49"/>
        <v>0</v>
      </c>
      <c r="BL38" t="str">
        <f t="shared" ca="1" si="50"/>
        <v/>
      </c>
      <c r="BM38">
        <f t="shared" ca="1" si="51"/>
        <v>0</v>
      </c>
      <c r="BN38" t="str">
        <f t="shared" ca="1" si="52"/>
        <v/>
      </c>
      <c r="BO38">
        <f t="shared" ca="1" si="53"/>
        <v>0</v>
      </c>
      <c r="BP38" t="str">
        <f t="shared" ca="1" si="54"/>
        <v/>
      </c>
      <c r="BQ38">
        <f t="shared" ca="1" si="55"/>
        <v>0</v>
      </c>
      <c r="BR38" t="str">
        <f t="shared" ca="1" si="56"/>
        <v/>
      </c>
      <c r="BS38">
        <f t="shared" ca="1" si="57"/>
        <v>0</v>
      </c>
      <c r="BT38" t="str">
        <f t="shared" ca="1" si="58"/>
        <v/>
      </c>
      <c r="BU38">
        <f t="shared" ca="1" si="59"/>
        <v>0</v>
      </c>
      <c r="BV38" t="str">
        <f t="shared" ca="1" si="60"/>
        <v/>
      </c>
      <c r="BW38">
        <f t="shared" ca="1" si="61"/>
        <v>0</v>
      </c>
      <c r="BX38" t="str">
        <f t="shared" ca="1" si="62"/>
        <v/>
      </c>
      <c r="BY38">
        <f t="shared" ca="1" si="63"/>
        <v>0</v>
      </c>
      <c r="BZ38" t="str">
        <f t="shared" ca="1" si="64"/>
        <v/>
      </c>
      <c r="CA38">
        <f t="shared" ca="1" si="65"/>
        <v>0</v>
      </c>
      <c r="CB38" t="str">
        <f t="shared" ca="1" si="66"/>
        <v/>
      </c>
      <c r="CC38">
        <f t="shared" ca="1" si="67"/>
        <v>0</v>
      </c>
    </row>
    <row r="39" spans="2:81" ht="14.25" customHeight="1" x14ac:dyDescent="0.3">
      <c r="B39" s="51">
        <f t="shared" si="41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>
        <f t="shared" si="37"/>
        <v>1000</v>
      </c>
      <c r="G39" s="52"/>
      <c r="H39" s="52"/>
      <c r="I39" s="52"/>
      <c r="J39" s="52">
        <f t="shared" si="38"/>
        <v>1000</v>
      </c>
      <c r="K39" s="52"/>
      <c r="L39" s="52"/>
      <c r="M39" s="52"/>
      <c r="N39" s="52">
        <f t="shared" si="39"/>
        <v>1000</v>
      </c>
      <c r="O39" s="52"/>
      <c r="P39" s="52"/>
      <c r="Q39" s="52"/>
      <c r="R39" s="52">
        <f>E39*1000</f>
        <v>1000</v>
      </c>
      <c r="S39" s="52"/>
      <c r="T39" s="52"/>
      <c r="U39" s="52"/>
      <c r="V39" s="53">
        <f t="shared" si="29"/>
        <v>1000</v>
      </c>
      <c r="W39" s="52"/>
      <c r="X39" s="52"/>
      <c r="Y39" s="52"/>
      <c r="Z39" s="53">
        <f t="shared" si="30"/>
        <v>1000</v>
      </c>
      <c r="AA39" s="52"/>
      <c r="AB39" s="52"/>
      <c r="AC39" s="52"/>
      <c r="AD39" s="53">
        <f t="shared" si="31"/>
        <v>1000</v>
      </c>
      <c r="AE39" s="52"/>
      <c r="AF39" s="52"/>
      <c r="AG39" s="52"/>
      <c r="AH39" s="53">
        <f t="shared" si="32"/>
        <v>1000</v>
      </c>
      <c r="AI39" s="52"/>
      <c r="AJ39" s="52"/>
      <c r="AK39" s="52"/>
      <c r="AL39" s="49">
        <f t="shared" si="33"/>
        <v>1000</v>
      </c>
      <c r="AM39" s="52"/>
      <c r="AN39" s="52"/>
      <c r="AO39" s="52"/>
      <c r="AP39" s="53">
        <v>1000</v>
      </c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>
        <f t="shared" si="42"/>
        <v>10000</v>
      </c>
      <c r="BC39" s="52">
        <f t="shared" si="43"/>
        <v>0</v>
      </c>
      <c r="BE39">
        <f ca="1">'Monthly Collection-2025'!CC39</f>
        <v>0</v>
      </c>
      <c r="BF39" t="str">
        <f t="shared" ca="1" si="44"/>
        <v/>
      </c>
      <c r="BG39">
        <f t="shared" ca="1" si="45"/>
        <v>0</v>
      </c>
      <c r="BH39" t="str">
        <f t="shared" ca="1" si="46"/>
        <v/>
      </c>
      <c r="BI39">
        <f t="shared" ca="1" si="47"/>
        <v>0</v>
      </c>
      <c r="BJ39" t="str">
        <f t="shared" ca="1" si="48"/>
        <v/>
      </c>
      <c r="BK39">
        <f t="shared" ca="1" si="49"/>
        <v>0</v>
      </c>
      <c r="BL39" t="str">
        <f t="shared" ca="1" si="50"/>
        <v/>
      </c>
      <c r="BM39">
        <f t="shared" ca="1" si="51"/>
        <v>0</v>
      </c>
      <c r="BN39" t="str">
        <f t="shared" ca="1" si="52"/>
        <v/>
      </c>
      <c r="BO39">
        <f t="shared" ca="1" si="53"/>
        <v>0</v>
      </c>
      <c r="BP39" t="str">
        <f t="shared" ca="1" si="54"/>
        <v/>
      </c>
      <c r="BQ39">
        <f t="shared" ca="1" si="55"/>
        <v>0</v>
      </c>
      <c r="BR39" t="str">
        <f t="shared" ca="1" si="56"/>
        <v/>
      </c>
      <c r="BS39">
        <f t="shared" ca="1" si="57"/>
        <v>0</v>
      </c>
      <c r="BT39" t="str">
        <f t="shared" ca="1" si="58"/>
        <v/>
      </c>
      <c r="BU39">
        <f t="shared" ca="1" si="59"/>
        <v>0</v>
      </c>
      <c r="BV39" t="str">
        <f t="shared" ca="1" si="60"/>
        <v/>
      </c>
      <c r="BW39">
        <f t="shared" ca="1" si="61"/>
        <v>0</v>
      </c>
      <c r="BX39" t="str">
        <f t="shared" ca="1" si="62"/>
        <v/>
      </c>
      <c r="BY39">
        <f t="shared" ca="1" si="63"/>
        <v>0</v>
      </c>
      <c r="BZ39" t="str">
        <f t="shared" ca="1" si="64"/>
        <v/>
      </c>
      <c r="CA39">
        <f t="shared" ca="1" si="65"/>
        <v>0</v>
      </c>
      <c r="CB39" t="str">
        <f t="shared" ca="1" si="66"/>
        <v/>
      </c>
      <c r="CC39">
        <f t="shared" ca="1" si="67"/>
        <v>0</v>
      </c>
    </row>
    <row r="40" spans="2:81" ht="14.25" customHeight="1" x14ac:dyDescent="0.3">
      <c r="B40" s="55">
        <f t="shared" si="41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>
        <f t="shared" si="37"/>
        <v>2000</v>
      </c>
      <c r="G40" s="56"/>
      <c r="H40" s="56"/>
      <c r="I40" s="56"/>
      <c r="J40" s="56">
        <f t="shared" si="38"/>
        <v>2000</v>
      </c>
      <c r="K40" s="56"/>
      <c r="L40" s="56"/>
      <c r="M40" s="56"/>
      <c r="N40" s="56">
        <f t="shared" si="39"/>
        <v>2000</v>
      </c>
      <c r="O40" s="56"/>
      <c r="P40" s="56"/>
      <c r="Q40" s="56"/>
      <c r="R40" s="56">
        <f>E40*1000</f>
        <v>2000</v>
      </c>
      <c r="S40" s="56"/>
      <c r="T40" s="56"/>
      <c r="U40" s="56"/>
      <c r="V40" s="57">
        <f t="shared" si="29"/>
        <v>2000</v>
      </c>
      <c r="W40" s="56"/>
      <c r="X40" s="56"/>
      <c r="Y40" s="56"/>
      <c r="Z40" s="57">
        <f t="shared" si="30"/>
        <v>2000</v>
      </c>
      <c r="AA40" s="56"/>
      <c r="AB40" s="56"/>
      <c r="AC40" s="56"/>
      <c r="AD40" s="57">
        <f t="shared" si="31"/>
        <v>2000</v>
      </c>
      <c r="AE40" s="56"/>
      <c r="AF40" s="56"/>
      <c r="AG40" s="56"/>
      <c r="AH40" s="57">
        <f t="shared" si="32"/>
        <v>2000</v>
      </c>
      <c r="AI40" s="56"/>
      <c r="AJ40" s="56"/>
      <c r="AK40" s="56"/>
      <c r="AL40" s="49">
        <f t="shared" si="33"/>
        <v>2000</v>
      </c>
      <c r="AM40" s="56"/>
      <c r="AN40" s="56"/>
      <c r="AO40" s="56"/>
      <c r="AP40" s="57">
        <v>2000</v>
      </c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>
        <f t="shared" si="42"/>
        <v>20000</v>
      </c>
      <c r="BC40" s="56">
        <f t="shared" si="43"/>
        <v>0</v>
      </c>
      <c r="BE40">
        <f ca="1">'Monthly Collection-2025'!CC40</f>
        <v>0</v>
      </c>
      <c r="BF40" t="str">
        <f t="shared" ca="1" si="44"/>
        <v/>
      </c>
      <c r="BG40">
        <f t="shared" ca="1" si="45"/>
        <v>0</v>
      </c>
      <c r="BH40" t="str">
        <f t="shared" ca="1" si="46"/>
        <v/>
      </c>
      <c r="BI40">
        <f t="shared" ca="1" si="47"/>
        <v>0</v>
      </c>
      <c r="BJ40" t="str">
        <f t="shared" ca="1" si="48"/>
        <v/>
      </c>
      <c r="BK40">
        <f t="shared" ca="1" si="49"/>
        <v>0</v>
      </c>
      <c r="BL40" t="str">
        <f t="shared" ca="1" si="50"/>
        <v/>
      </c>
      <c r="BM40">
        <f t="shared" ca="1" si="51"/>
        <v>0</v>
      </c>
      <c r="BN40" t="str">
        <f t="shared" ca="1" si="52"/>
        <v/>
      </c>
      <c r="BO40">
        <f t="shared" ca="1" si="53"/>
        <v>0</v>
      </c>
      <c r="BP40" t="str">
        <f t="shared" ca="1" si="54"/>
        <v/>
      </c>
      <c r="BQ40">
        <f t="shared" ca="1" si="55"/>
        <v>0</v>
      </c>
      <c r="BR40" t="str">
        <f t="shared" ca="1" si="56"/>
        <v/>
      </c>
      <c r="BS40">
        <f t="shared" ca="1" si="57"/>
        <v>0</v>
      </c>
      <c r="BT40" t="str">
        <f t="shared" ca="1" si="58"/>
        <v/>
      </c>
      <c r="BU40">
        <f t="shared" ca="1" si="59"/>
        <v>0</v>
      </c>
      <c r="BV40" t="str">
        <f t="shared" ca="1" si="60"/>
        <v/>
      </c>
      <c r="BW40">
        <f t="shared" ca="1" si="61"/>
        <v>0</v>
      </c>
      <c r="BX40" t="str">
        <f t="shared" ca="1" si="62"/>
        <v/>
      </c>
      <c r="BY40">
        <f t="shared" ca="1" si="63"/>
        <v>0</v>
      </c>
      <c r="BZ40" t="str">
        <f t="shared" ca="1" si="64"/>
        <v/>
      </c>
      <c r="CA40">
        <f t="shared" ca="1" si="65"/>
        <v>0</v>
      </c>
      <c r="CB40" t="str">
        <f t="shared" ca="1" si="66"/>
        <v/>
      </c>
      <c r="CC40">
        <f t="shared" ca="1" si="67"/>
        <v>0</v>
      </c>
    </row>
    <row r="41" spans="2:81" ht="14.25" customHeight="1" x14ac:dyDescent="0.3">
      <c r="B41" s="51">
        <f t="shared" si="41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>
        <f t="shared" si="37"/>
        <v>2000</v>
      </c>
      <c r="G41" s="52"/>
      <c r="H41" s="52"/>
      <c r="I41" s="52"/>
      <c r="J41" s="52">
        <f t="shared" si="38"/>
        <v>2000</v>
      </c>
      <c r="K41" s="52"/>
      <c r="L41" s="52"/>
      <c r="M41" s="52"/>
      <c r="N41" s="52">
        <f t="shared" si="39"/>
        <v>2000</v>
      </c>
      <c r="O41" s="52"/>
      <c r="P41" s="52"/>
      <c r="Q41" s="52"/>
      <c r="R41" s="52">
        <f>E41*1000</f>
        <v>2000</v>
      </c>
      <c r="S41" s="52"/>
      <c r="T41" s="52"/>
      <c r="U41" s="52"/>
      <c r="V41" s="53">
        <f t="shared" si="29"/>
        <v>2000</v>
      </c>
      <c r="W41" s="52"/>
      <c r="X41" s="52"/>
      <c r="Y41" s="52"/>
      <c r="Z41" s="53">
        <f t="shared" si="30"/>
        <v>2000</v>
      </c>
      <c r="AA41" s="52"/>
      <c r="AB41" s="52"/>
      <c r="AC41" s="52"/>
      <c r="AD41" s="53">
        <f t="shared" si="31"/>
        <v>2000</v>
      </c>
      <c r="AE41" s="52"/>
      <c r="AF41" s="52"/>
      <c r="AG41" s="52"/>
      <c r="AH41" s="53">
        <f t="shared" si="32"/>
        <v>2000</v>
      </c>
      <c r="AI41" s="52"/>
      <c r="AJ41" s="52"/>
      <c r="AK41" s="52"/>
      <c r="AL41" s="49">
        <f t="shared" si="33"/>
        <v>2000</v>
      </c>
      <c r="AM41" s="52"/>
      <c r="AN41" s="52"/>
      <c r="AO41" s="52"/>
      <c r="AP41" s="53">
        <v>2000</v>
      </c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>
        <f t="shared" si="42"/>
        <v>20000</v>
      </c>
      <c r="BC41" s="52">
        <f t="shared" si="43"/>
        <v>0</v>
      </c>
      <c r="BE41">
        <f ca="1">'Monthly Collection-2025'!CC41</f>
        <v>0</v>
      </c>
      <c r="BF41" t="str">
        <f t="shared" ca="1" si="44"/>
        <v/>
      </c>
      <c r="BG41">
        <f t="shared" ca="1" si="45"/>
        <v>0</v>
      </c>
      <c r="BH41" t="str">
        <f t="shared" ca="1" si="46"/>
        <v/>
      </c>
      <c r="BI41">
        <f t="shared" ca="1" si="47"/>
        <v>0</v>
      </c>
      <c r="BJ41" t="str">
        <f t="shared" ca="1" si="48"/>
        <v/>
      </c>
      <c r="BK41">
        <f t="shared" ca="1" si="49"/>
        <v>0</v>
      </c>
      <c r="BL41" t="str">
        <f t="shared" ca="1" si="50"/>
        <v/>
      </c>
      <c r="BM41">
        <f t="shared" ca="1" si="51"/>
        <v>0</v>
      </c>
      <c r="BN41" t="str">
        <f t="shared" ca="1" si="52"/>
        <v/>
      </c>
      <c r="BO41">
        <f t="shared" ca="1" si="53"/>
        <v>0</v>
      </c>
      <c r="BP41" t="str">
        <f t="shared" ca="1" si="54"/>
        <v/>
      </c>
      <c r="BQ41">
        <f t="shared" ca="1" si="55"/>
        <v>0</v>
      </c>
      <c r="BR41" t="str">
        <f t="shared" ca="1" si="56"/>
        <v/>
      </c>
      <c r="BS41">
        <f t="shared" ca="1" si="57"/>
        <v>0</v>
      </c>
      <c r="BT41" t="str">
        <f t="shared" ca="1" si="58"/>
        <v/>
      </c>
      <c r="BU41">
        <f t="shared" ca="1" si="59"/>
        <v>0</v>
      </c>
      <c r="BV41" t="str">
        <f t="shared" ca="1" si="60"/>
        <v/>
      </c>
      <c r="BW41">
        <f t="shared" ca="1" si="61"/>
        <v>0</v>
      </c>
      <c r="BX41" t="str">
        <f t="shared" ca="1" si="62"/>
        <v/>
      </c>
      <c r="BY41">
        <f t="shared" ca="1" si="63"/>
        <v>0</v>
      </c>
      <c r="BZ41" t="str">
        <f t="shared" ca="1" si="64"/>
        <v/>
      </c>
      <c r="CA41">
        <f t="shared" ca="1" si="65"/>
        <v>0</v>
      </c>
      <c r="CB41" t="str">
        <f t="shared" ca="1" si="66"/>
        <v/>
      </c>
      <c r="CC41">
        <f t="shared" ca="1" si="67"/>
        <v>0</v>
      </c>
    </row>
    <row r="42" spans="2:81" ht="14.25" customHeight="1" x14ac:dyDescent="0.3">
      <c r="B42" s="55">
        <f t="shared" si="41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>
        <f t="shared" si="37"/>
        <v>2000</v>
      </c>
      <c r="G42" s="56"/>
      <c r="H42" s="56"/>
      <c r="I42" s="56"/>
      <c r="J42" s="56">
        <f t="shared" si="38"/>
        <v>2000</v>
      </c>
      <c r="K42" s="56"/>
      <c r="L42" s="56"/>
      <c r="M42" s="56"/>
      <c r="N42" s="56">
        <f t="shared" si="39"/>
        <v>2000</v>
      </c>
      <c r="O42" s="56"/>
      <c r="P42" s="56"/>
      <c r="Q42" s="56"/>
      <c r="R42" s="241"/>
      <c r="S42" s="56"/>
      <c r="T42" s="56"/>
      <c r="U42" s="56"/>
      <c r="V42" s="245"/>
      <c r="W42" s="56"/>
      <c r="X42" s="56"/>
      <c r="Y42" s="56"/>
      <c r="Z42" s="245"/>
      <c r="AA42" s="56"/>
      <c r="AB42" s="56">
        <v>2000</v>
      </c>
      <c r="AC42" s="56">
        <v>100</v>
      </c>
      <c r="AD42" s="245"/>
      <c r="AE42" s="56"/>
      <c r="AF42" s="56"/>
      <c r="AG42" s="56"/>
      <c r="AH42" s="245"/>
      <c r="AI42" s="56"/>
      <c r="AJ42" s="56">
        <v>4000</v>
      </c>
      <c r="AK42" s="56">
        <v>200</v>
      </c>
      <c r="AL42" s="250"/>
      <c r="AM42" s="56"/>
      <c r="AN42" s="56"/>
      <c r="AO42" s="56"/>
      <c r="AP42" s="245"/>
      <c r="AQ42" s="56"/>
      <c r="AR42" s="56">
        <v>2000</v>
      </c>
      <c r="AS42" s="56">
        <v>100</v>
      </c>
      <c r="AT42" s="56"/>
      <c r="AU42" s="56"/>
      <c r="AV42" s="56"/>
      <c r="AW42" s="56"/>
      <c r="AX42" s="56"/>
      <c r="AY42" s="56"/>
      <c r="AZ42" s="56"/>
      <c r="BA42" s="56"/>
      <c r="BB42" s="56">
        <f t="shared" si="42"/>
        <v>14000</v>
      </c>
      <c r="BC42" s="56">
        <f t="shared" si="43"/>
        <v>400</v>
      </c>
      <c r="BE42">
        <f ca="1">'Monthly Collection-2025'!CC42</f>
        <v>0</v>
      </c>
      <c r="BF42" t="str">
        <f t="shared" ca="1" si="44"/>
        <v/>
      </c>
      <c r="BG42">
        <f t="shared" ca="1" si="45"/>
        <v>0</v>
      </c>
      <c r="BH42" t="str">
        <f t="shared" ca="1" si="46"/>
        <v/>
      </c>
      <c r="BI42">
        <f t="shared" ca="1" si="47"/>
        <v>0</v>
      </c>
      <c r="BJ42" t="str">
        <f t="shared" ca="1" si="48"/>
        <v/>
      </c>
      <c r="BK42">
        <f t="shared" ca="1" si="49"/>
        <v>0</v>
      </c>
      <c r="BL42" t="str">
        <f t="shared" ca="1" si="50"/>
        <v>R</v>
      </c>
      <c r="BM42">
        <f t="shared" ca="1" si="51"/>
        <v>0</v>
      </c>
      <c r="BN42" t="str">
        <f t="shared" ca="1" si="52"/>
        <v>R</v>
      </c>
      <c r="BO42">
        <f t="shared" ca="1" si="53"/>
        <v>0</v>
      </c>
      <c r="BP42" t="str">
        <f t="shared" ca="1" si="54"/>
        <v>R</v>
      </c>
      <c r="BQ42">
        <f t="shared" ca="1" si="55"/>
        <v>0</v>
      </c>
      <c r="BR42" t="str">
        <f t="shared" ca="1" si="56"/>
        <v>R</v>
      </c>
      <c r="BS42">
        <f t="shared" ca="1" si="57"/>
        <v>0</v>
      </c>
      <c r="BT42" t="str">
        <f t="shared" ca="1" si="58"/>
        <v>R</v>
      </c>
      <c r="BU42">
        <f t="shared" ca="1" si="59"/>
        <v>0</v>
      </c>
      <c r="BV42" t="str">
        <f t="shared" ca="1" si="60"/>
        <v>R</v>
      </c>
      <c r="BW42">
        <f t="shared" ca="1" si="61"/>
        <v>0</v>
      </c>
      <c r="BX42" t="str">
        <f t="shared" ca="1" si="62"/>
        <v>R</v>
      </c>
      <c r="BY42">
        <f t="shared" ca="1" si="63"/>
        <v>0</v>
      </c>
      <c r="BZ42" t="str">
        <f t="shared" ca="1" si="64"/>
        <v/>
      </c>
      <c r="CA42">
        <f t="shared" ca="1" si="65"/>
        <v>0</v>
      </c>
      <c r="CB42" t="str">
        <f t="shared" ca="1" si="66"/>
        <v/>
      </c>
      <c r="CC42">
        <f t="shared" ca="1" si="67"/>
        <v>0</v>
      </c>
    </row>
    <row r="43" spans="2:81" ht="14.25" customHeight="1" x14ac:dyDescent="0.3">
      <c r="B43" s="51">
        <f t="shared" si="41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>
        <f t="shared" si="37"/>
        <v>2000</v>
      </c>
      <c r="G43" s="52"/>
      <c r="H43" s="52"/>
      <c r="I43" s="52"/>
      <c r="J43" s="52">
        <f t="shared" si="38"/>
        <v>2000</v>
      </c>
      <c r="K43" s="52"/>
      <c r="L43" s="52"/>
      <c r="M43" s="52"/>
      <c r="N43" s="52">
        <f t="shared" si="39"/>
        <v>2000</v>
      </c>
      <c r="O43" s="52"/>
      <c r="P43" s="52"/>
      <c r="Q43" s="52"/>
      <c r="R43" s="52">
        <f>E43*1000</f>
        <v>2000</v>
      </c>
      <c r="S43" s="52"/>
      <c r="T43" s="52"/>
      <c r="U43" s="52"/>
      <c r="V43" s="53">
        <f t="shared" si="29"/>
        <v>2000</v>
      </c>
      <c r="W43" s="52"/>
      <c r="X43" s="52"/>
      <c r="Y43" s="52"/>
      <c r="Z43" s="53">
        <f t="shared" si="30"/>
        <v>2000</v>
      </c>
      <c r="AA43" s="52"/>
      <c r="AB43" s="52"/>
      <c r="AC43" s="52"/>
      <c r="AD43" s="53">
        <f t="shared" si="31"/>
        <v>2000</v>
      </c>
      <c r="AE43" s="52"/>
      <c r="AF43" s="52"/>
      <c r="AG43" s="52"/>
      <c r="AH43" s="53">
        <f t="shared" si="32"/>
        <v>2000</v>
      </c>
      <c r="AI43" s="52"/>
      <c r="AJ43" s="52"/>
      <c r="AK43" s="52"/>
      <c r="AL43" s="49">
        <f t="shared" si="33"/>
        <v>2000</v>
      </c>
      <c r="AM43" s="52"/>
      <c r="AN43" s="52"/>
      <c r="AO43" s="52"/>
      <c r="AP43" s="53">
        <v>2000</v>
      </c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>
        <f t="shared" si="42"/>
        <v>20000</v>
      </c>
      <c r="BC43" s="52">
        <f t="shared" si="43"/>
        <v>0</v>
      </c>
      <c r="BE43">
        <f ca="1">'Monthly Collection-2025'!CC43</f>
        <v>0</v>
      </c>
      <c r="BF43" t="str">
        <f t="shared" ca="1" si="44"/>
        <v/>
      </c>
      <c r="BG43">
        <f t="shared" ca="1" si="45"/>
        <v>0</v>
      </c>
      <c r="BH43" t="str">
        <f t="shared" ca="1" si="46"/>
        <v/>
      </c>
      <c r="BI43">
        <f t="shared" ca="1" si="47"/>
        <v>0</v>
      </c>
      <c r="BJ43" t="str">
        <f t="shared" ca="1" si="48"/>
        <v/>
      </c>
      <c r="BK43">
        <f t="shared" ca="1" si="49"/>
        <v>0</v>
      </c>
      <c r="BL43" t="str">
        <f t="shared" ca="1" si="50"/>
        <v/>
      </c>
      <c r="BM43">
        <f t="shared" ca="1" si="51"/>
        <v>0</v>
      </c>
      <c r="BN43" t="str">
        <f t="shared" ca="1" si="52"/>
        <v/>
      </c>
      <c r="BO43">
        <f t="shared" ca="1" si="53"/>
        <v>0</v>
      </c>
      <c r="BP43" t="str">
        <f t="shared" ca="1" si="54"/>
        <v/>
      </c>
      <c r="BQ43">
        <f t="shared" ca="1" si="55"/>
        <v>0</v>
      </c>
      <c r="BR43" t="str">
        <f t="shared" ca="1" si="56"/>
        <v/>
      </c>
      <c r="BS43">
        <f t="shared" ca="1" si="57"/>
        <v>0</v>
      </c>
      <c r="BT43" t="str">
        <f t="shared" ca="1" si="58"/>
        <v/>
      </c>
      <c r="BU43">
        <f t="shared" ca="1" si="59"/>
        <v>0</v>
      </c>
      <c r="BV43" t="str">
        <f t="shared" ca="1" si="60"/>
        <v/>
      </c>
      <c r="BW43">
        <f t="shared" ca="1" si="61"/>
        <v>0</v>
      </c>
      <c r="BX43" t="str">
        <f t="shared" ca="1" si="62"/>
        <v/>
      </c>
      <c r="BY43">
        <f t="shared" ca="1" si="63"/>
        <v>0</v>
      </c>
      <c r="BZ43" t="str">
        <f t="shared" ca="1" si="64"/>
        <v/>
      </c>
      <c r="CA43">
        <f t="shared" ca="1" si="65"/>
        <v>0</v>
      </c>
      <c r="CB43" t="str">
        <f t="shared" ca="1" si="66"/>
        <v/>
      </c>
      <c r="CC43">
        <f t="shared" ca="1" si="67"/>
        <v>0</v>
      </c>
    </row>
    <row r="44" spans="2:81" ht="14.25" customHeight="1" x14ac:dyDescent="0.3">
      <c r="B44" s="55">
        <f t="shared" si="41"/>
        <v>41</v>
      </c>
      <c r="C44" s="56" t="s">
        <v>111</v>
      </c>
      <c r="D44" s="12">
        <f>'Member Wise Deposit Summary'!D44</f>
        <v>1830621990</v>
      </c>
      <c r="E44" s="56">
        <v>2</v>
      </c>
      <c r="F44" s="241"/>
      <c r="G44" s="56"/>
      <c r="H44" s="56"/>
      <c r="I44" s="56"/>
      <c r="J44" s="241"/>
      <c r="K44" s="56"/>
      <c r="L44" s="56"/>
      <c r="M44" s="56"/>
      <c r="N44" s="241"/>
      <c r="O44" s="56"/>
      <c r="P44" s="56"/>
      <c r="Q44" s="56"/>
      <c r="R44" s="56">
        <v>2000</v>
      </c>
      <c r="S44" s="56"/>
      <c r="T44" s="56">
        <v>8000</v>
      </c>
      <c r="U44" s="56">
        <v>400</v>
      </c>
      <c r="V44" s="245"/>
      <c r="W44" s="56"/>
      <c r="X44" s="56"/>
      <c r="Y44" s="56"/>
      <c r="Z44" s="57">
        <f t="shared" si="30"/>
        <v>2000</v>
      </c>
      <c r="AA44" s="56"/>
      <c r="AB44" s="56">
        <v>2000</v>
      </c>
      <c r="AC44" s="56">
        <v>100</v>
      </c>
      <c r="AD44" s="245"/>
      <c r="AE44" s="56"/>
      <c r="AF44" s="56"/>
      <c r="AG44" s="56"/>
      <c r="AH44" s="57">
        <f t="shared" si="32"/>
        <v>2000</v>
      </c>
      <c r="AI44" s="56"/>
      <c r="AJ44" s="56">
        <v>2000</v>
      </c>
      <c r="AK44" s="56">
        <v>100</v>
      </c>
      <c r="AL44" s="49">
        <f t="shared" si="33"/>
        <v>2000</v>
      </c>
      <c r="AM44" s="56"/>
      <c r="AN44" s="56"/>
      <c r="AO44" s="56"/>
      <c r="AP44" s="57">
        <v>2000</v>
      </c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>
        <f t="shared" si="42"/>
        <v>22000</v>
      </c>
      <c r="BC44" s="56">
        <f t="shared" si="43"/>
        <v>600</v>
      </c>
      <c r="BE44">
        <f ca="1">'Monthly Collection-2025'!CC44</f>
        <v>0</v>
      </c>
      <c r="BF44" t="str">
        <f t="shared" ca="1" si="44"/>
        <v>R</v>
      </c>
      <c r="BG44">
        <f t="shared" ca="1" si="45"/>
        <v>0</v>
      </c>
      <c r="BH44" t="str">
        <f t="shared" ca="1" si="46"/>
        <v>R</v>
      </c>
      <c r="BI44">
        <f t="shared" ca="1" si="47"/>
        <v>0</v>
      </c>
      <c r="BJ44" t="str">
        <f t="shared" ca="1" si="48"/>
        <v>R</v>
      </c>
      <c r="BK44">
        <f t="shared" ca="1" si="49"/>
        <v>0</v>
      </c>
      <c r="BL44" t="str">
        <f t="shared" ca="1" si="50"/>
        <v/>
      </c>
      <c r="BM44">
        <f t="shared" ca="1" si="51"/>
        <v>0</v>
      </c>
      <c r="BN44" t="str">
        <f t="shared" ca="1" si="52"/>
        <v>R</v>
      </c>
      <c r="BO44">
        <f t="shared" ca="1" si="53"/>
        <v>0</v>
      </c>
      <c r="BP44" t="str">
        <f t="shared" ca="1" si="54"/>
        <v/>
      </c>
      <c r="BQ44">
        <f t="shared" ca="1" si="55"/>
        <v>0</v>
      </c>
      <c r="BR44" t="str">
        <f t="shared" ca="1" si="56"/>
        <v>R</v>
      </c>
      <c r="BS44">
        <f t="shared" ca="1" si="57"/>
        <v>0</v>
      </c>
      <c r="BT44" t="str">
        <f t="shared" ca="1" si="58"/>
        <v/>
      </c>
      <c r="BU44">
        <f t="shared" ca="1" si="59"/>
        <v>0</v>
      </c>
      <c r="BV44" t="str">
        <f t="shared" ca="1" si="60"/>
        <v/>
      </c>
      <c r="BW44">
        <f t="shared" ca="1" si="61"/>
        <v>0</v>
      </c>
      <c r="BX44" t="str">
        <f t="shared" ca="1" si="62"/>
        <v/>
      </c>
      <c r="BY44">
        <f t="shared" ca="1" si="63"/>
        <v>0</v>
      </c>
      <c r="BZ44" t="str">
        <f t="shared" ca="1" si="64"/>
        <v/>
      </c>
      <c r="CA44">
        <f t="shared" ca="1" si="65"/>
        <v>0</v>
      </c>
      <c r="CB44" t="str">
        <f t="shared" ca="1" si="66"/>
        <v/>
      </c>
      <c r="CC44">
        <f t="shared" ca="1" si="67"/>
        <v>0</v>
      </c>
    </row>
    <row r="45" spans="2:81" ht="14.25" customHeight="1" x14ac:dyDescent="0.3">
      <c r="B45" s="51">
        <f t="shared" si="41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>
        <f>$E45*1000</f>
        <v>6000</v>
      </c>
      <c r="G45" s="52"/>
      <c r="H45" s="52"/>
      <c r="I45" s="52"/>
      <c r="J45" s="52">
        <f>$E45*1000</f>
        <v>6000</v>
      </c>
      <c r="K45" s="52"/>
      <c r="L45" s="52"/>
      <c r="M45" s="52"/>
      <c r="N45" s="52">
        <f>$E45*1000</f>
        <v>6000</v>
      </c>
      <c r="O45" s="52"/>
      <c r="P45" s="52"/>
      <c r="Q45" s="52"/>
      <c r="R45" s="52">
        <f>E45*1000</f>
        <v>6000</v>
      </c>
      <c r="S45" s="52"/>
      <c r="T45" s="52"/>
      <c r="U45" s="52"/>
      <c r="V45" s="53">
        <f t="shared" si="29"/>
        <v>6000</v>
      </c>
      <c r="W45" s="52"/>
      <c r="X45" s="52"/>
      <c r="Y45" s="52"/>
      <c r="Z45" s="53">
        <f t="shared" si="30"/>
        <v>6000</v>
      </c>
      <c r="AA45" s="52"/>
      <c r="AB45" s="52"/>
      <c r="AC45" s="52"/>
      <c r="AD45" s="53">
        <f t="shared" si="31"/>
        <v>6000</v>
      </c>
      <c r="AE45" s="52"/>
      <c r="AF45" s="52"/>
      <c r="AG45" s="52"/>
      <c r="AH45" s="53">
        <f t="shared" si="32"/>
        <v>6000</v>
      </c>
      <c r="AI45" s="52"/>
      <c r="AJ45" s="52"/>
      <c r="AK45" s="52"/>
      <c r="AL45" s="49">
        <f t="shared" si="33"/>
        <v>6000</v>
      </c>
      <c r="AM45" s="52"/>
      <c r="AN45" s="52"/>
      <c r="AO45" s="52"/>
      <c r="AP45" s="53">
        <v>6000</v>
      </c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>
        <f t="shared" si="42"/>
        <v>60000</v>
      </c>
      <c r="BC45" s="52">
        <f t="shared" si="43"/>
        <v>0</v>
      </c>
      <c r="BE45">
        <f ca="1">'Monthly Collection-2025'!CC45</f>
        <v>0</v>
      </c>
      <c r="BF45" t="str">
        <f t="shared" ca="1" si="44"/>
        <v/>
      </c>
      <c r="BG45">
        <f t="shared" ca="1" si="45"/>
        <v>0</v>
      </c>
      <c r="BH45" t="str">
        <f t="shared" ca="1" si="46"/>
        <v/>
      </c>
      <c r="BI45">
        <f t="shared" ca="1" si="47"/>
        <v>0</v>
      </c>
      <c r="BJ45" t="str">
        <f t="shared" ca="1" si="48"/>
        <v/>
      </c>
      <c r="BK45">
        <f t="shared" ca="1" si="49"/>
        <v>0</v>
      </c>
      <c r="BL45" t="str">
        <f t="shared" ca="1" si="50"/>
        <v/>
      </c>
      <c r="BM45">
        <f t="shared" ca="1" si="51"/>
        <v>0</v>
      </c>
      <c r="BN45" t="str">
        <f t="shared" ca="1" si="52"/>
        <v/>
      </c>
      <c r="BO45">
        <f t="shared" ca="1" si="53"/>
        <v>0</v>
      </c>
      <c r="BP45" t="str">
        <f t="shared" ca="1" si="54"/>
        <v/>
      </c>
      <c r="BQ45">
        <f t="shared" ca="1" si="55"/>
        <v>0</v>
      </c>
      <c r="BR45" t="str">
        <f t="shared" ca="1" si="56"/>
        <v/>
      </c>
      <c r="BS45">
        <f t="shared" ca="1" si="57"/>
        <v>0</v>
      </c>
      <c r="BT45" t="str">
        <f t="shared" ca="1" si="58"/>
        <v/>
      </c>
      <c r="BU45">
        <f t="shared" ca="1" si="59"/>
        <v>0</v>
      </c>
      <c r="BV45" t="str">
        <f t="shared" ca="1" si="60"/>
        <v/>
      </c>
      <c r="BW45">
        <f t="shared" ca="1" si="61"/>
        <v>0</v>
      </c>
      <c r="BX45" t="str">
        <f t="shared" ca="1" si="62"/>
        <v/>
      </c>
      <c r="BY45">
        <f t="shared" ca="1" si="63"/>
        <v>0</v>
      </c>
      <c r="BZ45" t="str">
        <f t="shared" ca="1" si="64"/>
        <v/>
      </c>
      <c r="CA45">
        <f t="shared" ca="1" si="65"/>
        <v>0</v>
      </c>
      <c r="CB45" t="str">
        <f t="shared" ca="1" si="66"/>
        <v/>
      </c>
      <c r="CC45">
        <f t="shared" ca="1" si="67"/>
        <v>0</v>
      </c>
    </row>
    <row r="46" spans="2:81" ht="14.25" customHeight="1" x14ac:dyDescent="0.3">
      <c r="B46" s="55">
        <f t="shared" si="41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>
        <f>$E46*1000</f>
        <v>2000</v>
      </c>
      <c r="G46" s="56"/>
      <c r="H46" s="56"/>
      <c r="I46" s="56"/>
      <c r="J46" s="56">
        <f>$E46*1000</f>
        <v>2000</v>
      </c>
      <c r="K46" s="56"/>
      <c r="L46" s="56"/>
      <c r="M46" s="56"/>
      <c r="N46" s="56">
        <f>$E46*1000</f>
        <v>2000</v>
      </c>
      <c r="O46" s="56"/>
      <c r="P46" s="56"/>
      <c r="Q46" s="56"/>
      <c r="R46" s="241"/>
      <c r="S46" s="56"/>
      <c r="T46" s="56"/>
      <c r="U46" s="56"/>
      <c r="V46" s="245"/>
      <c r="W46" s="56"/>
      <c r="X46" s="56"/>
      <c r="Y46" s="56"/>
      <c r="Z46" s="245"/>
      <c r="AA46" s="56"/>
      <c r="AB46" s="56"/>
      <c r="AC46" s="56"/>
      <c r="AD46" s="57">
        <f t="shared" si="31"/>
        <v>2000</v>
      </c>
      <c r="AE46" s="56"/>
      <c r="AF46" s="56">
        <v>6000</v>
      </c>
      <c r="AG46" s="56">
        <v>300</v>
      </c>
      <c r="AH46" s="57">
        <f t="shared" si="32"/>
        <v>2000</v>
      </c>
      <c r="AI46" s="56"/>
      <c r="AJ46" s="56"/>
      <c r="AK46" s="56"/>
      <c r="AL46" s="250"/>
      <c r="AM46" s="56"/>
      <c r="AN46" s="56"/>
      <c r="AO46" s="56"/>
      <c r="AP46" s="245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>
        <f t="shared" si="42"/>
        <v>16000</v>
      </c>
      <c r="BC46" s="56">
        <f t="shared" si="43"/>
        <v>300</v>
      </c>
      <c r="BE46">
        <f ca="1">'Monthly Collection-2025'!CC46</f>
        <v>0</v>
      </c>
      <c r="BF46" t="str">
        <f t="shared" ca="1" si="44"/>
        <v/>
      </c>
      <c r="BG46">
        <f t="shared" ca="1" si="45"/>
        <v>0</v>
      </c>
      <c r="BH46" t="str">
        <f t="shared" ca="1" si="46"/>
        <v/>
      </c>
      <c r="BI46">
        <f t="shared" ca="1" si="47"/>
        <v>0</v>
      </c>
      <c r="BJ46" t="str">
        <f t="shared" ca="1" si="48"/>
        <v/>
      </c>
      <c r="BK46">
        <f t="shared" ca="1" si="49"/>
        <v>0</v>
      </c>
      <c r="BL46" t="str">
        <f t="shared" ca="1" si="50"/>
        <v>R</v>
      </c>
      <c r="BM46">
        <f t="shared" ca="1" si="51"/>
        <v>0</v>
      </c>
      <c r="BN46" t="str">
        <f t="shared" ca="1" si="52"/>
        <v>R</v>
      </c>
      <c r="BO46">
        <f t="shared" ca="1" si="53"/>
        <v>0</v>
      </c>
      <c r="BP46" t="str">
        <f t="shared" ca="1" si="54"/>
        <v>R</v>
      </c>
      <c r="BQ46">
        <f t="shared" ca="1" si="55"/>
        <v>0</v>
      </c>
      <c r="BR46" t="str">
        <f t="shared" ca="1" si="56"/>
        <v/>
      </c>
      <c r="BS46">
        <f t="shared" ca="1" si="57"/>
        <v>0</v>
      </c>
      <c r="BT46" t="str">
        <f t="shared" ca="1" si="58"/>
        <v/>
      </c>
      <c r="BU46">
        <f t="shared" ca="1" si="59"/>
        <v>0</v>
      </c>
      <c r="BV46" t="str">
        <f t="shared" ca="1" si="60"/>
        <v>R</v>
      </c>
      <c r="BW46">
        <f t="shared" ca="1" si="61"/>
        <v>0</v>
      </c>
      <c r="BX46" t="str">
        <f t="shared" ca="1" si="62"/>
        <v>R</v>
      </c>
      <c r="BY46">
        <f t="shared" ca="1" si="63"/>
        <v>0</v>
      </c>
      <c r="BZ46" t="str">
        <f t="shared" ca="1" si="64"/>
        <v/>
      </c>
      <c r="CA46">
        <f t="shared" ca="1" si="65"/>
        <v>0</v>
      </c>
      <c r="CB46" t="str">
        <f t="shared" ca="1" si="66"/>
        <v/>
      </c>
      <c r="CC46">
        <f t="shared" ca="1" si="67"/>
        <v>0</v>
      </c>
    </row>
    <row r="47" spans="2:81" ht="14.25" customHeight="1" x14ac:dyDescent="0.3">
      <c r="B47" s="51">
        <f t="shared" si="41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>
        <f>$E47*1000</f>
        <v>2000</v>
      </c>
      <c r="G47" s="52"/>
      <c r="H47" s="52"/>
      <c r="I47" s="52"/>
      <c r="J47" s="52">
        <f>$E47*1000</f>
        <v>2000</v>
      </c>
      <c r="K47" s="52"/>
      <c r="L47" s="52"/>
      <c r="M47" s="52"/>
      <c r="N47" s="243"/>
      <c r="O47" s="52"/>
      <c r="P47" s="52"/>
      <c r="Q47" s="52"/>
      <c r="R47" s="243"/>
      <c r="S47" s="52"/>
      <c r="T47" s="52">
        <v>2000</v>
      </c>
      <c r="U47" s="52">
        <v>100</v>
      </c>
      <c r="V47" s="248"/>
      <c r="W47" s="52"/>
      <c r="X47" s="52"/>
      <c r="Y47" s="52"/>
      <c r="Z47" s="248"/>
      <c r="AA47" s="52"/>
      <c r="AB47" s="52"/>
      <c r="AC47" s="52"/>
      <c r="AD47" s="248"/>
      <c r="AE47" s="52"/>
      <c r="AF47" s="52"/>
      <c r="AG47" s="52"/>
      <c r="AH47" s="248"/>
      <c r="AI47" s="52"/>
      <c r="AJ47" s="52">
        <v>8000</v>
      </c>
      <c r="AK47" s="52">
        <v>400</v>
      </c>
      <c r="AL47" s="251"/>
      <c r="AM47" s="52"/>
      <c r="AN47" s="52"/>
      <c r="AO47" s="52"/>
      <c r="AP47" s="248"/>
      <c r="AQ47" s="52"/>
      <c r="AR47" s="52">
        <v>4000</v>
      </c>
      <c r="AS47" s="52">
        <v>200</v>
      </c>
      <c r="AT47" s="52"/>
      <c r="AU47" s="52"/>
      <c r="AV47" s="52"/>
      <c r="AW47" s="52"/>
      <c r="AX47" s="52"/>
      <c r="AY47" s="52"/>
      <c r="AZ47" s="52"/>
      <c r="BA47" s="52"/>
      <c r="BB47" s="52">
        <f t="shared" si="42"/>
        <v>18000</v>
      </c>
      <c r="BC47" s="52">
        <f t="shared" si="43"/>
        <v>700</v>
      </c>
      <c r="BE47">
        <f ca="1">'Monthly Collection-2025'!CC47</f>
        <v>0</v>
      </c>
      <c r="BF47" t="str">
        <f t="shared" ca="1" si="44"/>
        <v/>
      </c>
      <c r="BG47">
        <f t="shared" ca="1" si="45"/>
        <v>0</v>
      </c>
      <c r="BH47" t="str">
        <f t="shared" ca="1" si="46"/>
        <v/>
      </c>
      <c r="BI47">
        <f t="shared" ca="1" si="47"/>
        <v>0</v>
      </c>
      <c r="BJ47" t="str">
        <f t="shared" ca="1" si="48"/>
        <v>R</v>
      </c>
      <c r="BK47">
        <f t="shared" ca="1" si="49"/>
        <v>0</v>
      </c>
      <c r="BL47" t="str">
        <f t="shared" ca="1" si="50"/>
        <v>R</v>
      </c>
      <c r="BM47">
        <f t="shared" ca="1" si="51"/>
        <v>0</v>
      </c>
      <c r="BN47" t="str">
        <f t="shared" ca="1" si="52"/>
        <v>R</v>
      </c>
      <c r="BO47">
        <f t="shared" ca="1" si="53"/>
        <v>0</v>
      </c>
      <c r="BP47" t="str">
        <f t="shared" ca="1" si="54"/>
        <v>R</v>
      </c>
      <c r="BQ47">
        <f t="shared" ca="1" si="55"/>
        <v>0</v>
      </c>
      <c r="BR47" t="str">
        <f t="shared" ca="1" si="56"/>
        <v>R</v>
      </c>
      <c r="BS47">
        <f t="shared" ca="1" si="57"/>
        <v>0</v>
      </c>
      <c r="BT47" t="str">
        <f t="shared" ca="1" si="58"/>
        <v>R</v>
      </c>
      <c r="BU47">
        <f t="shared" ca="1" si="59"/>
        <v>0</v>
      </c>
      <c r="BV47" t="str">
        <f t="shared" ca="1" si="60"/>
        <v>R</v>
      </c>
      <c r="BW47">
        <f t="shared" ca="1" si="61"/>
        <v>0</v>
      </c>
      <c r="BX47" t="str">
        <f t="shared" ca="1" si="62"/>
        <v>R</v>
      </c>
      <c r="BY47">
        <f t="shared" ca="1" si="63"/>
        <v>0</v>
      </c>
      <c r="BZ47" t="str">
        <f t="shared" ca="1" si="64"/>
        <v/>
      </c>
      <c r="CA47">
        <f t="shared" ca="1" si="65"/>
        <v>0</v>
      </c>
      <c r="CB47" t="str">
        <f t="shared" ca="1" si="66"/>
        <v/>
      </c>
      <c r="CC47">
        <f t="shared" ca="1" si="67"/>
        <v>0</v>
      </c>
    </row>
    <row r="48" spans="2:81" ht="14.25" customHeight="1" x14ac:dyDescent="0.3">
      <c r="B48" s="55">
        <f t="shared" si="41"/>
        <v>45</v>
      </c>
      <c r="C48" s="56" t="s">
        <v>101</v>
      </c>
      <c r="D48" s="12">
        <f>'Member Wise Deposit Summary'!D48</f>
        <v>1840409753</v>
      </c>
      <c r="E48" s="56">
        <v>1</v>
      </c>
      <c r="F48" s="241"/>
      <c r="G48" s="56"/>
      <c r="H48" s="56"/>
      <c r="I48" s="56"/>
      <c r="J48" s="56">
        <f>$E48*1000</f>
        <v>1000</v>
      </c>
      <c r="K48" s="56"/>
      <c r="L48" s="56">
        <v>4000</v>
      </c>
      <c r="M48" s="56">
        <v>200</v>
      </c>
      <c r="N48" s="56">
        <f>$E48*1000</f>
        <v>1000</v>
      </c>
      <c r="O48" s="56"/>
      <c r="P48" s="56"/>
      <c r="Q48" s="56"/>
      <c r="R48" s="241"/>
      <c r="S48" s="56"/>
      <c r="T48" s="56"/>
      <c r="U48" s="56"/>
      <c r="V48" s="57">
        <f t="shared" si="29"/>
        <v>1000</v>
      </c>
      <c r="W48" s="56"/>
      <c r="X48" s="56">
        <v>1000</v>
      </c>
      <c r="Y48" s="56">
        <v>50</v>
      </c>
      <c r="Z48" s="57">
        <f t="shared" si="30"/>
        <v>1000</v>
      </c>
      <c r="AA48" s="56"/>
      <c r="AB48" s="56"/>
      <c r="AC48" s="56"/>
      <c r="AD48" s="57">
        <f t="shared" si="31"/>
        <v>1000</v>
      </c>
      <c r="AE48" s="56"/>
      <c r="AF48" s="56"/>
      <c r="AG48" s="56"/>
      <c r="AH48" s="57">
        <f t="shared" si="32"/>
        <v>1000</v>
      </c>
      <c r="AI48" s="56"/>
      <c r="AJ48" s="56"/>
      <c r="AK48" s="56"/>
      <c r="AL48" s="250"/>
      <c r="AM48" s="56"/>
      <c r="AN48" s="56"/>
      <c r="AO48" s="56"/>
      <c r="AP48" s="245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>
        <f t="shared" si="42"/>
        <v>11000</v>
      </c>
      <c r="BC48" s="56">
        <f t="shared" si="43"/>
        <v>250</v>
      </c>
      <c r="BE48">
        <f ca="1">'Monthly Collection-2025'!CC48</f>
        <v>0</v>
      </c>
      <c r="BF48" t="str">
        <f t="shared" ca="1" si="44"/>
        <v>R</v>
      </c>
      <c r="BG48">
        <f t="shared" ca="1" si="45"/>
        <v>0</v>
      </c>
      <c r="BH48" t="str">
        <f t="shared" ca="1" si="46"/>
        <v/>
      </c>
      <c r="BI48">
        <f t="shared" ca="1" si="47"/>
        <v>0</v>
      </c>
      <c r="BJ48" t="str">
        <f t="shared" ca="1" si="48"/>
        <v/>
      </c>
      <c r="BK48">
        <f t="shared" ca="1" si="49"/>
        <v>0</v>
      </c>
      <c r="BL48" t="str">
        <f t="shared" ca="1" si="50"/>
        <v>R</v>
      </c>
      <c r="BM48">
        <f t="shared" ca="1" si="51"/>
        <v>0</v>
      </c>
      <c r="BN48" t="str">
        <f t="shared" ca="1" si="52"/>
        <v/>
      </c>
      <c r="BO48">
        <f t="shared" ca="1" si="53"/>
        <v>0</v>
      </c>
      <c r="BP48" t="str">
        <f t="shared" ca="1" si="54"/>
        <v/>
      </c>
      <c r="BQ48">
        <f t="shared" ca="1" si="55"/>
        <v>0</v>
      </c>
      <c r="BR48" t="str">
        <f t="shared" ca="1" si="56"/>
        <v/>
      </c>
      <c r="BS48">
        <f t="shared" ca="1" si="57"/>
        <v>0</v>
      </c>
      <c r="BT48" t="str">
        <f t="shared" ca="1" si="58"/>
        <v/>
      </c>
      <c r="BU48">
        <f t="shared" ca="1" si="59"/>
        <v>0</v>
      </c>
      <c r="BV48" t="str">
        <f t="shared" ca="1" si="60"/>
        <v>R</v>
      </c>
      <c r="BW48">
        <f t="shared" ca="1" si="61"/>
        <v>0</v>
      </c>
      <c r="BX48" t="str">
        <f t="shared" ca="1" si="62"/>
        <v>R</v>
      </c>
      <c r="BY48">
        <f t="shared" ca="1" si="63"/>
        <v>0</v>
      </c>
      <c r="BZ48" t="str">
        <f t="shared" ca="1" si="64"/>
        <v/>
      </c>
      <c r="CA48">
        <f t="shared" ca="1" si="65"/>
        <v>0</v>
      </c>
      <c r="CB48" t="str">
        <f t="shared" ca="1" si="66"/>
        <v/>
      </c>
      <c r="CC48">
        <f t="shared" ca="1" si="67"/>
        <v>0</v>
      </c>
    </row>
    <row r="49" spans="2:81" ht="14.25" customHeight="1" x14ac:dyDescent="0.3">
      <c r="B49" s="51">
        <f t="shared" si="41"/>
        <v>46</v>
      </c>
      <c r="C49" s="52" t="s">
        <v>115</v>
      </c>
      <c r="D49" s="16">
        <f>'Member Wise Deposit Summary'!D49</f>
        <v>1871081769</v>
      </c>
      <c r="E49" s="52">
        <v>1</v>
      </c>
      <c r="F49" s="243"/>
      <c r="G49" s="52"/>
      <c r="H49" s="52">
        <v>1000</v>
      </c>
      <c r="I49" s="52">
        <v>50</v>
      </c>
      <c r="J49" s="243"/>
      <c r="K49" s="52"/>
      <c r="L49" s="52">
        <v>3000</v>
      </c>
      <c r="M49" s="52">
        <v>150</v>
      </c>
      <c r="N49" s="243"/>
      <c r="O49" s="52"/>
      <c r="P49" s="52">
        <v>2000</v>
      </c>
      <c r="Q49" s="52">
        <v>100</v>
      </c>
      <c r="R49" s="52">
        <f t="shared" ref="R49:R54" si="68">E49*1000</f>
        <v>1000</v>
      </c>
      <c r="S49" s="52"/>
      <c r="T49" s="52">
        <v>2000</v>
      </c>
      <c r="U49" s="52">
        <v>100</v>
      </c>
      <c r="V49" s="53">
        <f t="shared" si="29"/>
        <v>1000</v>
      </c>
      <c r="W49" s="52"/>
      <c r="X49" s="52"/>
      <c r="Y49" s="52"/>
      <c r="Z49" s="53">
        <f t="shared" si="30"/>
        <v>1000</v>
      </c>
      <c r="AA49" s="52"/>
      <c r="AB49" s="52"/>
      <c r="AC49" s="52"/>
      <c r="AD49" s="53">
        <f t="shared" si="31"/>
        <v>1000</v>
      </c>
      <c r="AE49" s="52"/>
      <c r="AF49" s="52"/>
      <c r="AG49" s="52"/>
      <c r="AH49" s="53">
        <f t="shared" si="32"/>
        <v>1000</v>
      </c>
      <c r="AI49" s="52"/>
      <c r="AJ49" s="52"/>
      <c r="AK49" s="52"/>
      <c r="AL49" s="49">
        <f t="shared" si="33"/>
        <v>1000</v>
      </c>
      <c r="AM49" s="52"/>
      <c r="AN49" s="52"/>
      <c r="AO49" s="52"/>
      <c r="AP49" s="248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>
        <f t="shared" si="42"/>
        <v>14000</v>
      </c>
      <c r="BC49" s="52">
        <f t="shared" si="43"/>
        <v>400</v>
      </c>
      <c r="BE49">
        <f ca="1">'Monthly Collection-2025'!CC49</f>
        <v>0</v>
      </c>
      <c r="BF49" t="str">
        <f t="shared" ca="1" si="44"/>
        <v>R</v>
      </c>
      <c r="BG49">
        <f t="shared" ca="1" si="45"/>
        <v>0</v>
      </c>
      <c r="BH49" t="str">
        <f t="shared" ca="1" si="46"/>
        <v>R</v>
      </c>
      <c r="BI49">
        <f t="shared" ca="1" si="47"/>
        <v>0</v>
      </c>
      <c r="BJ49" t="str">
        <f t="shared" ca="1" si="48"/>
        <v>R</v>
      </c>
      <c r="BK49">
        <f t="shared" ca="1" si="49"/>
        <v>0</v>
      </c>
      <c r="BL49" t="str">
        <f t="shared" ca="1" si="50"/>
        <v/>
      </c>
      <c r="BM49">
        <f t="shared" ca="1" si="51"/>
        <v>0</v>
      </c>
      <c r="BN49" t="str">
        <f t="shared" ca="1" si="52"/>
        <v/>
      </c>
      <c r="BO49">
        <f t="shared" ca="1" si="53"/>
        <v>0</v>
      </c>
      <c r="BP49" t="str">
        <f t="shared" ca="1" si="54"/>
        <v/>
      </c>
      <c r="BQ49">
        <f t="shared" ca="1" si="55"/>
        <v>0</v>
      </c>
      <c r="BR49" t="str">
        <f t="shared" ca="1" si="56"/>
        <v/>
      </c>
      <c r="BS49">
        <f t="shared" ca="1" si="57"/>
        <v>0</v>
      </c>
      <c r="BT49" t="str">
        <f t="shared" ca="1" si="58"/>
        <v/>
      </c>
      <c r="BU49">
        <f t="shared" ca="1" si="59"/>
        <v>0</v>
      </c>
      <c r="BV49" t="str">
        <f t="shared" ca="1" si="60"/>
        <v/>
      </c>
      <c r="BW49">
        <f t="shared" ca="1" si="61"/>
        <v>0</v>
      </c>
      <c r="BX49" t="str">
        <f t="shared" ca="1" si="62"/>
        <v>R</v>
      </c>
      <c r="BY49">
        <f t="shared" ca="1" si="63"/>
        <v>0</v>
      </c>
      <c r="BZ49" t="str">
        <f t="shared" ca="1" si="64"/>
        <v/>
      </c>
      <c r="CA49">
        <f t="shared" ca="1" si="65"/>
        <v>0</v>
      </c>
      <c r="CB49" t="str">
        <f t="shared" ca="1" si="66"/>
        <v/>
      </c>
      <c r="CC49">
        <f t="shared" ca="1" si="67"/>
        <v>0</v>
      </c>
    </row>
    <row r="50" spans="2:81" ht="14.25" customHeight="1" x14ac:dyDescent="0.3">
      <c r="B50" s="55">
        <f t="shared" si="41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>
        <f>$E50*1000</f>
        <v>1000</v>
      </c>
      <c r="G50" s="56"/>
      <c r="H50" s="56"/>
      <c r="I50" s="56"/>
      <c r="J50" s="56">
        <f>$E50*1000</f>
        <v>1000</v>
      </c>
      <c r="K50" s="56"/>
      <c r="L50" s="56"/>
      <c r="M50" s="56"/>
      <c r="N50" s="56">
        <f>$E50*1000</f>
        <v>1000</v>
      </c>
      <c r="O50" s="56"/>
      <c r="P50" s="56"/>
      <c r="Q50" s="56"/>
      <c r="R50" s="56">
        <f t="shared" si="68"/>
        <v>1000</v>
      </c>
      <c r="S50" s="56"/>
      <c r="T50" s="56"/>
      <c r="U50" s="56"/>
      <c r="V50" s="57">
        <f t="shared" si="29"/>
        <v>1000</v>
      </c>
      <c r="W50" s="56"/>
      <c r="X50" s="56"/>
      <c r="Y50" s="56"/>
      <c r="Z50" s="57">
        <f t="shared" si="30"/>
        <v>1000</v>
      </c>
      <c r="AA50" s="56"/>
      <c r="AB50" s="56"/>
      <c r="AC50" s="56"/>
      <c r="AD50" s="57">
        <f t="shared" si="31"/>
        <v>1000</v>
      </c>
      <c r="AE50" s="56"/>
      <c r="AF50" s="56"/>
      <c r="AG50" s="56"/>
      <c r="AH50" s="57">
        <f t="shared" si="32"/>
        <v>1000</v>
      </c>
      <c r="AI50" s="56"/>
      <c r="AJ50" s="56"/>
      <c r="AK50" s="56"/>
      <c r="AL50" s="49">
        <f t="shared" si="33"/>
        <v>1000</v>
      </c>
      <c r="AM50" s="56"/>
      <c r="AN50" s="56"/>
      <c r="AO50" s="56"/>
      <c r="AP50" s="245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>
        <f t="shared" si="42"/>
        <v>9000</v>
      </c>
      <c r="BC50" s="56">
        <f t="shared" si="43"/>
        <v>0</v>
      </c>
      <c r="BE50">
        <f ca="1">'Monthly Collection-2025'!CC50</f>
        <v>0</v>
      </c>
      <c r="BF50" t="str">
        <f t="shared" ca="1" si="44"/>
        <v/>
      </c>
      <c r="BG50">
        <f t="shared" ca="1" si="45"/>
        <v>0</v>
      </c>
      <c r="BH50" t="str">
        <f t="shared" ca="1" si="46"/>
        <v/>
      </c>
      <c r="BI50">
        <f t="shared" ca="1" si="47"/>
        <v>0</v>
      </c>
      <c r="BJ50" t="str">
        <f t="shared" ca="1" si="48"/>
        <v/>
      </c>
      <c r="BK50">
        <f t="shared" ca="1" si="49"/>
        <v>0</v>
      </c>
      <c r="BL50" t="str">
        <f t="shared" ca="1" si="50"/>
        <v/>
      </c>
      <c r="BM50">
        <f t="shared" ca="1" si="51"/>
        <v>0</v>
      </c>
      <c r="BN50" t="str">
        <f t="shared" ca="1" si="52"/>
        <v/>
      </c>
      <c r="BO50">
        <f t="shared" ca="1" si="53"/>
        <v>0</v>
      </c>
      <c r="BP50" t="str">
        <f t="shared" ca="1" si="54"/>
        <v/>
      </c>
      <c r="BQ50">
        <f t="shared" ca="1" si="55"/>
        <v>0</v>
      </c>
      <c r="BR50" t="str">
        <f t="shared" ca="1" si="56"/>
        <v/>
      </c>
      <c r="BS50">
        <f t="shared" ca="1" si="57"/>
        <v>0</v>
      </c>
      <c r="BT50" t="str">
        <f t="shared" ca="1" si="58"/>
        <v/>
      </c>
      <c r="BU50">
        <f t="shared" ca="1" si="59"/>
        <v>0</v>
      </c>
      <c r="BV50" t="str">
        <f t="shared" ca="1" si="60"/>
        <v/>
      </c>
      <c r="BW50">
        <f t="shared" ca="1" si="61"/>
        <v>0</v>
      </c>
      <c r="BX50" t="str">
        <f t="shared" ca="1" si="62"/>
        <v>R</v>
      </c>
      <c r="BY50">
        <f t="shared" ca="1" si="63"/>
        <v>0</v>
      </c>
      <c r="BZ50" t="str">
        <f t="shared" ca="1" si="64"/>
        <v/>
      </c>
      <c r="CA50">
        <f t="shared" ca="1" si="65"/>
        <v>0</v>
      </c>
      <c r="CB50" t="str">
        <f t="shared" ca="1" si="66"/>
        <v/>
      </c>
      <c r="CC50">
        <f t="shared" ca="1" si="67"/>
        <v>0</v>
      </c>
    </row>
    <row r="51" spans="2:81" ht="14.25" customHeight="1" x14ac:dyDescent="0.3">
      <c r="B51" s="51">
        <f t="shared" si="41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>
        <f>$E51*1000</f>
        <v>2000</v>
      </c>
      <c r="G51" s="52"/>
      <c r="H51" s="52"/>
      <c r="I51" s="52"/>
      <c r="J51" s="52">
        <f>$E51*1000</f>
        <v>2000</v>
      </c>
      <c r="K51" s="52"/>
      <c r="L51" s="52"/>
      <c r="M51" s="52"/>
      <c r="N51" s="52">
        <f>$E51*1000</f>
        <v>2000</v>
      </c>
      <c r="O51" s="52"/>
      <c r="P51" s="52"/>
      <c r="Q51" s="52"/>
      <c r="R51" s="52">
        <f t="shared" si="68"/>
        <v>2000</v>
      </c>
      <c r="S51" s="52"/>
      <c r="T51" s="52"/>
      <c r="U51" s="52"/>
      <c r="V51" s="53">
        <f t="shared" si="29"/>
        <v>2000</v>
      </c>
      <c r="W51" s="52"/>
      <c r="X51" s="52"/>
      <c r="Y51" s="52"/>
      <c r="Z51" s="53">
        <f t="shared" si="30"/>
        <v>2000</v>
      </c>
      <c r="AA51" s="52"/>
      <c r="AB51" s="52"/>
      <c r="AC51" s="52"/>
      <c r="AD51" s="53">
        <f t="shared" si="31"/>
        <v>2000</v>
      </c>
      <c r="AE51" s="52"/>
      <c r="AF51" s="52"/>
      <c r="AG51" s="52"/>
      <c r="AH51" s="53">
        <f t="shared" si="32"/>
        <v>2000</v>
      </c>
      <c r="AI51" s="52"/>
      <c r="AJ51" s="52"/>
      <c r="AK51" s="52"/>
      <c r="AL51" s="49">
        <f t="shared" si="33"/>
        <v>2000</v>
      </c>
      <c r="AM51" s="52"/>
      <c r="AN51" s="52"/>
      <c r="AO51" s="52"/>
      <c r="AP51" s="53">
        <v>2000</v>
      </c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>
        <f t="shared" si="42"/>
        <v>20000</v>
      </c>
      <c r="BC51" s="52">
        <f t="shared" si="43"/>
        <v>0</v>
      </c>
      <c r="BE51">
        <f ca="1">'Monthly Collection-2025'!CC51</f>
        <v>0</v>
      </c>
      <c r="BF51" t="str">
        <f t="shared" ca="1" si="44"/>
        <v/>
      </c>
      <c r="BG51">
        <f t="shared" ca="1" si="45"/>
        <v>0</v>
      </c>
      <c r="BH51" t="str">
        <f t="shared" ca="1" si="46"/>
        <v/>
      </c>
      <c r="BI51">
        <f t="shared" ca="1" si="47"/>
        <v>0</v>
      </c>
      <c r="BJ51" t="str">
        <f t="shared" ca="1" si="48"/>
        <v/>
      </c>
      <c r="BK51">
        <f t="shared" ca="1" si="49"/>
        <v>0</v>
      </c>
      <c r="BL51" t="str">
        <f t="shared" ca="1" si="50"/>
        <v/>
      </c>
      <c r="BM51">
        <f t="shared" ca="1" si="51"/>
        <v>0</v>
      </c>
      <c r="BN51" t="str">
        <f t="shared" ca="1" si="52"/>
        <v/>
      </c>
      <c r="BO51">
        <f t="shared" ca="1" si="53"/>
        <v>0</v>
      </c>
      <c r="BP51" t="str">
        <f t="shared" ca="1" si="54"/>
        <v/>
      </c>
      <c r="BQ51">
        <f t="shared" ca="1" si="55"/>
        <v>0</v>
      </c>
      <c r="BR51" t="str">
        <f t="shared" ca="1" si="56"/>
        <v/>
      </c>
      <c r="BS51">
        <f t="shared" ca="1" si="57"/>
        <v>0</v>
      </c>
      <c r="BT51" t="str">
        <f t="shared" ca="1" si="58"/>
        <v/>
      </c>
      <c r="BU51">
        <f t="shared" ca="1" si="59"/>
        <v>0</v>
      </c>
      <c r="BV51" t="str">
        <f t="shared" ca="1" si="60"/>
        <v/>
      </c>
      <c r="BW51">
        <f t="shared" ca="1" si="61"/>
        <v>0</v>
      </c>
      <c r="BX51" t="str">
        <f t="shared" ca="1" si="62"/>
        <v/>
      </c>
      <c r="BY51">
        <f t="shared" ca="1" si="63"/>
        <v>0</v>
      </c>
      <c r="BZ51" t="str">
        <f t="shared" ca="1" si="64"/>
        <v/>
      </c>
      <c r="CA51">
        <f t="shared" ca="1" si="65"/>
        <v>0</v>
      </c>
      <c r="CB51" t="str">
        <f t="shared" ca="1" si="66"/>
        <v/>
      </c>
      <c r="CC51">
        <f t="shared" ca="1" si="67"/>
        <v>0</v>
      </c>
    </row>
    <row r="52" spans="2:81" ht="14.25" customHeight="1" x14ac:dyDescent="0.3">
      <c r="B52" s="55">
        <f t="shared" si="41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>
        <f>$E52*1000</f>
        <v>1000</v>
      </c>
      <c r="G52" s="56"/>
      <c r="H52" s="56"/>
      <c r="I52" s="56"/>
      <c r="J52" s="241"/>
      <c r="K52" s="56"/>
      <c r="L52" s="56"/>
      <c r="M52" s="56"/>
      <c r="N52" s="241"/>
      <c r="O52" s="56"/>
      <c r="P52" s="56"/>
      <c r="Q52" s="56"/>
      <c r="R52" s="56">
        <f t="shared" si="68"/>
        <v>1000</v>
      </c>
      <c r="S52" s="56"/>
      <c r="T52" s="56">
        <v>2000</v>
      </c>
      <c r="U52" s="56">
        <v>100</v>
      </c>
      <c r="V52" s="57">
        <f t="shared" si="29"/>
        <v>1000</v>
      </c>
      <c r="W52" s="56"/>
      <c r="X52" s="56"/>
      <c r="Y52" s="56"/>
      <c r="Z52" s="57">
        <f t="shared" si="30"/>
        <v>1000</v>
      </c>
      <c r="AA52" s="56"/>
      <c r="AB52" s="56"/>
      <c r="AC52" s="56"/>
      <c r="AD52" s="57">
        <f t="shared" si="31"/>
        <v>1000</v>
      </c>
      <c r="AE52" s="56"/>
      <c r="AF52" s="56"/>
      <c r="AG52" s="56"/>
      <c r="AH52" s="245"/>
      <c r="AI52" s="56"/>
      <c r="AJ52" s="56"/>
      <c r="AK52" s="56"/>
      <c r="AL52" s="250"/>
      <c r="AM52" s="56"/>
      <c r="AN52" s="56"/>
      <c r="AO52" s="56"/>
      <c r="AP52" s="57">
        <v>1000</v>
      </c>
      <c r="AQ52" s="56"/>
      <c r="AR52" s="56">
        <v>2000</v>
      </c>
      <c r="AS52" s="56">
        <v>100</v>
      </c>
      <c r="AT52" s="56"/>
      <c r="AU52" s="56"/>
      <c r="AV52" s="56"/>
      <c r="AW52" s="56"/>
      <c r="AX52" s="56"/>
      <c r="AY52" s="56"/>
      <c r="AZ52" s="56"/>
      <c r="BA52" s="56"/>
      <c r="BB52" s="56">
        <f t="shared" si="42"/>
        <v>10000</v>
      </c>
      <c r="BC52" s="56">
        <f t="shared" si="43"/>
        <v>200</v>
      </c>
      <c r="BE52">
        <f ca="1">'Monthly Collection-2025'!CC52</f>
        <v>0</v>
      </c>
      <c r="BF52" t="str">
        <f t="shared" ca="1" si="44"/>
        <v/>
      </c>
      <c r="BG52">
        <f t="shared" ca="1" si="45"/>
        <v>0</v>
      </c>
      <c r="BH52" t="str">
        <f t="shared" ca="1" si="46"/>
        <v>R</v>
      </c>
      <c r="BI52">
        <f t="shared" ca="1" si="47"/>
        <v>0</v>
      </c>
      <c r="BJ52" t="str">
        <f t="shared" ca="1" si="48"/>
        <v>R</v>
      </c>
      <c r="BK52">
        <f t="shared" ca="1" si="49"/>
        <v>0</v>
      </c>
      <c r="BL52" t="str">
        <f t="shared" ca="1" si="50"/>
        <v/>
      </c>
      <c r="BM52">
        <f t="shared" ca="1" si="51"/>
        <v>0</v>
      </c>
      <c r="BN52" t="str">
        <f t="shared" ca="1" si="52"/>
        <v/>
      </c>
      <c r="BO52">
        <f t="shared" ca="1" si="53"/>
        <v>0</v>
      </c>
      <c r="BP52" t="str">
        <f t="shared" ca="1" si="54"/>
        <v/>
      </c>
      <c r="BQ52">
        <f t="shared" ca="1" si="55"/>
        <v>0</v>
      </c>
      <c r="BR52" t="str">
        <f t="shared" ca="1" si="56"/>
        <v/>
      </c>
      <c r="BS52">
        <f t="shared" ca="1" si="57"/>
        <v>0</v>
      </c>
      <c r="BT52" t="str">
        <f t="shared" ca="1" si="58"/>
        <v>R</v>
      </c>
      <c r="BU52">
        <f t="shared" ca="1" si="59"/>
        <v>0</v>
      </c>
      <c r="BV52" t="str">
        <f t="shared" ca="1" si="60"/>
        <v>R</v>
      </c>
      <c r="BW52">
        <f t="shared" ca="1" si="61"/>
        <v>0</v>
      </c>
      <c r="BX52" t="str">
        <f t="shared" ca="1" si="62"/>
        <v/>
      </c>
      <c r="BY52">
        <f t="shared" ca="1" si="63"/>
        <v>0</v>
      </c>
      <c r="BZ52" t="str">
        <f t="shared" ca="1" si="64"/>
        <v/>
      </c>
      <c r="CA52">
        <f t="shared" ca="1" si="65"/>
        <v>0</v>
      </c>
      <c r="CB52" t="str">
        <f t="shared" ca="1" si="66"/>
        <v/>
      </c>
      <c r="CC52">
        <f t="shared" ca="1" si="67"/>
        <v>0</v>
      </c>
    </row>
    <row r="53" spans="2:81" ht="14.25" customHeight="1" x14ac:dyDescent="0.3">
      <c r="B53" s="51">
        <f t="shared" si="41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>
        <f>$E53*1000</f>
        <v>1000</v>
      </c>
      <c r="G53" s="52"/>
      <c r="H53" s="52"/>
      <c r="I53" s="52"/>
      <c r="J53" s="52">
        <f>$E53*1000</f>
        <v>1000</v>
      </c>
      <c r="K53" s="52"/>
      <c r="L53" s="52"/>
      <c r="M53" s="52"/>
      <c r="N53" s="52">
        <f>$E53*1000</f>
        <v>1000</v>
      </c>
      <c r="O53" s="52"/>
      <c r="P53" s="52"/>
      <c r="Q53" s="52"/>
      <c r="R53" s="52">
        <f t="shared" si="68"/>
        <v>1000</v>
      </c>
      <c r="S53" s="52"/>
      <c r="T53" s="52"/>
      <c r="U53" s="52"/>
      <c r="V53" s="53">
        <f t="shared" si="29"/>
        <v>1000</v>
      </c>
      <c r="W53" s="52"/>
      <c r="X53" s="52"/>
      <c r="Y53" s="52"/>
      <c r="Z53" s="53">
        <f t="shared" si="30"/>
        <v>1000</v>
      </c>
      <c r="AA53" s="52"/>
      <c r="AB53" s="52"/>
      <c r="AC53" s="52"/>
      <c r="AD53" s="53">
        <f t="shared" si="31"/>
        <v>1000</v>
      </c>
      <c r="AE53" s="52"/>
      <c r="AF53" s="52"/>
      <c r="AG53" s="52"/>
      <c r="AH53" s="53">
        <f t="shared" si="32"/>
        <v>1000</v>
      </c>
      <c r="AI53" s="52"/>
      <c r="AJ53" s="52"/>
      <c r="AK53" s="52"/>
      <c r="AL53" s="49">
        <f t="shared" si="33"/>
        <v>1000</v>
      </c>
      <c r="AM53" s="52"/>
      <c r="AN53" s="52"/>
      <c r="AO53" s="52"/>
      <c r="AP53" s="53">
        <v>1000</v>
      </c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>
        <f t="shared" si="42"/>
        <v>10000</v>
      </c>
      <c r="BC53" s="52">
        <f t="shared" si="43"/>
        <v>0</v>
      </c>
      <c r="BE53">
        <f ca="1">'Monthly Collection-2025'!CC53</f>
        <v>0</v>
      </c>
      <c r="BF53" t="str">
        <f t="shared" ca="1" si="44"/>
        <v/>
      </c>
      <c r="BG53">
        <f t="shared" ca="1" si="45"/>
        <v>0</v>
      </c>
      <c r="BH53" t="str">
        <f t="shared" ca="1" si="46"/>
        <v/>
      </c>
      <c r="BI53">
        <f t="shared" ca="1" si="47"/>
        <v>0</v>
      </c>
      <c r="BJ53" t="str">
        <f t="shared" ca="1" si="48"/>
        <v/>
      </c>
      <c r="BK53">
        <f t="shared" ca="1" si="49"/>
        <v>0</v>
      </c>
      <c r="BL53" t="str">
        <f t="shared" ca="1" si="50"/>
        <v/>
      </c>
      <c r="BM53">
        <f t="shared" ca="1" si="51"/>
        <v>0</v>
      </c>
      <c r="BN53" t="str">
        <f t="shared" ca="1" si="52"/>
        <v/>
      </c>
      <c r="BO53">
        <f t="shared" ca="1" si="53"/>
        <v>0</v>
      </c>
      <c r="BP53" t="str">
        <f t="shared" ca="1" si="54"/>
        <v/>
      </c>
      <c r="BQ53">
        <f t="shared" ca="1" si="55"/>
        <v>0</v>
      </c>
      <c r="BR53" t="str">
        <f t="shared" ca="1" si="56"/>
        <v/>
      </c>
      <c r="BS53">
        <f t="shared" ca="1" si="57"/>
        <v>0</v>
      </c>
      <c r="BT53" t="str">
        <f t="shared" ca="1" si="58"/>
        <v/>
      </c>
      <c r="BU53">
        <f t="shared" ca="1" si="59"/>
        <v>0</v>
      </c>
      <c r="BV53" t="str">
        <f t="shared" ca="1" si="60"/>
        <v/>
      </c>
      <c r="BW53">
        <f t="shared" ca="1" si="61"/>
        <v>0</v>
      </c>
      <c r="BX53" t="str">
        <f t="shared" ca="1" si="62"/>
        <v/>
      </c>
      <c r="BY53">
        <f t="shared" ca="1" si="63"/>
        <v>0</v>
      </c>
      <c r="BZ53" t="str">
        <f t="shared" ca="1" si="64"/>
        <v/>
      </c>
      <c r="CA53">
        <f t="shared" ca="1" si="65"/>
        <v>0</v>
      </c>
      <c r="CB53" t="str">
        <f t="shared" ca="1" si="66"/>
        <v/>
      </c>
      <c r="CC53">
        <f t="shared" ca="1" si="67"/>
        <v>0</v>
      </c>
    </row>
    <row r="54" spans="2:81" ht="14.25" customHeight="1" x14ac:dyDescent="0.3">
      <c r="B54" s="55">
        <f t="shared" si="41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>
        <f>$E54*1000</f>
        <v>3000</v>
      </c>
      <c r="G54" s="56"/>
      <c r="H54" s="56"/>
      <c r="I54" s="56"/>
      <c r="J54" s="56">
        <f>$E54*1000</f>
        <v>3000</v>
      </c>
      <c r="K54" s="56"/>
      <c r="L54" s="56"/>
      <c r="M54" s="56"/>
      <c r="N54" s="56">
        <f>$E54*1000</f>
        <v>3000</v>
      </c>
      <c r="O54" s="56"/>
      <c r="P54" s="56"/>
      <c r="Q54" s="56"/>
      <c r="R54" s="56">
        <f t="shared" si="68"/>
        <v>3000</v>
      </c>
      <c r="S54" s="56"/>
      <c r="T54" s="56"/>
      <c r="U54" s="56"/>
      <c r="V54" s="57">
        <f t="shared" si="29"/>
        <v>3000</v>
      </c>
      <c r="W54" s="56"/>
      <c r="X54" s="56"/>
      <c r="Y54" s="56"/>
      <c r="Z54" s="57">
        <f t="shared" si="30"/>
        <v>3000</v>
      </c>
      <c r="AA54" s="56"/>
      <c r="AB54" s="56"/>
      <c r="AC54" s="56"/>
      <c r="AD54" s="57">
        <f t="shared" si="31"/>
        <v>3000</v>
      </c>
      <c r="AE54" s="56"/>
      <c r="AF54" s="56"/>
      <c r="AG54" s="56"/>
      <c r="AH54" s="57">
        <f t="shared" si="32"/>
        <v>3000</v>
      </c>
      <c r="AI54" s="56"/>
      <c r="AJ54" s="56"/>
      <c r="AK54" s="56"/>
      <c r="AL54" s="49">
        <f t="shared" si="33"/>
        <v>3000</v>
      </c>
      <c r="AM54" s="56"/>
      <c r="AN54" s="56"/>
      <c r="AO54" s="56"/>
      <c r="AP54" s="57">
        <v>3000</v>
      </c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>
        <f t="shared" si="42"/>
        <v>30000</v>
      </c>
      <c r="BC54" s="56">
        <f t="shared" si="43"/>
        <v>0</v>
      </c>
      <c r="BE54">
        <f ca="1">'Monthly Collection-2025'!CC54</f>
        <v>0</v>
      </c>
      <c r="BF54" t="str">
        <f t="shared" ca="1" si="44"/>
        <v/>
      </c>
      <c r="BG54">
        <f t="shared" ca="1" si="45"/>
        <v>0</v>
      </c>
      <c r="BH54" t="str">
        <f t="shared" ca="1" si="46"/>
        <v/>
      </c>
      <c r="BI54">
        <f t="shared" ca="1" si="47"/>
        <v>0</v>
      </c>
      <c r="BJ54" t="str">
        <f t="shared" ca="1" si="48"/>
        <v/>
      </c>
      <c r="BK54">
        <f t="shared" ca="1" si="49"/>
        <v>0</v>
      </c>
      <c r="BL54" t="str">
        <f t="shared" ca="1" si="50"/>
        <v/>
      </c>
      <c r="BM54">
        <f t="shared" ca="1" si="51"/>
        <v>0</v>
      </c>
      <c r="BN54" t="str">
        <f t="shared" ca="1" si="52"/>
        <v/>
      </c>
      <c r="BO54">
        <f t="shared" ca="1" si="53"/>
        <v>0</v>
      </c>
      <c r="BP54" t="str">
        <f t="shared" ca="1" si="54"/>
        <v/>
      </c>
      <c r="BQ54">
        <f t="shared" ca="1" si="55"/>
        <v>0</v>
      </c>
      <c r="BR54" t="str">
        <f t="shared" ca="1" si="56"/>
        <v/>
      </c>
      <c r="BS54">
        <f t="shared" ca="1" si="57"/>
        <v>0</v>
      </c>
      <c r="BT54" t="str">
        <f t="shared" ca="1" si="58"/>
        <v/>
      </c>
      <c r="BU54">
        <f t="shared" ca="1" si="59"/>
        <v>0</v>
      </c>
      <c r="BV54" t="str">
        <f t="shared" ca="1" si="60"/>
        <v/>
      </c>
      <c r="BW54">
        <f t="shared" ca="1" si="61"/>
        <v>0</v>
      </c>
      <c r="BX54" t="str">
        <f t="shared" ca="1" si="62"/>
        <v/>
      </c>
      <c r="BY54">
        <f t="shared" ca="1" si="63"/>
        <v>0</v>
      </c>
      <c r="BZ54" t="str">
        <f t="shared" ca="1" si="64"/>
        <v/>
      </c>
      <c r="CA54">
        <f t="shared" ca="1" si="65"/>
        <v>0</v>
      </c>
      <c r="CB54" t="str">
        <f t="shared" ca="1" si="66"/>
        <v/>
      </c>
      <c r="CC54">
        <f t="shared" ca="1" si="67"/>
        <v>0</v>
      </c>
    </row>
    <row r="55" spans="2:81" ht="14.25" customHeight="1" x14ac:dyDescent="0.3">
      <c r="B55" s="51">
        <f t="shared" si="41"/>
        <v>52</v>
      </c>
      <c r="C55" s="52" t="s">
        <v>121</v>
      </c>
      <c r="D55" s="16">
        <f>'Member Wise Deposit Summary'!D55</f>
        <v>1833903155</v>
      </c>
      <c r="E55" s="52">
        <v>1</v>
      </c>
      <c r="F55" s="243"/>
      <c r="G55" s="52"/>
      <c r="H55" s="52"/>
      <c r="I55" s="52"/>
      <c r="J55" s="243"/>
      <c r="K55" s="52"/>
      <c r="L55" s="52"/>
      <c r="M55" s="52"/>
      <c r="N55" s="243"/>
      <c r="O55" s="52"/>
      <c r="P55" s="52">
        <v>2000</v>
      </c>
      <c r="Q55" s="52">
        <v>100</v>
      </c>
      <c r="R55" s="243"/>
      <c r="S55" s="52"/>
      <c r="T55" s="52"/>
      <c r="U55" s="52"/>
      <c r="V55" s="248"/>
      <c r="W55" s="52"/>
      <c r="X55" s="52">
        <v>2000</v>
      </c>
      <c r="Y55" s="52">
        <v>100</v>
      </c>
      <c r="Z55" s="248"/>
      <c r="AA55" s="52"/>
      <c r="AB55" s="52"/>
      <c r="AC55" s="52"/>
      <c r="AD55" s="248"/>
      <c r="AE55" s="52"/>
      <c r="AF55" s="52"/>
      <c r="AG55" s="52"/>
      <c r="AH55" s="248"/>
      <c r="AI55" s="52"/>
      <c r="AJ55" s="52"/>
      <c r="AK55" s="52"/>
      <c r="AL55" s="251"/>
      <c r="AM55" s="52"/>
      <c r="AN55" s="52">
        <v>3000</v>
      </c>
      <c r="AO55" s="52">
        <v>150</v>
      </c>
      <c r="AP55" s="248"/>
      <c r="AQ55" s="52"/>
      <c r="AR55" s="52">
        <v>1000</v>
      </c>
      <c r="AS55" s="52">
        <v>50</v>
      </c>
      <c r="AT55" s="52"/>
      <c r="AU55" s="52"/>
      <c r="AV55" s="52"/>
      <c r="AW55" s="52"/>
      <c r="AX55" s="52"/>
      <c r="AY55" s="52"/>
      <c r="AZ55" s="52"/>
      <c r="BA55" s="52"/>
      <c r="BB55" s="52">
        <f t="shared" si="42"/>
        <v>8000</v>
      </c>
      <c r="BC55" s="52">
        <f t="shared" si="43"/>
        <v>400</v>
      </c>
      <c r="BE55">
        <f ca="1">'Monthly Collection-2025'!CC55</f>
        <v>0</v>
      </c>
      <c r="BF55" t="str">
        <f t="shared" ca="1" si="44"/>
        <v>R</v>
      </c>
      <c r="BG55">
        <f t="shared" ca="1" si="45"/>
        <v>0</v>
      </c>
      <c r="BH55" t="str">
        <f t="shared" ca="1" si="46"/>
        <v>R</v>
      </c>
      <c r="BI55">
        <f t="shared" ca="1" si="47"/>
        <v>0</v>
      </c>
      <c r="BJ55" t="str">
        <f t="shared" ca="1" si="48"/>
        <v>R</v>
      </c>
      <c r="BK55">
        <f t="shared" ca="1" si="49"/>
        <v>0</v>
      </c>
      <c r="BL55" t="str">
        <f t="shared" ca="1" si="50"/>
        <v>R</v>
      </c>
      <c r="BM55">
        <f t="shared" ca="1" si="51"/>
        <v>0</v>
      </c>
      <c r="BN55" t="str">
        <f t="shared" ca="1" si="52"/>
        <v>R</v>
      </c>
      <c r="BO55">
        <f t="shared" ca="1" si="53"/>
        <v>0</v>
      </c>
      <c r="BP55" t="str">
        <f t="shared" ca="1" si="54"/>
        <v>R</v>
      </c>
      <c r="BQ55">
        <f t="shared" ca="1" si="55"/>
        <v>0</v>
      </c>
      <c r="BR55" t="str">
        <f t="shared" ca="1" si="56"/>
        <v>R</v>
      </c>
      <c r="BS55">
        <f t="shared" ca="1" si="57"/>
        <v>0</v>
      </c>
      <c r="BT55" t="str">
        <f t="shared" ca="1" si="58"/>
        <v>R</v>
      </c>
      <c r="BU55">
        <f t="shared" ca="1" si="59"/>
        <v>0</v>
      </c>
      <c r="BV55" t="str">
        <f t="shared" ca="1" si="60"/>
        <v>R</v>
      </c>
      <c r="BW55">
        <f t="shared" ca="1" si="61"/>
        <v>0</v>
      </c>
      <c r="BX55" t="str">
        <f t="shared" ca="1" si="62"/>
        <v>R</v>
      </c>
      <c r="BY55">
        <f t="shared" ca="1" si="63"/>
        <v>0</v>
      </c>
      <c r="BZ55" t="str">
        <f t="shared" ca="1" si="64"/>
        <v/>
      </c>
      <c r="CA55">
        <f t="shared" ca="1" si="65"/>
        <v>0</v>
      </c>
      <c r="CB55" t="str">
        <f t="shared" ca="1" si="66"/>
        <v/>
      </c>
      <c r="CC55">
        <f t="shared" ca="1" si="67"/>
        <v>0</v>
      </c>
    </row>
    <row r="56" spans="2:81" ht="14.25" customHeight="1" x14ac:dyDescent="0.3">
      <c r="B56" s="55">
        <f t="shared" si="41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>
        <f>$E56*1000</f>
        <v>1000</v>
      </c>
      <c r="G56" s="56"/>
      <c r="H56" s="56"/>
      <c r="I56" s="56"/>
      <c r="J56" s="56">
        <f>$E56*1000</f>
        <v>1000</v>
      </c>
      <c r="K56" s="56"/>
      <c r="L56" s="56"/>
      <c r="M56" s="56"/>
      <c r="N56" s="56">
        <f>$E56*1000</f>
        <v>1000</v>
      </c>
      <c r="O56" s="56"/>
      <c r="P56" s="56"/>
      <c r="Q56" s="56"/>
      <c r="R56" s="56">
        <f>E56*1000</f>
        <v>1000</v>
      </c>
      <c r="S56" s="56"/>
      <c r="T56" s="56"/>
      <c r="U56" s="56"/>
      <c r="V56" s="57">
        <f t="shared" si="29"/>
        <v>1000</v>
      </c>
      <c r="W56" s="56"/>
      <c r="X56" s="56"/>
      <c r="Y56" s="56"/>
      <c r="Z56" s="57">
        <f t="shared" si="30"/>
        <v>1000</v>
      </c>
      <c r="AA56" s="56"/>
      <c r="AB56" s="56"/>
      <c r="AC56" s="56"/>
      <c r="AD56" s="57">
        <f t="shared" si="31"/>
        <v>1000</v>
      </c>
      <c r="AE56" s="56"/>
      <c r="AF56" s="56"/>
      <c r="AG56" s="56"/>
      <c r="AH56" s="57">
        <f t="shared" si="32"/>
        <v>1000</v>
      </c>
      <c r="AI56" s="56"/>
      <c r="AJ56" s="56"/>
      <c r="AK56" s="56"/>
      <c r="AL56" s="49">
        <f t="shared" si="33"/>
        <v>1000</v>
      </c>
      <c r="AM56" s="56"/>
      <c r="AN56" s="56"/>
      <c r="AO56" s="56"/>
      <c r="AP56" s="57">
        <v>1000</v>
      </c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>
        <f t="shared" si="42"/>
        <v>10000</v>
      </c>
      <c r="BC56" s="56">
        <f t="shared" si="43"/>
        <v>0</v>
      </c>
      <c r="BE56">
        <f ca="1">'Monthly Collection-2025'!CC56</f>
        <v>0</v>
      </c>
      <c r="BF56" t="str">
        <f t="shared" ca="1" si="44"/>
        <v/>
      </c>
      <c r="BG56">
        <f t="shared" ca="1" si="45"/>
        <v>0</v>
      </c>
      <c r="BH56" t="str">
        <f t="shared" ca="1" si="46"/>
        <v/>
      </c>
      <c r="BI56">
        <f t="shared" ca="1" si="47"/>
        <v>0</v>
      </c>
      <c r="BJ56" t="str">
        <f t="shared" ca="1" si="48"/>
        <v/>
      </c>
      <c r="BK56">
        <f t="shared" ca="1" si="49"/>
        <v>0</v>
      </c>
      <c r="BL56" t="str">
        <f t="shared" ca="1" si="50"/>
        <v/>
      </c>
      <c r="BM56">
        <f t="shared" ca="1" si="51"/>
        <v>0</v>
      </c>
      <c r="BN56" t="str">
        <f t="shared" ca="1" si="52"/>
        <v/>
      </c>
      <c r="BO56">
        <f t="shared" ca="1" si="53"/>
        <v>0</v>
      </c>
      <c r="BP56" t="str">
        <f t="shared" ca="1" si="54"/>
        <v/>
      </c>
      <c r="BQ56">
        <f t="shared" ca="1" si="55"/>
        <v>0</v>
      </c>
      <c r="BR56" t="str">
        <f t="shared" ca="1" si="56"/>
        <v/>
      </c>
      <c r="BS56">
        <f t="shared" ca="1" si="57"/>
        <v>0</v>
      </c>
      <c r="BT56" t="str">
        <f t="shared" ca="1" si="58"/>
        <v/>
      </c>
      <c r="BU56">
        <f t="shared" ca="1" si="59"/>
        <v>0</v>
      </c>
      <c r="BV56" t="str">
        <f t="shared" ca="1" si="60"/>
        <v/>
      </c>
      <c r="BW56">
        <f t="shared" ca="1" si="61"/>
        <v>0</v>
      </c>
      <c r="BX56" t="str">
        <f t="shared" ca="1" si="62"/>
        <v/>
      </c>
      <c r="BY56">
        <f t="shared" ca="1" si="63"/>
        <v>0</v>
      </c>
      <c r="BZ56" t="str">
        <f t="shared" ca="1" si="64"/>
        <v/>
      </c>
      <c r="CA56">
        <f t="shared" ca="1" si="65"/>
        <v>0</v>
      </c>
      <c r="CB56" t="str">
        <f t="shared" ca="1" si="66"/>
        <v/>
      </c>
      <c r="CC56">
        <f t="shared" ca="1" si="67"/>
        <v>0</v>
      </c>
    </row>
    <row r="57" spans="2:81" ht="14.25" customHeight="1" x14ac:dyDescent="0.3">
      <c r="B57" s="51">
        <f t="shared" si="41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>
        <f>$E57*1000</f>
        <v>1000</v>
      </c>
      <c r="G57" s="52"/>
      <c r="H57" s="52"/>
      <c r="I57" s="52"/>
      <c r="J57" s="243"/>
      <c r="K57" s="52"/>
      <c r="L57" s="52"/>
      <c r="M57" s="52"/>
      <c r="N57" s="243"/>
      <c r="O57" s="52"/>
      <c r="P57" s="52"/>
      <c r="Q57" s="52"/>
      <c r="R57" s="52">
        <f>E57*1000</f>
        <v>1000</v>
      </c>
      <c r="S57" s="52"/>
      <c r="T57" s="52">
        <v>2000</v>
      </c>
      <c r="U57" s="52">
        <v>100</v>
      </c>
      <c r="V57" s="53">
        <f t="shared" si="29"/>
        <v>1000</v>
      </c>
      <c r="W57" s="52"/>
      <c r="X57" s="52"/>
      <c r="Y57" s="52"/>
      <c r="Z57" s="53">
        <f t="shared" si="30"/>
        <v>1000</v>
      </c>
      <c r="AA57" s="52"/>
      <c r="AB57" s="52"/>
      <c r="AC57" s="52"/>
      <c r="AD57" s="53">
        <f t="shared" si="31"/>
        <v>1000</v>
      </c>
      <c r="AE57" s="52"/>
      <c r="AF57" s="52"/>
      <c r="AG57" s="52"/>
      <c r="AH57" s="248"/>
      <c r="AI57" s="52"/>
      <c r="AJ57" s="52"/>
      <c r="AK57" s="52"/>
      <c r="AL57" s="251"/>
      <c r="AM57" s="52"/>
      <c r="AN57" s="52"/>
      <c r="AO57" s="52"/>
      <c r="AP57" s="53">
        <v>1000</v>
      </c>
      <c r="AQ57" s="52"/>
      <c r="AR57" s="52">
        <v>2000</v>
      </c>
      <c r="AS57" s="52">
        <v>100</v>
      </c>
      <c r="AT57" s="52"/>
      <c r="AU57" s="52"/>
      <c r="AV57" s="52"/>
      <c r="AW57" s="52"/>
      <c r="AX57" s="52"/>
      <c r="AY57" s="52"/>
      <c r="AZ57" s="52"/>
      <c r="BA57" s="52"/>
      <c r="BB57" s="52">
        <f t="shared" si="42"/>
        <v>10000</v>
      </c>
      <c r="BC57" s="52">
        <f t="shared" si="43"/>
        <v>200</v>
      </c>
      <c r="BE57">
        <f ca="1">'Monthly Collection-2025'!CC57</f>
        <v>0</v>
      </c>
      <c r="BF57" t="str">
        <f t="shared" ca="1" si="44"/>
        <v/>
      </c>
      <c r="BG57">
        <f t="shared" ca="1" si="45"/>
        <v>0</v>
      </c>
      <c r="BH57" t="str">
        <f t="shared" ca="1" si="46"/>
        <v>R</v>
      </c>
      <c r="BI57">
        <f t="shared" ca="1" si="47"/>
        <v>0</v>
      </c>
      <c r="BJ57" t="str">
        <f t="shared" ca="1" si="48"/>
        <v>R</v>
      </c>
      <c r="BK57">
        <f t="shared" ca="1" si="49"/>
        <v>0</v>
      </c>
      <c r="BL57" t="str">
        <f t="shared" ca="1" si="50"/>
        <v/>
      </c>
      <c r="BM57">
        <f t="shared" ca="1" si="51"/>
        <v>0</v>
      </c>
      <c r="BN57" t="str">
        <f t="shared" ca="1" si="52"/>
        <v/>
      </c>
      <c r="BO57">
        <f t="shared" ca="1" si="53"/>
        <v>0</v>
      </c>
      <c r="BP57" t="str">
        <f t="shared" ca="1" si="54"/>
        <v/>
      </c>
      <c r="BQ57">
        <f t="shared" ca="1" si="55"/>
        <v>0</v>
      </c>
      <c r="BR57" t="str">
        <f t="shared" ca="1" si="56"/>
        <v/>
      </c>
      <c r="BS57">
        <f t="shared" ca="1" si="57"/>
        <v>0</v>
      </c>
      <c r="BT57" t="str">
        <f t="shared" ca="1" si="58"/>
        <v>R</v>
      </c>
      <c r="BU57">
        <f t="shared" ca="1" si="59"/>
        <v>0</v>
      </c>
      <c r="BV57" t="str">
        <f t="shared" ca="1" si="60"/>
        <v>R</v>
      </c>
      <c r="BW57">
        <f t="shared" ca="1" si="61"/>
        <v>0</v>
      </c>
      <c r="BX57" t="str">
        <f t="shared" ca="1" si="62"/>
        <v/>
      </c>
      <c r="BY57">
        <f t="shared" ca="1" si="63"/>
        <v>0</v>
      </c>
      <c r="BZ57" t="str">
        <f t="shared" ca="1" si="64"/>
        <v/>
      </c>
      <c r="CA57">
        <f t="shared" ca="1" si="65"/>
        <v>0</v>
      </c>
      <c r="CB57" t="str">
        <f t="shared" ca="1" si="66"/>
        <v/>
      </c>
      <c r="CC57">
        <f t="shared" ca="1" si="67"/>
        <v>0</v>
      </c>
    </row>
    <row r="58" spans="2:81" ht="14.25" customHeight="1" x14ac:dyDescent="0.3">
      <c r="B58" s="55">
        <f t="shared" si="41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244"/>
      <c r="G58" s="56"/>
      <c r="H58" s="56"/>
      <c r="I58" s="56"/>
      <c r="J58" s="244"/>
      <c r="K58" s="56"/>
      <c r="L58" s="56"/>
      <c r="M58" s="56"/>
      <c r="N58" s="56">
        <f>$E58*1000</f>
        <v>2000</v>
      </c>
      <c r="O58" s="56">
        <v>8000</v>
      </c>
      <c r="P58" s="56"/>
      <c r="Q58" s="56"/>
      <c r="R58" s="244"/>
      <c r="S58" s="56"/>
      <c r="T58" s="56"/>
      <c r="U58" s="56"/>
      <c r="V58" s="244"/>
      <c r="W58" s="56"/>
      <c r="X58" s="56"/>
      <c r="Y58" s="56"/>
      <c r="Z58" s="252"/>
      <c r="AA58" s="56"/>
      <c r="AB58" s="56"/>
      <c r="AC58" s="56"/>
      <c r="AD58" s="252"/>
      <c r="AE58" s="56"/>
      <c r="AF58" s="56"/>
      <c r="AG58" s="56"/>
      <c r="AH58" s="245"/>
      <c r="AI58" s="56"/>
      <c r="AJ58" s="56"/>
      <c r="AK58" s="56"/>
      <c r="AL58" s="49">
        <f t="shared" si="33"/>
        <v>2000</v>
      </c>
      <c r="AM58" s="56">
        <v>6000</v>
      </c>
      <c r="AN58" s="56">
        <v>2000</v>
      </c>
      <c r="AO58" s="56">
        <v>100</v>
      </c>
      <c r="AP58" s="253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>
        <f t="shared" si="42"/>
        <v>20000</v>
      </c>
      <c r="BC58" s="56">
        <f t="shared" si="43"/>
        <v>100</v>
      </c>
      <c r="BE58">
        <f ca="1">'Monthly Collection-2025'!CC58</f>
        <v>4000</v>
      </c>
      <c r="BF58" t="str">
        <f t="shared" ca="1" si="44"/>
        <v>G</v>
      </c>
      <c r="BG58">
        <f t="shared" ca="1" si="45"/>
        <v>2000</v>
      </c>
      <c r="BH58" t="str">
        <f t="shared" ca="1" si="46"/>
        <v>G</v>
      </c>
      <c r="BI58">
        <f t="shared" ca="1" si="47"/>
        <v>0</v>
      </c>
      <c r="BJ58" t="str">
        <f t="shared" ca="1" si="48"/>
        <v/>
      </c>
      <c r="BK58">
        <f t="shared" ca="1" si="49"/>
        <v>8000</v>
      </c>
      <c r="BL58" t="str">
        <f t="shared" ca="1" si="50"/>
        <v>G</v>
      </c>
      <c r="BM58">
        <f t="shared" ca="1" si="51"/>
        <v>6000</v>
      </c>
      <c r="BN58" t="str">
        <f t="shared" ca="1" si="52"/>
        <v>G</v>
      </c>
      <c r="BO58">
        <f t="shared" ca="1" si="53"/>
        <v>4000</v>
      </c>
      <c r="BP58" t="str">
        <f t="shared" ca="1" si="54"/>
        <v>G</v>
      </c>
      <c r="BQ58">
        <f t="shared" ca="1" si="55"/>
        <v>2000</v>
      </c>
      <c r="BR58" t="str">
        <f t="shared" ca="1" si="56"/>
        <v>G</v>
      </c>
      <c r="BS58">
        <f t="shared" ca="1" si="57"/>
        <v>0</v>
      </c>
      <c r="BT58" t="str">
        <f t="shared" ca="1" si="58"/>
        <v>R</v>
      </c>
      <c r="BU58">
        <f t="shared" ca="1" si="59"/>
        <v>0</v>
      </c>
      <c r="BV58" t="str">
        <f t="shared" ca="1" si="60"/>
        <v/>
      </c>
      <c r="BW58">
        <f t="shared" ca="1" si="61"/>
        <v>6000</v>
      </c>
      <c r="BX58" t="str">
        <f t="shared" ca="1" si="62"/>
        <v>G</v>
      </c>
      <c r="BY58">
        <f t="shared" ca="1" si="63"/>
        <v>4000</v>
      </c>
      <c r="BZ58" t="str">
        <f t="shared" ca="1" si="64"/>
        <v>G</v>
      </c>
      <c r="CA58">
        <f t="shared" ca="1" si="65"/>
        <v>2000</v>
      </c>
      <c r="CB58" t="str">
        <f t="shared" ca="1" si="66"/>
        <v>G</v>
      </c>
      <c r="CC58">
        <f t="shared" ca="1" si="67"/>
        <v>0</v>
      </c>
    </row>
    <row r="59" spans="2:81" ht="14.25" customHeight="1" x14ac:dyDescent="0.3">
      <c r="B59" s="51">
        <f t="shared" si="41"/>
        <v>56</v>
      </c>
      <c r="C59" s="52" t="s">
        <v>149</v>
      </c>
      <c r="D59" s="16" t="str">
        <f>'Member Wise Deposit Summary'!D59</f>
        <v>01585430658</v>
      </c>
      <c r="E59" s="52">
        <v>1</v>
      </c>
      <c r="F59" s="52">
        <f>$E59*1000</f>
        <v>1000</v>
      </c>
      <c r="G59" s="52"/>
      <c r="H59" s="52"/>
      <c r="I59" s="52"/>
      <c r="J59" s="52">
        <f>$E59*1000</f>
        <v>1000</v>
      </c>
      <c r="K59" s="52"/>
      <c r="L59" s="52"/>
      <c r="M59" s="52"/>
      <c r="N59" s="52">
        <f>$E59*1000</f>
        <v>1000</v>
      </c>
      <c r="O59" s="52"/>
      <c r="P59" s="52"/>
      <c r="Q59" s="52"/>
      <c r="R59" s="52">
        <f>E59*1000</f>
        <v>1000</v>
      </c>
      <c r="S59" s="52"/>
      <c r="T59" s="52"/>
      <c r="U59" s="52"/>
      <c r="V59" s="53">
        <f t="shared" si="29"/>
        <v>1000</v>
      </c>
      <c r="W59" s="52"/>
      <c r="X59" s="52"/>
      <c r="Y59" s="52"/>
      <c r="Z59" s="53">
        <f t="shared" si="30"/>
        <v>1000</v>
      </c>
      <c r="AA59" s="52"/>
      <c r="AB59" s="52"/>
      <c r="AC59" s="52"/>
      <c r="AD59" s="53">
        <f t="shared" si="31"/>
        <v>1000</v>
      </c>
      <c r="AE59" s="52"/>
      <c r="AF59" s="52"/>
      <c r="AG59" s="52"/>
      <c r="AH59" s="53">
        <f t="shared" si="32"/>
        <v>1000</v>
      </c>
      <c r="AI59" s="52"/>
      <c r="AJ59" s="52"/>
      <c r="AK59" s="52"/>
      <c r="AL59" s="49">
        <f t="shared" si="33"/>
        <v>1000</v>
      </c>
      <c r="AM59" s="52"/>
      <c r="AN59" s="52"/>
      <c r="AO59" s="52"/>
      <c r="AP59" s="53">
        <v>1000</v>
      </c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>
        <f t="shared" si="42"/>
        <v>10000</v>
      </c>
      <c r="BC59" s="52">
        <f t="shared" si="43"/>
        <v>0</v>
      </c>
      <c r="BE59">
        <f ca="1">'Monthly Collection-2025'!CC59</f>
        <v>0</v>
      </c>
      <c r="BF59" t="str">
        <f t="shared" ca="1" si="44"/>
        <v/>
      </c>
      <c r="BG59">
        <f t="shared" ca="1" si="45"/>
        <v>0</v>
      </c>
      <c r="BH59" t="str">
        <f t="shared" ca="1" si="46"/>
        <v/>
      </c>
      <c r="BI59">
        <f t="shared" ca="1" si="47"/>
        <v>0</v>
      </c>
      <c r="BJ59" t="str">
        <f t="shared" ca="1" si="48"/>
        <v/>
      </c>
      <c r="BK59">
        <f t="shared" ca="1" si="49"/>
        <v>0</v>
      </c>
      <c r="BL59" t="str">
        <f t="shared" ca="1" si="50"/>
        <v/>
      </c>
      <c r="BM59">
        <f t="shared" ca="1" si="51"/>
        <v>0</v>
      </c>
      <c r="BN59" t="str">
        <f t="shared" ca="1" si="52"/>
        <v/>
      </c>
      <c r="BO59">
        <f t="shared" ca="1" si="53"/>
        <v>0</v>
      </c>
      <c r="BP59" t="str">
        <f t="shared" ca="1" si="54"/>
        <v/>
      </c>
      <c r="BQ59">
        <f t="shared" ca="1" si="55"/>
        <v>0</v>
      </c>
      <c r="BR59" t="str">
        <f t="shared" ca="1" si="56"/>
        <v/>
      </c>
      <c r="BS59">
        <f t="shared" ca="1" si="57"/>
        <v>0</v>
      </c>
      <c r="BT59" t="str">
        <f t="shared" ca="1" si="58"/>
        <v/>
      </c>
      <c r="BU59">
        <f t="shared" ca="1" si="59"/>
        <v>0</v>
      </c>
      <c r="BV59" t="str">
        <f t="shared" ca="1" si="60"/>
        <v/>
      </c>
      <c r="BW59">
        <f t="shared" ca="1" si="61"/>
        <v>0</v>
      </c>
      <c r="BX59" t="str">
        <f t="shared" ca="1" si="62"/>
        <v/>
      </c>
      <c r="BY59">
        <f t="shared" ca="1" si="63"/>
        <v>0</v>
      </c>
      <c r="BZ59" t="str">
        <f t="shared" ca="1" si="64"/>
        <v/>
      </c>
      <c r="CA59">
        <f t="shared" ca="1" si="65"/>
        <v>0</v>
      </c>
      <c r="CB59" t="str">
        <f t="shared" ca="1" si="66"/>
        <v/>
      </c>
      <c r="CC59">
        <f t="shared" ca="1" si="67"/>
        <v>0</v>
      </c>
    </row>
    <row r="60" spans="2:81" ht="14.25" customHeight="1" x14ac:dyDescent="0.3">
      <c r="B60" s="55">
        <f t="shared" si="41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241"/>
      <c r="G60" s="56"/>
      <c r="H60" s="56"/>
      <c r="I60" s="56"/>
      <c r="J60" s="241"/>
      <c r="K60" s="56"/>
      <c r="L60" s="56"/>
      <c r="M60" s="56"/>
      <c r="N60" s="241"/>
      <c r="O60" s="56"/>
      <c r="P60" s="56"/>
      <c r="Q60" s="56"/>
      <c r="R60" s="241"/>
      <c r="S60" s="56"/>
      <c r="T60" s="56">
        <v>2000</v>
      </c>
      <c r="U60" s="56">
        <v>100</v>
      </c>
      <c r="V60" s="245"/>
      <c r="W60" s="56"/>
      <c r="X60" s="56">
        <v>1000</v>
      </c>
      <c r="Y60" s="56">
        <v>50</v>
      </c>
      <c r="Z60" s="245"/>
      <c r="AA60" s="56"/>
      <c r="AB60" s="56">
        <v>2000</v>
      </c>
      <c r="AC60" s="56">
        <v>100</v>
      </c>
      <c r="AD60" s="245"/>
      <c r="AE60" s="56"/>
      <c r="AF60" s="56"/>
      <c r="AG60" s="56"/>
      <c r="AH60" s="57">
        <f t="shared" si="32"/>
        <v>1000</v>
      </c>
      <c r="AI60" s="56"/>
      <c r="AJ60" s="56">
        <v>3000</v>
      </c>
      <c r="AK60" s="56">
        <v>150</v>
      </c>
      <c r="AL60" s="49">
        <f t="shared" si="33"/>
        <v>1000</v>
      </c>
      <c r="AM60" s="56"/>
      <c r="AN60" s="56"/>
      <c r="AO60" s="56"/>
      <c r="AP60" s="57">
        <v>1000</v>
      </c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>
        <f t="shared" si="42"/>
        <v>11000</v>
      </c>
      <c r="BC60" s="56">
        <f t="shared" si="43"/>
        <v>400</v>
      </c>
      <c r="BE60">
        <f ca="1">'Monthly Collection-2025'!CC60</f>
        <v>0</v>
      </c>
      <c r="BF60" t="str">
        <f t="shared" ca="1" si="44"/>
        <v>R</v>
      </c>
      <c r="BG60">
        <f t="shared" ca="1" si="45"/>
        <v>0</v>
      </c>
      <c r="BH60" t="str">
        <f t="shared" ca="1" si="46"/>
        <v>R</v>
      </c>
      <c r="BI60">
        <f t="shared" ca="1" si="47"/>
        <v>0</v>
      </c>
      <c r="BJ60" t="str">
        <f t="shared" ca="1" si="48"/>
        <v>R</v>
      </c>
      <c r="BK60">
        <f t="shared" ca="1" si="49"/>
        <v>0</v>
      </c>
      <c r="BL60" t="str">
        <f t="shared" ca="1" si="50"/>
        <v>R</v>
      </c>
      <c r="BM60">
        <f t="shared" ca="1" si="51"/>
        <v>0</v>
      </c>
      <c r="BN60" t="str">
        <f t="shared" ca="1" si="52"/>
        <v>R</v>
      </c>
      <c r="BO60">
        <f t="shared" ca="1" si="53"/>
        <v>0</v>
      </c>
      <c r="BP60" t="str">
        <f t="shared" ca="1" si="54"/>
        <v>R</v>
      </c>
      <c r="BQ60">
        <f t="shared" ca="1" si="55"/>
        <v>0</v>
      </c>
      <c r="BR60" t="str">
        <f t="shared" ca="1" si="56"/>
        <v>R</v>
      </c>
      <c r="BS60">
        <f t="shared" ca="1" si="57"/>
        <v>0</v>
      </c>
      <c r="BT60" t="str">
        <f t="shared" ca="1" si="58"/>
        <v/>
      </c>
      <c r="BU60">
        <f t="shared" ca="1" si="59"/>
        <v>0</v>
      </c>
      <c r="BV60" t="str">
        <f t="shared" ca="1" si="60"/>
        <v/>
      </c>
      <c r="BW60">
        <f t="shared" ca="1" si="61"/>
        <v>0</v>
      </c>
      <c r="BX60" t="str">
        <f t="shared" ca="1" si="62"/>
        <v/>
      </c>
      <c r="BY60">
        <f t="shared" ca="1" si="63"/>
        <v>0</v>
      </c>
      <c r="BZ60" t="str">
        <f t="shared" ca="1" si="64"/>
        <v/>
      </c>
      <c r="CA60">
        <f t="shared" ca="1" si="65"/>
        <v>0</v>
      </c>
      <c r="CB60" t="str">
        <f t="shared" ca="1" si="66"/>
        <v/>
      </c>
      <c r="CC60">
        <f t="shared" ca="1" si="67"/>
        <v>0</v>
      </c>
    </row>
    <row r="61" spans="2:81" ht="14.25" customHeight="1" x14ac:dyDescent="0.3">
      <c r="B61" s="51">
        <f t="shared" si="41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>
        <f>$E61*1000</f>
        <v>1000</v>
      </c>
      <c r="G61" s="52"/>
      <c r="H61" s="52"/>
      <c r="I61" s="52"/>
      <c r="J61" s="52">
        <f>$E61*1000</f>
        <v>1000</v>
      </c>
      <c r="K61" s="52"/>
      <c r="L61" s="52"/>
      <c r="M61" s="52"/>
      <c r="N61" s="52">
        <f>$E61*1000</f>
        <v>1000</v>
      </c>
      <c r="O61" s="52"/>
      <c r="P61" s="52"/>
      <c r="Q61" s="52"/>
      <c r="R61" s="52">
        <f>E61*1000</f>
        <v>1000</v>
      </c>
      <c r="S61" s="52"/>
      <c r="T61" s="52"/>
      <c r="U61" s="52"/>
      <c r="V61" s="53">
        <f t="shared" si="29"/>
        <v>1000</v>
      </c>
      <c r="W61" s="52"/>
      <c r="X61" s="52"/>
      <c r="Y61" s="52"/>
      <c r="Z61" s="53">
        <f t="shared" si="30"/>
        <v>1000</v>
      </c>
      <c r="AA61" s="52"/>
      <c r="AB61" s="52"/>
      <c r="AC61" s="52"/>
      <c r="AD61" s="53">
        <f t="shared" si="31"/>
        <v>1000</v>
      </c>
      <c r="AE61" s="52"/>
      <c r="AF61" s="52"/>
      <c r="AG61" s="52"/>
      <c r="AH61" s="53">
        <f t="shared" si="32"/>
        <v>1000</v>
      </c>
      <c r="AI61" s="52"/>
      <c r="AJ61" s="52"/>
      <c r="AK61" s="52"/>
      <c r="AL61" s="49">
        <f t="shared" si="33"/>
        <v>1000</v>
      </c>
      <c r="AM61" s="52"/>
      <c r="AN61" s="52"/>
      <c r="AO61" s="52"/>
      <c r="AP61" s="53">
        <v>1000</v>
      </c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>
        <f t="shared" si="42"/>
        <v>10000</v>
      </c>
      <c r="BC61" s="52">
        <f t="shared" si="43"/>
        <v>0</v>
      </c>
      <c r="BE61">
        <f ca="1">'Monthly Collection-2025'!CC61</f>
        <v>0</v>
      </c>
      <c r="BF61" t="str">
        <f t="shared" ca="1" si="44"/>
        <v/>
      </c>
      <c r="BG61">
        <f t="shared" ca="1" si="45"/>
        <v>0</v>
      </c>
      <c r="BH61" t="str">
        <f t="shared" ca="1" si="46"/>
        <v/>
      </c>
      <c r="BI61">
        <f t="shared" ca="1" si="47"/>
        <v>0</v>
      </c>
      <c r="BJ61" t="str">
        <f t="shared" ca="1" si="48"/>
        <v/>
      </c>
      <c r="BK61">
        <f t="shared" ca="1" si="49"/>
        <v>0</v>
      </c>
      <c r="BL61" t="str">
        <f t="shared" ca="1" si="50"/>
        <v/>
      </c>
      <c r="BM61">
        <f t="shared" ca="1" si="51"/>
        <v>0</v>
      </c>
      <c r="BN61" t="str">
        <f t="shared" ca="1" si="52"/>
        <v/>
      </c>
      <c r="BO61">
        <f t="shared" ca="1" si="53"/>
        <v>0</v>
      </c>
      <c r="BP61" t="str">
        <f t="shared" ca="1" si="54"/>
        <v/>
      </c>
      <c r="BQ61">
        <f t="shared" ca="1" si="55"/>
        <v>0</v>
      </c>
      <c r="BR61" t="str">
        <f t="shared" ca="1" si="56"/>
        <v/>
      </c>
      <c r="BS61">
        <f t="shared" ca="1" si="57"/>
        <v>0</v>
      </c>
      <c r="BT61" t="str">
        <f t="shared" ca="1" si="58"/>
        <v/>
      </c>
      <c r="BU61">
        <f t="shared" ca="1" si="59"/>
        <v>0</v>
      </c>
      <c r="BV61" t="str">
        <f t="shared" ca="1" si="60"/>
        <v/>
      </c>
      <c r="BW61">
        <f t="shared" ca="1" si="61"/>
        <v>0</v>
      </c>
      <c r="BX61" t="str">
        <f t="shared" ca="1" si="62"/>
        <v/>
      </c>
      <c r="BY61">
        <f t="shared" ca="1" si="63"/>
        <v>0</v>
      </c>
      <c r="BZ61" t="str">
        <f t="shared" ca="1" si="64"/>
        <v/>
      </c>
      <c r="CA61">
        <f t="shared" ca="1" si="65"/>
        <v>0</v>
      </c>
      <c r="CB61" t="str">
        <f t="shared" ca="1" si="66"/>
        <v/>
      </c>
      <c r="CC61">
        <f t="shared" ca="1" si="67"/>
        <v>0</v>
      </c>
    </row>
    <row r="62" spans="2:81" ht="14.25" customHeight="1" x14ac:dyDescent="0.3">
      <c r="B62" s="55">
        <f t="shared" si="41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>
        <f>$E62*1000</f>
        <v>1000</v>
      </c>
      <c r="G62" s="56"/>
      <c r="H62" s="56"/>
      <c r="I62" s="56"/>
      <c r="J62" s="56">
        <f>$E62*1000</f>
        <v>1000</v>
      </c>
      <c r="K62" s="56"/>
      <c r="L62" s="56"/>
      <c r="M62" s="56"/>
      <c r="N62" s="56">
        <f>$E62*1000</f>
        <v>1000</v>
      </c>
      <c r="O62" s="56"/>
      <c r="P62" s="56"/>
      <c r="Q62" s="56"/>
      <c r="R62" s="56">
        <f>E62*1000</f>
        <v>1000</v>
      </c>
      <c r="S62" s="56"/>
      <c r="T62" s="56"/>
      <c r="U62" s="56"/>
      <c r="V62" s="57">
        <f t="shared" si="29"/>
        <v>1000</v>
      </c>
      <c r="W62" s="56"/>
      <c r="X62" s="56"/>
      <c r="Y62" s="56"/>
      <c r="Z62" s="57">
        <f t="shared" si="30"/>
        <v>1000</v>
      </c>
      <c r="AA62" s="56"/>
      <c r="AB62" s="56"/>
      <c r="AC62" s="56"/>
      <c r="AD62" s="57">
        <f t="shared" si="31"/>
        <v>1000</v>
      </c>
      <c r="AE62" s="56"/>
      <c r="AF62" s="56"/>
      <c r="AG62" s="56"/>
      <c r="AH62" s="57">
        <f t="shared" si="32"/>
        <v>1000</v>
      </c>
      <c r="AI62" s="56"/>
      <c r="AJ62" s="56"/>
      <c r="AK62" s="56"/>
      <c r="AL62" s="49">
        <f t="shared" si="33"/>
        <v>1000</v>
      </c>
      <c r="AM62" s="56"/>
      <c r="AN62" s="56"/>
      <c r="AO62" s="56"/>
      <c r="AP62" s="57">
        <v>1000</v>
      </c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>
        <f t="shared" si="42"/>
        <v>10000</v>
      </c>
      <c r="BC62" s="56">
        <f t="shared" si="43"/>
        <v>0</v>
      </c>
      <c r="BE62">
        <f ca="1">'Monthly Collection-2025'!CC62</f>
        <v>0</v>
      </c>
      <c r="BF62" t="str">
        <f t="shared" ca="1" si="44"/>
        <v/>
      </c>
      <c r="BG62">
        <f t="shared" ca="1" si="45"/>
        <v>0</v>
      </c>
      <c r="BH62" t="str">
        <f t="shared" ca="1" si="46"/>
        <v/>
      </c>
      <c r="BI62">
        <f t="shared" ca="1" si="47"/>
        <v>0</v>
      </c>
      <c r="BJ62" t="str">
        <f t="shared" ca="1" si="48"/>
        <v/>
      </c>
      <c r="BK62">
        <f t="shared" ca="1" si="49"/>
        <v>0</v>
      </c>
      <c r="BL62" t="str">
        <f t="shared" ca="1" si="50"/>
        <v/>
      </c>
      <c r="BM62">
        <f t="shared" ca="1" si="51"/>
        <v>0</v>
      </c>
      <c r="BN62" t="str">
        <f t="shared" ca="1" si="52"/>
        <v/>
      </c>
      <c r="BO62">
        <f t="shared" ca="1" si="53"/>
        <v>0</v>
      </c>
      <c r="BP62" t="str">
        <f t="shared" ca="1" si="54"/>
        <v/>
      </c>
      <c r="BQ62">
        <f t="shared" ca="1" si="55"/>
        <v>0</v>
      </c>
      <c r="BR62" t="str">
        <f t="shared" ca="1" si="56"/>
        <v/>
      </c>
      <c r="BS62">
        <f t="shared" ca="1" si="57"/>
        <v>0</v>
      </c>
      <c r="BT62" t="str">
        <f t="shared" ca="1" si="58"/>
        <v/>
      </c>
      <c r="BU62">
        <f t="shared" ca="1" si="59"/>
        <v>0</v>
      </c>
      <c r="BV62" t="str">
        <f t="shared" ca="1" si="60"/>
        <v/>
      </c>
      <c r="BW62">
        <f t="shared" ca="1" si="61"/>
        <v>0</v>
      </c>
      <c r="BX62" t="str">
        <f t="shared" ca="1" si="62"/>
        <v/>
      </c>
      <c r="BY62">
        <f t="shared" ca="1" si="63"/>
        <v>0</v>
      </c>
      <c r="BZ62" t="str">
        <f t="shared" ca="1" si="64"/>
        <v/>
      </c>
      <c r="CA62">
        <f t="shared" ca="1" si="65"/>
        <v>0</v>
      </c>
      <c r="CB62" t="str">
        <f t="shared" ca="1" si="66"/>
        <v/>
      </c>
      <c r="CC62">
        <f t="shared" ca="1" si="67"/>
        <v>0</v>
      </c>
    </row>
    <row r="63" spans="2:81" ht="14.25" customHeight="1" x14ac:dyDescent="0.3">
      <c r="B63" s="51">
        <f t="shared" si="41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>
        <f>$E63*1000</f>
        <v>2000</v>
      </c>
      <c r="G63" s="52"/>
      <c r="H63" s="52"/>
      <c r="I63" s="52"/>
      <c r="J63" s="52">
        <f>$E63*1000</f>
        <v>2000</v>
      </c>
      <c r="K63" s="52"/>
      <c r="L63" s="52"/>
      <c r="M63" s="52"/>
      <c r="N63" s="52">
        <f>$E63*1000</f>
        <v>2000</v>
      </c>
      <c r="O63" s="52"/>
      <c r="P63" s="52"/>
      <c r="Q63" s="52"/>
      <c r="R63" s="52">
        <f>E63*1000</f>
        <v>2000</v>
      </c>
      <c r="S63" s="52"/>
      <c r="T63" s="52"/>
      <c r="U63" s="52"/>
      <c r="V63" s="53">
        <f t="shared" si="29"/>
        <v>2000</v>
      </c>
      <c r="W63" s="52"/>
      <c r="X63" s="52"/>
      <c r="Y63" s="52"/>
      <c r="Z63" s="53">
        <f t="shared" si="30"/>
        <v>2000</v>
      </c>
      <c r="AA63" s="52"/>
      <c r="AB63" s="52"/>
      <c r="AC63" s="52"/>
      <c r="AD63" s="53">
        <f t="shared" si="31"/>
        <v>2000</v>
      </c>
      <c r="AE63" s="52"/>
      <c r="AF63" s="52"/>
      <c r="AG63" s="52"/>
      <c r="AH63" s="53">
        <f t="shared" si="32"/>
        <v>2000</v>
      </c>
      <c r="AI63" s="52"/>
      <c r="AJ63" s="52"/>
      <c r="AK63" s="52"/>
      <c r="AL63" s="49">
        <f t="shared" si="33"/>
        <v>2000</v>
      </c>
      <c r="AM63" s="52"/>
      <c r="AN63" s="52"/>
      <c r="AO63" s="52"/>
      <c r="AP63" s="53">
        <v>2000</v>
      </c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>
        <f t="shared" si="42"/>
        <v>20000</v>
      </c>
      <c r="BC63" s="52">
        <f t="shared" si="43"/>
        <v>0</v>
      </c>
      <c r="BE63">
        <f ca="1">'Monthly Collection-2025'!CC63</f>
        <v>0</v>
      </c>
      <c r="BF63" t="str">
        <f t="shared" ca="1" si="44"/>
        <v/>
      </c>
      <c r="BG63">
        <f t="shared" ca="1" si="45"/>
        <v>0</v>
      </c>
      <c r="BH63" t="str">
        <f t="shared" ca="1" si="46"/>
        <v/>
      </c>
      <c r="BI63">
        <f t="shared" ca="1" si="47"/>
        <v>0</v>
      </c>
      <c r="BJ63" t="str">
        <f t="shared" ca="1" si="48"/>
        <v/>
      </c>
      <c r="BK63">
        <f t="shared" ca="1" si="49"/>
        <v>0</v>
      </c>
      <c r="BL63" t="str">
        <f t="shared" ca="1" si="50"/>
        <v/>
      </c>
      <c r="BM63">
        <f t="shared" ca="1" si="51"/>
        <v>0</v>
      </c>
      <c r="BN63" t="str">
        <f t="shared" ca="1" si="52"/>
        <v/>
      </c>
      <c r="BO63">
        <f t="shared" ca="1" si="53"/>
        <v>0</v>
      </c>
      <c r="BP63" t="str">
        <f t="shared" ca="1" si="54"/>
        <v/>
      </c>
      <c r="BQ63">
        <f t="shared" ca="1" si="55"/>
        <v>0</v>
      </c>
      <c r="BR63" t="str">
        <f t="shared" ca="1" si="56"/>
        <v/>
      </c>
      <c r="BS63">
        <f t="shared" ca="1" si="57"/>
        <v>0</v>
      </c>
      <c r="BT63" t="str">
        <f t="shared" ca="1" si="58"/>
        <v/>
      </c>
      <c r="BU63">
        <f t="shared" ca="1" si="59"/>
        <v>0</v>
      </c>
      <c r="BV63" t="str">
        <f t="shared" ca="1" si="60"/>
        <v/>
      </c>
      <c r="BW63">
        <f t="shared" ca="1" si="61"/>
        <v>0</v>
      </c>
      <c r="BX63" t="str">
        <f t="shared" ca="1" si="62"/>
        <v/>
      </c>
      <c r="BY63">
        <f t="shared" ca="1" si="63"/>
        <v>0</v>
      </c>
      <c r="BZ63" t="str">
        <f t="shared" ca="1" si="64"/>
        <v/>
      </c>
      <c r="CA63">
        <f t="shared" ca="1" si="65"/>
        <v>0</v>
      </c>
      <c r="CB63" t="str">
        <f t="shared" ca="1" si="66"/>
        <v/>
      </c>
      <c r="CC63">
        <f t="shared" ca="1" si="67"/>
        <v>0</v>
      </c>
    </row>
    <row r="64" spans="2:81" ht="14.25" customHeight="1" x14ac:dyDescent="0.3">
      <c r="B64" s="55">
        <f t="shared" si="41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>
        <f>$E64*1000</f>
        <v>1000</v>
      </c>
      <c r="G64" s="56"/>
      <c r="H64" s="56"/>
      <c r="I64" s="56"/>
      <c r="J64" s="56">
        <f>$E64*1000</f>
        <v>1000</v>
      </c>
      <c r="K64" s="56"/>
      <c r="L64" s="56"/>
      <c r="M64" s="56"/>
      <c r="N64" s="56">
        <f>$E64*1000</f>
        <v>1000</v>
      </c>
      <c r="O64" s="56"/>
      <c r="P64" s="56"/>
      <c r="Q64" s="56"/>
      <c r="R64" s="56">
        <f>E64*1000</f>
        <v>1000</v>
      </c>
      <c r="S64" s="56"/>
      <c r="T64" s="56"/>
      <c r="U64" s="56"/>
      <c r="V64" s="57">
        <f t="shared" si="29"/>
        <v>1000</v>
      </c>
      <c r="W64" s="56"/>
      <c r="X64" s="56"/>
      <c r="Y64" s="56"/>
      <c r="Z64" s="57">
        <f t="shared" si="30"/>
        <v>1000</v>
      </c>
      <c r="AA64" s="56"/>
      <c r="AB64" s="56"/>
      <c r="AC64" s="56"/>
      <c r="AD64" s="57">
        <f t="shared" si="31"/>
        <v>1000</v>
      </c>
      <c r="AE64" s="56"/>
      <c r="AF64" s="56"/>
      <c r="AG64" s="56"/>
      <c r="AH64" s="57">
        <f t="shared" si="32"/>
        <v>1000</v>
      </c>
      <c r="AI64" s="56"/>
      <c r="AJ64" s="56"/>
      <c r="AK64" s="56"/>
      <c r="AL64" s="49">
        <f t="shared" si="33"/>
        <v>1000</v>
      </c>
      <c r="AM64" s="56"/>
      <c r="AN64" s="56"/>
      <c r="AO64" s="56"/>
      <c r="AP64" s="57">
        <v>1000</v>
      </c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>
        <f t="shared" si="42"/>
        <v>10000</v>
      </c>
      <c r="BC64" s="56">
        <f t="shared" si="43"/>
        <v>0</v>
      </c>
      <c r="BE64">
        <f ca="1">'Monthly Collection-2025'!CC64</f>
        <v>0</v>
      </c>
      <c r="BF64" t="str">
        <f t="shared" ca="1" si="44"/>
        <v/>
      </c>
      <c r="BG64">
        <f t="shared" ca="1" si="45"/>
        <v>0</v>
      </c>
      <c r="BH64" t="str">
        <f t="shared" ca="1" si="46"/>
        <v/>
      </c>
      <c r="BI64">
        <f t="shared" ca="1" si="47"/>
        <v>0</v>
      </c>
      <c r="BJ64" t="str">
        <f t="shared" ca="1" si="48"/>
        <v/>
      </c>
      <c r="BK64">
        <f t="shared" ca="1" si="49"/>
        <v>0</v>
      </c>
      <c r="BL64" t="str">
        <f t="shared" ca="1" si="50"/>
        <v/>
      </c>
      <c r="BM64">
        <f t="shared" ca="1" si="51"/>
        <v>0</v>
      </c>
      <c r="BN64" t="str">
        <f t="shared" ca="1" si="52"/>
        <v/>
      </c>
      <c r="BO64">
        <f t="shared" ca="1" si="53"/>
        <v>0</v>
      </c>
      <c r="BP64" t="str">
        <f t="shared" ca="1" si="54"/>
        <v/>
      </c>
      <c r="BQ64">
        <f t="shared" ca="1" si="55"/>
        <v>0</v>
      </c>
      <c r="BR64" t="str">
        <f t="shared" ca="1" si="56"/>
        <v/>
      </c>
      <c r="BS64">
        <f t="shared" ca="1" si="57"/>
        <v>0</v>
      </c>
      <c r="BT64" t="str">
        <f t="shared" ca="1" si="58"/>
        <v/>
      </c>
      <c r="BU64">
        <f t="shared" ca="1" si="59"/>
        <v>0</v>
      </c>
      <c r="BV64" t="str">
        <f t="shared" ca="1" si="60"/>
        <v/>
      </c>
      <c r="BW64">
        <f t="shared" ca="1" si="61"/>
        <v>0</v>
      </c>
      <c r="BX64" t="str">
        <f t="shared" ca="1" si="62"/>
        <v/>
      </c>
      <c r="BY64">
        <f t="shared" ca="1" si="63"/>
        <v>0</v>
      </c>
      <c r="BZ64" t="str">
        <f t="shared" ca="1" si="64"/>
        <v/>
      </c>
      <c r="CA64">
        <f t="shared" ca="1" si="65"/>
        <v>0</v>
      </c>
      <c r="CB64" t="str">
        <f t="shared" ca="1" si="66"/>
        <v/>
      </c>
      <c r="CC64">
        <f t="shared" ca="1" si="67"/>
        <v>0</v>
      </c>
    </row>
    <row r="65" spans="2:81" ht="14.25" customHeight="1" x14ac:dyDescent="0.3">
      <c r="B65" s="51">
        <f t="shared" si="41"/>
        <v>62</v>
      </c>
      <c r="C65" s="52" t="s">
        <v>92</v>
      </c>
      <c r="D65" s="16">
        <f>'Member Wise Deposit Summary'!D65</f>
        <v>1885316318</v>
      </c>
      <c r="E65" s="52">
        <v>1</v>
      </c>
      <c r="F65" s="243"/>
      <c r="G65" s="52"/>
      <c r="H65" s="52"/>
      <c r="I65" s="52"/>
      <c r="J65" s="243"/>
      <c r="K65" s="52"/>
      <c r="L65" s="52">
        <v>2000</v>
      </c>
      <c r="M65" s="52">
        <v>100</v>
      </c>
      <c r="N65" s="243"/>
      <c r="O65" s="52"/>
      <c r="P65" s="52"/>
      <c r="Q65" s="52"/>
      <c r="R65" s="243"/>
      <c r="S65" s="52"/>
      <c r="T65" s="52">
        <v>2000</v>
      </c>
      <c r="U65" s="52">
        <v>100</v>
      </c>
      <c r="V65" s="248"/>
      <c r="W65" s="52"/>
      <c r="X65" s="52"/>
      <c r="Y65" s="52"/>
      <c r="Z65" s="248"/>
      <c r="AA65" s="52"/>
      <c r="AB65" s="52">
        <v>1000</v>
      </c>
      <c r="AC65" s="52">
        <v>50</v>
      </c>
      <c r="AD65" s="248"/>
      <c r="AE65" s="52"/>
      <c r="AF65" s="52"/>
      <c r="AG65" s="52"/>
      <c r="AH65" s="248"/>
      <c r="AI65" s="52"/>
      <c r="AJ65" s="52">
        <v>3000</v>
      </c>
      <c r="AK65" s="52">
        <v>150</v>
      </c>
      <c r="AL65" s="251"/>
      <c r="AM65" s="52"/>
      <c r="AN65" s="52">
        <v>1000</v>
      </c>
      <c r="AO65" s="52">
        <v>50</v>
      </c>
      <c r="AP65" s="248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>
        <f t="shared" si="42"/>
        <v>9000</v>
      </c>
      <c r="BC65" s="52">
        <f t="shared" si="43"/>
        <v>450</v>
      </c>
      <c r="BE65">
        <f ca="1">'Monthly Collection-2025'!CC65</f>
        <v>0</v>
      </c>
      <c r="BF65" t="str">
        <f t="shared" ca="1" si="44"/>
        <v>R</v>
      </c>
      <c r="BG65">
        <f t="shared" ca="1" si="45"/>
        <v>0</v>
      </c>
      <c r="BH65" t="str">
        <f t="shared" ca="1" si="46"/>
        <v>R</v>
      </c>
      <c r="BI65">
        <f t="shared" ca="1" si="47"/>
        <v>0</v>
      </c>
      <c r="BJ65" t="str">
        <f t="shared" ca="1" si="48"/>
        <v>R</v>
      </c>
      <c r="BK65">
        <f t="shared" ca="1" si="49"/>
        <v>0</v>
      </c>
      <c r="BL65" t="str">
        <f t="shared" ca="1" si="50"/>
        <v>R</v>
      </c>
      <c r="BM65">
        <f t="shared" ca="1" si="51"/>
        <v>0</v>
      </c>
      <c r="BN65" t="str">
        <f t="shared" ca="1" si="52"/>
        <v>R</v>
      </c>
      <c r="BO65">
        <f t="shared" ca="1" si="53"/>
        <v>0</v>
      </c>
      <c r="BP65" t="str">
        <f t="shared" ca="1" si="54"/>
        <v>R</v>
      </c>
      <c r="BQ65">
        <f t="shared" ca="1" si="55"/>
        <v>0</v>
      </c>
      <c r="BR65" t="str">
        <f t="shared" ca="1" si="56"/>
        <v>R</v>
      </c>
      <c r="BS65">
        <f t="shared" ca="1" si="57"/>
        <v>0</v>
      </c>
      <c r="BT65" t="str">
        <f t="shared" ca="1" si="58"/>
        <v>R</v>
      </c>
      <c r="BU65">
        <f t="shared" ca="1" si="59"/>
        <v>0</v>
      </c>
      <c r="BV65" t="str">
        <f t="shared" ca="1" si="60"/>
        <v>R</v>
      </c>
      <c r="BW65">
        <f t="shared" ca="1" si="61"/>
        <v>0</v>
      </c>
      <c r="BX65" t="str">
        <f t="shared" ca="1" si="62"/>
        <v>R</v>
      </c>
      <c r="BY65">
        <f t="shared" ca="1" si="63"/>
        <v>0</v>
      </c>
      <c r="BZ65" t="str">
        <f t="shared" ca="1" si="64"/>
        <v/>
      </c>
      <c r="CA65">
        <f t="shared" ca="1" si="65"/>
        <v>0</v>
      </c>
      <c r="CB65" t="str">
        <f t="shared" ca="1" si="66"/>
        <v/>
      </c>
      <c r="CC65">
        <f t="shared" ca="1" si="67"/>
        <v>0</v>
      </c>
    </row>
    <row r="66" spans="2:81" ht="14.25" customHeight="1" x14ac:dyDescent="0.3">
      <c r="B66" s="55">
        <f t="shared" si="41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>
        <f t="shared" ref="F66:F76" si="69">$E66*1000</f>
        <v>1000</v>
      </c>
      <c r="G66" s="56"/>
      <c r="H66" s="56"/>
      <c r="I66" s="56"/>
      <c r="J66" s="56">
        <f t="shared" ref="J66:J74" si="70">$E66*1000</f>
        <v>1000</v>
      </c>
      <c r="K66" s="56"/>
      <c r="L66" s="56"/>
      <c r="M66" s="56"/>
      <c r="N66" s="56">
        <f>$E66*1000</f>
        <v>1000</v>
      </c>
      <c r="O66" s="56"/>
      <c r="P66" s="56"/>
      <c r="Q66" s="56"/>
      <c r="R66" s="56">
        <f t="shared" ref="R66:R77" si="71">E66*1000</f>
        <v>1000</v>
      </c>
      <c r="S66" s="56"/>
      <c r="T66" s="56"/>
      <c r="U66" s="56"/>
      <c r="V66" s="57">
        <f t="shared" si="29"/>
        <v>1000</v>
      </c>
      <c r="W66" s="56"/>
      <c r="X66" s="56"/>
      <c r="Y66" s="56"/>
      <c r="Z66" s="57">
        <f t="shared" si="30"/>
        <v>1000</v>
      </c>
      <c r="AA66" s="56"/>
      <c r="AB66" s="56"/>
      <c r="AC66" s="56"/>
      <c r="AD66" s="57">
        <f t="shared" si="31"/>
        <v>1000</v>
      </c>
      <c r="AE66" s="56"/>
      <c r="AF66" s="56"/>
      <c r="AG66" s="56"/>
      <c r="AH66" s="57">
        <f t="shared" si="32"/>
        <v>1000</v>
      </c>
      <c r="AI66" s="56"/>
      <c r="AJ66" s="56"/>
      <c r="AK66" s="56"/>
      <c r="AL66" s="250"/>
      <c r="AM66" s="56"/>
      <c r="AN66" s="56"/>
      <c r="AO66" s="56"/>
      <c r="AP66" s="245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>
        <f t="shared" si="42"/>
        <v>8000</v>
      </c>
      <c r="BC66" s="56">
        <f t="shared" si="43"/>
        <v>0</v>
      </c>
      <c r="BE66">
        <f ca="1">'Monthly Collection-2025'!CC66</f>
        <v>0</v>
      </c>
      <c r="BF66" t="str">
        <f t="shared" ca="1" si="44"/>
        <v/>
      </c>
      <c r="BG66">
        <f t="shared" ca="1" si="45"/>
        <v>0</v>
      </c>
      <c r="BH66" t="str">
        <f t="shared" ca="1" si="46"/>
        <v/>
      </c>
      <c r="BI66">
        <f t="shared" ca="1" si="47"/>
        <v>0</v>
      </c>
      <c r="BJ66" t="str">
        <f t="shared" ca="1" si="48"/>
        <v/>
      </c>
      <c r="BK66">
        <f t="shared" ca="1" si="49"/>
        <v>0</v>
      </c>
      <c r="BL66" t="str">
        <f t="shared" ca="1" si="50"/>
        <v/>
      </c>
      <c r="BM66">
        <f t="shared" ca="1" si="51"/>
        <v>0</v>
      </c>
      <c r="BN66" t="str">
        <f t="shared" ca="1" si="52"/>
        <v/>
      </c>
      <c r="BO66">
        <f t="shared" ca="1" si="53"/>
        <v>0</v>
      </c>
      <c r="BP66" t="str">
        <f t="shared" ca="1" si="54"/>
        <v/>
      </c>
      <c r="BQ66">
        <f t="shared" ca="1" si="55"/>
        <v>0</v>
      </c>
      <c r="BR66" t="str">
        <f t="shared" ca="1" si="56"/>
        <v/>
      </c>
      <c r="BS66">
        <f t="shared" ca="1" si="57"/>
        <v>0</v>
      </c>
      <c r="BT66" t="str">
        <f t="shared" ca="1" si="58"/>
        <v/>
      </c>
      <c r="BU66">
        <f t="shared" ca="1" si="59"/>
        <v>0</v>
      </c>
      <c r="BV66" t="str">
        <f t="shared" ca="1" si="60"/>
        <v>R</v>
      </c>
      <c r="BW66">
        <f t="shared" ca="1" si="61"/>
        <v>0</v>
      </c>
      <c r="BX66" t="str">
        <f t="shared" ca="1" si="62"/>
        <v>R</v>
      </c>
      <c r="BY66">
        <f t="shared" ca="1" si="63"/>
        <v>0</v>
      </c>
      <c r="BZ66" t="str">
        <f t="shared" ca="1" si="64"/>
        <v/>
      </c>
      <c r="CA66">
        <f t="shared" ca="1" si="65"/>
        <v>0</v>
      </c>
      <c r="CB66" t="str">
        <f t="shared" ca="1" si="66"/>
        <v/>
      </c>
      <c r="CC66">
        <f t="shared" ca="1" si="67"/>
        <v>0</v>
      </c>
    </row>
    <row r="67" spans="2:81" ht="14.25" customHeight="1" x14ac:dyDescent="0.3">
      <c r="B67" s="51">
        <f t="shared" si="41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>
        <f t="shared" si="69"/>
        <v>1000</v>
      </c>
      <c r="G67" s="52"/>
      <c r="H67" s="52"/>
      <c r="I67" s="52"/>
      <c r="J67" s="52">
        <f t="shared" si="70"/>
        <v>1000</v>
      </c>
      <c r="K67" s="52">
        <v>1000</v>
      </c>
      <c r="L67" s="52"/>
      <c r="M67" s="52"/>
      <c r="N67" s="242"/>
      <c r="O67" s="52"/>
      <c r="P67" s="52"/>
      <c r="Q67" s="52"/>
      <c r="R67" s="52">
        <f t="shared" si="71"/>
        <v>1000</v>
      </c>
      <c r="S67" s="52"/>
      <c r="T67" s="52"/>
      <c r="U67" s="52"/>
      <c r="V67" s="53">
        <f t="shared" si="29"/>
        <v>1000</v>
      </c>
      <c r="W67" s="52"/>
      <c r="X67" s="52"/>
      <c r="Y67" s="52"/>
      <c r="Z67" s="53">
        <f t="shared" si="30"/>
        <v>1000</v>
      </c>
      <c r="AA67" s="52"/>
      <c r="AB67" s="52"/>
      <c r="AC67" s="52"/>
      <c r="AD67" s="53">
        <f t="shared" si="31"/>
        <v>1000</v>
      </c>
      <c r="AE67" s="52"/>
      <c r="AF67" s="52"/>
      <c r="AG67" s="52"/>
      <c r="AH67" s="53">
        <f t="shared" si="32"/>
        <v>1000</v>
      </c>
      <c r="AI67" s="52"/>
      <c r="AJ67" s="52"/>
      <c r="AK67" s="52"/>
      <c r="AL67" s="49">
        <f t="shared" si="33"/>
        <v>1000</v>
      </c>
      <c r="AM67" s="52"/>
      <c r="AN67" s="52"/>
      <c r="AO67" s="52"/>
      <c r="AP67" s="53">
        <v>1000</v>
      </c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>
        <f t="shared" si="42"/>
        <v>10000</v>
      </c>
      <c r="BC67" s="52">
        <f t="shared" si="43"/>
        <v>0</v>
      </c>
      <c r="BE67">
        <f ca="1">'Monthly Collection-2025'!CC67</f>
        <v>0</v>
      </c>
      <c r="BF67" t="str">
        <f t="shared" ca="1" si="44"/>
        <v/>
      </c>
      <c r="BG67">
        <f t="shared" ca="1" si="45"/>
        <v>0</v>
      </c>
      <c r="BH67" t="str">
        <f t="shared" ca="1" si="46"/>
        <v/>
      </c>
      <c r="BI67">
        <f t="shared" ca="1" si="47"/>
        <v>1000</v>
      </c>
      <c r="BJ67" t="str">
        <f t="shared" ca="1" si="48"/>
        <v>G</v>
      </c>
      <c r="BK67">
        <f t="shared" ca="1" si="49"/>
        <v>0</v>
      </c>
      <c r="BL67" t="str">
        <f t="shared" ca="1" si="50"/>
        <v/>
      </c>
      <c r="BM67">
        <f t="shared" ca="1" si="51"/>
        <v>0</v>
      </c>
      <c r="BN67" t="str">
        <f t="shared" ca="1" si="52"/>
        <v/>
      </c>
      <c r="BO67">
        <f t="shared" ca="1" si="53"/>
        <v>0</v>
      </c>
      <c r="BP67" t="str">
        <f t="shared" ca="1" si="54"/>
        <v/>
      </c>
      <c r="BQ67">
        <f t="shared" ca="1" si="55"/>
        <v>0</v>
      </c>
      <c r="BR67" t="str">
        <f t="shared" ca="1" si="56"/>
        <v/>
      </c>
      <c r="BS67">
        <f t="shared" ca="1" si="57"/>
        <v>0</v>
      </c>
      <c r="BT67" t="str">
        <f t="shared" ca="1" si="58"/>
        <v/>
      </c>
      <c r="BU67">
        <f t="shared" ca="1" si="59"/>
        <v>0</v>
      </c>
      <c r="BV67" t="str">
        <f t="shared" ca="1" si="60"/>
        <v/>
      </c>
      <c r="BW67">
        <f t="shared" ca="1" si="61"/>
        <v>0</v>
      </c>
      <c r="BX67" t="str">
        <f t="shared" ca="1" si="62"/>
        <v/>
      </c>
      <c r="BY67">
        <f t="shared" ca="1" si="63"/>
        <v>0</v>
      </c>
      <c r="BZ67" t="str">
        <f t="shared" ca="1" si="64"/>
        <v/>
      </c>
      <c r="CA67">
        <f t="shared" ca="1" si="65"/>
        <v>0</v>
      </c>
      <c r="CB67" t="str">
        <f t="shared" ca="1" si="66"/>
        <v/>
      </c>
      <c r="CC67">
        <f t="shared" ca="1" si="67"/>
        <v>0</v>
      </c>
    </row>
    <row r="68" spans="2:81" ht="14.25" customHeight="1" x14ac:dyDescent="0.3">
      <c r="B68" s="55">
        <f t="shared" ref="B68:B80" si="72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>
        <f t="shared" si="69"/>
        <v>1000</v>
      </c>
      <c r="G68" s="56"/>
      <c r="H68" s="56"/>
      <c r="I68" s="56"/>
      <c r="J68" s="56">
        <f t="shared" si="70"/>
        <v>1000</v>
      </c>
      <c r="K68" s="56"/>
      <c r="L68" s="56"/>
      <c r="M68" s="56"/>
      <c r="N68" s="56">
        <f t="shared" ref="N68:N76" si="73">$E68*1000</f>
        <v>1000</v>
      </c>
      <c r="O68" s="56"/>
      <c r="P68" s="56"/>
      <c r="Q68" s="56"/>
      <c r="R68" s="56">
        <f t="shared" si="71"/>
        <v>1000</v>
      </c>
      <c r="S68" s="56"/>
      <c r="T68" s="56"/>
      <c r="U68" s="56"/>
      <c r="V68" s="57">
        <f t="shared" si="29"/>
        <v>1000</v>
      </c>
      <c r="W68" s="56"/>
      <c r="X68" s="56"/>
      <c r="Y68" s="56"/>
      <c r="Z68" s="57">
        <f t="shared" si="30"/>
        <v>1000</v>
      </c>
      <c r="AA68" s="56"/>
      <c r="AB68" s="56"/>
      <c r="AC68" s="56"/>
      <c r="AD68" s="57">
        <f t="shared" si="31"/>
        <v>1000</v>
      </c>
      <c r="AE68" s="56"/>
      <c r="AF68" s="56"/>
      <c r="AG68" s="56"/>
      <c r="AH68" s="57">
        <f t="shared" si="32"/>
        <v>1000</v>
      </c>
      <c r="AI68" s="56"/>
      <c r="AJ68" s="56"/>
      <c r="AK68" s="56"/>
      <c r="AL68" s="49">
        <f t="shared" si="33"/>
        <v>1000</v>
      </c>
      <c r="AM68" s="56"/>
      <c r="AN68" s="56"/>
      <c r="AO68" s="56"/>
      <c r="AP68" s="57">
        <v>1000</v>
      </c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>
        <f t="shared" ref="BB68:BB80" si="74">F68+G68+H68+J68+K68+L68+N68+O68+P68+R68+S68+T68+V68+W68+X68+Z68+AA68+AB68+AD68+AE68+AF68+AH68+AI68+AJ68+AL68+AM68+AN68+AP68+AQ68+AR68+AT68+AU68+AV68+AX68+AY68+AZ68</f>
        <v>10000</v>
      </c>
      <c r="BC68" s="56">
        <f t="shared" ref="BC68:BC80" si="75">I68+M68+Q68+U68+Y68+AC68+AG68+AK68+AO68+AS68+AW68+BA68</f>
        <v>0</v>
      </c>
      <c r="BE68">
        <f ca="1">'Monthly Collection-2025'!CC68</f>
        <v>0</v>
      </c>
      <c r="BF68" t="str">
        <f t="shared" ref="BF68:BF80" ca="1" si="76">IF(N(F68)&gt;=$E68*1000,"",IF(AND($E68&gt;0,BE68&gt;=$E68*1000),"G",IF(F$2&lt;=TODAY(),"R","")))</f>
        <v/>
      </c>
      <c r="BG68">
        <f t="shared" ref="BG68:BG80" ca="1" si="77">BE68-IF(BF68="G",$E68*1000,0)+N(G68)</f>
        <v>0</v>
      </c>
      <c r="BH68" t="str">
        <f t="shared" ref="BH68:BH80" ca="1" si="78">IF(N(J68)&gt;=$E68*1000,"",IF(AND($E68&gt;0,BG68&gt;=$E68*1000),"G",IF(J$2&lt;=TODAY(),"R","")))</f>
        <v/>
      </c>
      <c r="BI68">
        <f t="shared" ref="BI68:BI80" ca="1" si="79">BG68-IF(BH68="G",$E68*1000,0)+N(K68)</f>
        <v>0</v>
      </c>
      <c r="BJ68" t="str">
        <f t="shared" ref="BJ68:BJ80" ca="1" si="80">IF(N(N68)&gt;=$E68*1000,"",IF(AND($E68&gt;0,BI68&gt;=$E68*1000),"G",IF(N$2&lt;=TODAY(),"R","")))</f>
        <v/>
      </c>
      <c r="BK68">
        <f t="shared" ref="BK68:BK80" ca="1" si="81">BI68-IF(BJ68="G",$E68*1000,0)+N(O68)</f>
        <v>0</v>
      </c>
      <c r="BL68" t="str">
        <f t="shared" ref="BL68:BL80" ca="1" si="82">IF(N(R68)&gt;=$E68*1000,"",IF(AND($E68&gt;0,BK68&gt;=$E68*1000),"G",IF(R$2&lt;=TODAY(),"R","")))</f>
        <v/>
      </c>
      <c r="BM68">
        <f t="shared" ref="BM68:BM80" ca="1" si="83">BK68-IF(BL68="G",$E68*1000,0)+N(S68)</f>
        <v>0</v>
      </c>
      <c r="BN68" t="str">
        <f t="shared" ref="BN68:BN80" ca="1" si="84">IF(N(V68)&gt;=$E68*1000,"",IF(AND($E68&gt;0,BM68&gt;=$E68*1000),"G",IF(V$2&lt;=TODAY(),"R","")))</f>
        <v/>
      </c>
      <c r="BO68">
        <f t="shared" ref="BO68:BO80" ca="1" si="85">BM68-IF(BN68="G",$E68*1000,0)+N(W68)</f>
        <v>0</v>
      </c>
      <c r="BP68" t="str">
        <f t="shared" ref="BP68:BP80" ca="1" si="86">IF(N(Z68)&gt;=$E68*1000,"",IF(AND($E68&gt;0,BO68&gt;=$E68*1000),"G",IF(Z$2&lt;=TODAY(),"R","")))</f>
        <v/>
      </c>
      <c r="BQ68">
        <f t="shared" ref="BQ68:BQ80" ca="1" si="87">BO68-IF(BP68="G",$E68*1000,0)+N(AA68)</f>
        <v>0</v>
      </c>
      <c r="BR68" t="str">
        <f t="shared" ref="BR68:BR80" ca="1" si="88">IF(N(AD68)&gt;=$E68*1000,"",IF(AND($E68&gt;0,BQ68&gt;=$E68*1000),"G",IF(AD$2&lt;=TODAY(),"R","")))</f>
        <v/>
      </c>
      <c r="BS68">
        <f t="shared" ref="BS68:BS80" ca="1" si="89">BQ68-IF(BR68="G",$E68*1000,0)+N(AE68)</f>
        <v>0</v>
      </c>
      <c r="BT68" t="str">
        <f t="shared" ref="BT68:BT80" ca="1" si="90">IF(N(AH68)&gt;=$E68*1000,"",IF(AND($E68&gt;0,BS68&gt;=$E68*1000),"G",IF(AH$2&lt;=TODAY(),"R","")))</f>
        <v/>
      </c>
      <c r="BU68">
        <f t="shared" ref="BU68:BU80" ca="1" si="91">BS68-IF(BT68="G",$E68*1000,0)+N(AI68)</f>
        <v>0</v>
      </c>
      <c r="BV68" t="str">
        <f t="shared" ref="BV68:BV80" ca="1" si="92">IF(N(AL68)&gt;=$E68*1000,"",IF(AND($E68&gt;0,BU68&gt;=$E68*1000),"G",IF(AL$2&lt;=TODAY(),"R","")))</f>
        <v/>
      </c>
      <c r="BW68">
        <f t="shared" ref="BW68:BW80" ca="1" si="93">BU68-IF(BV68="G",$E68*1000,0)+N(AM68)</f>
        <v>0</v>
      </c>
      <c r="BX68" t="str">
        <f t="shared" ref="BX68:BX80" ca="1" si="94">IF(N(AP68)&gt;=$E68*1000,"",IF(AND($E68&gt;0,BW68&gt;=$E68*1000),"G",IF(AP$2&lt;=TODAY(),"R","")))</f>
        <v/>
      </c>
      <c r="BY68">
        <f t="shared" ref="BY68:BY80" ca="1" si="95">BW68-IF(BX68="G",$E68*1000,0)+N(AQ68)</f>
        <v>0</v>
      </c>
      <c r="BZ68" t="str">
        <f t="shared" ref="BZ68:BZ80" ca="1" si="96">IF(N(AT68)&gt;=$E68*1000,"",IF(AND($E68&gt;0,BY68&gt;=$E68*1000),"G",IF(AT$2&lt;=TODAY(),"R","")))</f>
        <v/>
      </c>
      <c r="CA68">
        <f t="shared" ref="CA68:CA80" ca="1" si="97">BY68-IF(BZ68="G",$E68*1000,0)+N(AU68)</f>
        <v>0</v>
      </c>
      <c r="CB68" t="str">
        <f t="shared" ref="CB68:CB80" ca="1" si="98">IF(N(AX68)&gt;=$E68*1000,"",IF(AND($E68&gt;0,CA68&gt;=$E68*1000),"G",IF(AX$2&lt;=TODAY(),"R","")))</f>
        <v/>
      </c>
      <c r="CC68">
        <f t="shared" ref="CC68:CC80" ca="1" si="99">CA68-IF(CB68="G",$E68*1000,0)+N(AY68)</f>
        <v>0</v>
      </c>
    </row>
    <row r="69" spans="2:81" ht="14.25" customHeight="1" x14ac:dyDescent="0.3">
      <c r="B69" s="51">
        <f t="shared" si="72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>
        <f t="shared" si="69"/>
        <v>1000</v>
      </c>
      <c r="G69" s="52"/>
      <c r="H69" s="52"/>
      <c r="I69" s="52"/>
      <c r="J69" s="52">
        <f t="shared" si="70"/>
        <v>1000</v>
      </c>
      <c r="K69" s="52"/>
      <c r="L69" s="52"/>
      <c r="M69" s="52"/>
      <c r="N69" s="52">
        <f t="shared" si="73"/>
        <v>1000</v>
      </c>
      <c r="O69" s="52"/>
      <c r="P69" s="52"/>
      <c r="Q69" s="52"/>
      <c r="R69" s="52">
        <f t="shared" si="71"/>
        <v>1000</v>
      </c>
      <c r="S69" s="52"/>
      <c r="T69" s="52"/>
      <c r="U69" s="52"/>
      <c r="V69" s="53">
        <f t="shared" ref="V69:V79" si="100">E69*1000</f>
        <v>1000</v>
      </c>
      <c r="W69" s="52"/>
      <c r="X69" s="52"/>
      <c r="Y69" s="52"/>
      <c r="Z69" s="53">
        <f t="shared" ref="Z69:Z80" si="101">E69*1000</f>
        <v>1000</v>
      </c>
      <c r="AA69" s="52"/>
      <c r="AB69" s="52"/>
      <c r="AC69" s="52"/>
      <c r="AD69" s="53">
        <f t="shared" ref="AD69:AD80" si="102">E69*1000</f>
        <v>1000</v>
      </c>
      <c r="AE69" s="52"/>
      <c r="AF69" s="52"/>
      <c r="AG69" s="52"/>
      <c r="AH69" s="53">
        <f t="shared" ref="AH69:AH80" si="103">1000*E69</f>
        <v>1000</v>
      </c>
      <c r="AI69" s="52"/>
      <c r="AJ69" s="52"/>
      <c r="AK69" s="52"/>
      <c r="AL69" s="49">
        <f t="shared" ref="AL69:AL76" si="104">E69*1000</f>
        <v>1000</v>
      </c>
      <c r="AM69" s="52"/>
      <c r="AN69" s="52"/>
      <c r="AO69" s="52"/>
      <c r="AP69" s="53">
        <v>1000</v>
      </c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>
        <f t="shared" si="74"/>
        <v>10000</v>
      </c>
      <c r="BC69" s="52">
        <f t="shared" si="75"/>
        <v>0</v>
      </c>
      <c r="BE69">
        <f ca="1">'Monthly Collection-2025'!CC69</f>
        <v>0</v>
      </c>
      <c r="BF69" t="str">
        <f t="shared" ca="1" si="76"/>
        <v/>
      </c>
      <c r="BG69">
        <f t="shared" ca="1" si="77"/>
        <v>0</v>
      </c>
      <c r="BH69" t="str">
        <f t="shared" ca="1" si="78"/>
        <v/>
      </c>
      <c r="BI69">
        <f t="shared" ca="1" si="79"/>
        <v>0</v>
      </c>
      <c r="BJ69" t="str">
        <f t="shared" ca="1" si="80"/>
        <v/>
      </c>
      <c r="BK69">
        <f t="shared" ca="1" si="81"/>
        <v>0</v>
      </c>
      <c r="BL69" t="str">
        <f t="shared" ca="1" si="82"/>
        <v/>
      </c>
      <c r="BM69">
        <f t="shared" ca="1" si="83"/>
        <v>0</v>
      </c>
      <c r="BN69" t="str">
        <f t="shared" ca="1" si="84"/>
        <v/>
      </c>
      <c r="BO69">
        <f t="shared" ca="1" si="85"/>
        <v>0</v>
      </c>
      <c r="BP69" t="str">
        <f t="shared" ca="1" si="86"/>
        <v/>
      </c>
      <c r="BQ69">
        <f t="shared" ca="1" si="87"/>
        <v>0</v>
      </c>
      <c r="BR69" t="str">
        <f t="shared" ca="1" si="88"/>
        <v/>
      </c>
      <c r="BS69">
        <f t="shared" ca="1" si="89"/>
        <v>0</v>
      </c>
      <c r="BT69" t="str">
        <f t="shared" ca="1" si="90"/>
        <v/>
      </c>
      <c r="BU69">
        <f t="shared" ca="1" si="91"/>
        <v>0</v>
      </c>
      <c r="BV69" t="str">
        <f t="shared" ca="1" si="92"/>
        <v/>
      </c>
      <c r="BW69">
        <f t="shared" ca="1" si="93"/>
        <v>0</v>
      </c>
      <c r="BX69" t="str">
        <f t="shared" ca="1" si="94"/>
        <v/>
      </c>
      <c r="BY69">
        <f t="shared" ca="1" si="95"/>
        <v>0</v>
      </c>
      <c r="BZ69" t="str">
        <f t="shared" ca="1" si="96"/>
        <v/>
      </c>
      <c r="CA69">
        <f t="shared" ca="1" si="97"/>
        <v>0</v>
      </c>
      <c r="CB69" t="str">
        <f t="shared" ca="1" si="98"/>
        <v/>
      </c>
      <c r="CC69">
        <f t="shared" ca="1" si="99"/>
        <v>0</v>
      </c>
    </row>
    <row r="70" spans="2:81" ht="14.25" customHeight="1" x14ac:dyDescent="0.3">
      <c r="B70" s="55">
        <f t="shared" si="72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56">
        <f t="shared" si="69"/>
        <v>1000</v>
      </c>
      <c r="G70" s="56"/>
      <c r="H70" s="56"/>
      <c r="I70" s="56"/>
      <c r="J70" s="56">
        <f t="shared" si="70"/>
        <v>1000</v>
      </c>
      <c r="K70" s="56"/>
      <c r="L70" s="56"/>
      <c r="M70" s="56"/>
      <c r="N70" s="56">
        <f t="shared" si="73"/>
        <v>1000</v>
      </c>
      <c r="O70" s="56"/>
      <c r="P70" s="56"/>
      <c r="Q70" s="56"/>
      <c r="R70" s="56">
        <f t="shared" si="71"/>
        <v>1000</v>
      </c>
      <c r="S70" s="56"/>
      <c r="T70" s="56"/>
      <c r="U70" s="56"/>
      <c r="V70" s="57">
        <f t="shared" si="100"/>
        <v>1000</v>
      </c>
      <c r="W70" s="56"/>
      <c r="X70" s="56"/>
      <c r="Y70" s="56"/>
      <c r="Z70" s="57">
        <f t="shared" si="101"/>
        <v>1000</v>
      </c>
      <c r="AA70" s="56"/>
      <c r="AB70" s="56"/>
      <c r="AC70" s="56"/>
      <c r="AD70" s="57">
        <f t="shared" si="102"/>
        <v>1000</v>
      </c>
      <c r="AE70" s="56"/>
      <c r="AF70" s="56"/>
      <c r="AG70" s="56"/>
      <c r="AH70" s="57">
        <f t="shared" si="103"/>
        <v>1000</v>
      </c>
      <c r="AI70" s="56"/>
      <c r="AJ70" s="56"/>
      <c r="AK70" s="56"/>
      <c r="AL70" s="250"/>
      <c r="AM70" s="56"/>
      <c r="AN70" s="56"/>
      <c r="AO70" s="56"/>
      <c r="AP70" s="245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>
        <f t="shared" si="74"/>
        <v>8000</v>
      </c>
      <c r="BC70" s="56">
        <f t="shared" si="75"/>
        <v>0</v>
      </c>
      <c r="BE70">
        <f ca="1">'Monthly Collection-2025'!CC70</f>
        <v>0</v>
      </c>
      <c r="BF70" t="str">
        <f t="shared" ca="1" si="76"/>
        <v/>
      </c>
      <c r="BG70">
        <f t="shared" ca="1" si="77"/>
        <v>0</v>
      </c>
      <c r="BH70" t="str">
        <f t="shared" ca="1" si="78"/>
        <v/>
      </c>
      <c r="BI70">
        <f t="shared" ca="1" si="79"/>
        <v>0</v>
      </c>
      <c r="BJ70" t="str">
        <f t="shared" ca="1" si="80"/>
        <v/>
      </c>
      <c r="BK70">
        <f t="shared" ca="1" si="81"/>
        <v>0</v>
      </c>
      <c r="BL70" t="str">
        <f t="shared" ca="1" si="82"/>
        <v/>
      </c>
      <c r="BM70">
        <f t="shared" ca="1" si="83"/>
        <v>0</v>
      </c>
      <c r="BN70" t="str">
        <f t="shared" ca="1" si="84"/>
        <v/>
      </c>
      <c r="BO70">
        <f t="shared" ca="1" si="85"/>
        <v>0</v>
      </c>
      <c r="BP70" t="str">
        <f t="shared" ca="1" si="86"/>
        <v/>
      </c>
      <c r="BQ70">
        <f t="shared" ca="1" si="87"/>
        <v>0</v>
      </c>
      <c r="BR70" t="str">
        <f t="shared" ca="1" si="88"/>
        <v/>
      </c>
      <c r="BS70">
        <f t="shared" ca="1" si="89"/>
        <v>0</v>
      </c>
      <c r="BT70" t="str">
        <f t="shared" ca="1" si="90"/>
        <v/>
      </c>
      <c r="BU70">
        <f t="shared" ca="1" si="91"/>
        <v>0</v>
      </c>
      <c r="BV70" t="str">
        <f t="shared" ca="1" si="92"/>
        <v>R</v>
      </c>
      <c r="BW70">
        <f t="shared" ca="1" si="93"/>
        <v>0</v>
      </c>
      <c r="BX70" t="str">
        <f t="shared" ca="1" si="94"/>
        <v>R</v>
      </c>
      <c r="BY70">
        <f t="shared" ca="1" si="95"/>
        <v>0</v>
      </c>
      <c r="BZ70" t="str">
        <f t="shared" ca="1" si="96"/>
        <v/>
      </c>
      <c r="CA70">
        <f t="shared" ca="1" si="97"/>
        <v>0</v>
      </c>
      <c r="CB70" t="str">
        <f t="shared" ca="1" si="98"/>
        <v/>
      </c>
      <c r="CC70">
        <f t="shared" ca="1" si="99"/>
        <v>0</v>
      </c>
    </row>
    <row r="71" spans="2:81" ht="14.25" customHeight="1" x14ac:dyDescent="0.3">
      <c r="B71" s="51">
        <f t="shared" si="72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52">
        <f t="shared" si="69"/>
        <v>1000</v>
      </c>
      <c r="G71" s="52"/>
      <c r="H71" s="52"/>
      <c r="I71" s="52"/>
      <c r="J71" s="52">
        <f t="shared" si="70"/>
        <v>1000</v>
      </c>
      <c r="K71" s="52"/>
      <c r="L71" s="52"/>
      <c r="M71" s="52"/>
      <c r="N71" s="52">
        <f t="shared" si="73"/>
        <v>1000</v>
      </c>
      <c r="O71" s="52"/>
      <c r="P71" s="52"/>
      <c r="Q71" s="52"/>
      <c r="R71" s="52">
        <f t="shared" si="71"/>
        <v>1000</v>
      </c>
      <c r="S71" s="52"/>
      <c r="T71" s="52"/>
      <c r="U71" s="52"/>
      <c r="V71" s="53">
        <f t="shared" si="100"/>
        <v>1000</v>
      </c>
      <c r="W71" s="52"/>
      <c r="X71" s="52"/>
      <c r="Y71" s="52"/>
      <c r="Z71" s="53">
        <f t="shared" si="101"/>
        <v>1000</v>
      </c>
      <c r="AA71" s="52"/>
      <c r="AB71" s="52"/>
      <c r="AC71" s="52"/>
      <c r="AD71" s="53">
        <f t="shared" si="102"/>
        <v>1000</v>
      </c>
      <c r="AE71" s="52"/>
      <c r="AF71" s="52"/>
      <c r="AG71" s="52"/>
      <c r="AH71" s="53">
        <f t="shared" si="103"/>
        <v>1000</v>
      </c>
      <c r="AI71" s="52"/>
      <c r="AJ71" s="52"/>
      <c r="AK71" s="52"/>
      <c r="AL71" s="251"/>
      <c r="AM71" s="52"/>
      <c r="AN71" s="52"/>
      <c r="AO71" s="52"/>
      <c r="AP71" s="248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>
        <f t="shared" si="74"/>
        <v>8000</v>
      </c>
      <c r="BC71" s="52">
        <f t="shared" si="75"/>
        <v>0</v>
      </c>
      <c r="BE71">
        <f ca="1">'Monthly Collection-2025'!CC71</f>
        <v>0</v>
      </c>
      <c r="BF71" t="str">
        <f t="shared" ca="1" si="76"/>
        <v/>
      </c>
      <c r="BG71">
        <f t="shared" ca="1" si="77"/>
        <v>0</v>
      </c>
      <c r="BH71" t="str">
        <f t="shared" ca="1" si="78"/>
        <v/>
      </c>
      <c r="BI71">
        <f t="shared" ca="1" si="79"/>
        <v>0</v>
      </c>
      <c r="BJ71" t="str">
        <f t="shared" ca="1" si="80"/>
        <v/>
      </c>
      <c r="BK71">
        <f t="shared" ca="1" si="81"/>
        <v>0</v>
      </c>
      <c r="BL71" t="str">
        <f t="shared" ca="1" si="82"/>
        <v/>
      </c>
      <c r="BM71">
        <f t="shared" ca="1" si="83"/>
        <v>0</v>
      </c>
      <c r="BN71" t="str">
        <f t="shared" ca="1" si="84"/>
        <v/>
      </c>
      <c r="BO71">
        <f t="shared" ca="1" si="85"/>
        <v>0</v>
      </c>
      <c r="BP71" t="str">
        <f t="shared" ca="1" si="86"/>
        <v/>
      </c>
      <c r="BQ71">
        <f t="shared" ca="1" si="87"/>
        <v>0</v>
      </c>
      <c r="BR71" t="str">
        <f t="shared" ca="1" si="88"/>
        <v/>
      </c>
      <c r="BS71">
        <f t="shared" ca="1" si="89"/>
        <v>0</v>
      </c>
      <c r="BT71" t="str">
        <f t="shared" ca="1" si="90"/>
        <v/>
      </c>
      <c r="BU71">
        <f t="shared" ca="1" si="91"/>
        <v>0</v>
      </c>
      <c r="BV71" t="str">
        <f t="shared" ca="1" si="92"/>
        <v>R</v>
      </c>
      <c r="BW71">
        <f t="shared" ca="1" si="93"/>
        <v>0</v>
      </c>
      <c r="BX71" t="str">
        <f t="shared" ca="1" si="94"/>
        <v>R</v>
      </c>
      <c r="BY71">
        <f t="shared" ca="1" si="95"/>
        <v>0</v>
      </c>
      <c r="BZ71" t="str">
        <f t="shared" ca="1" si="96"/>
        <v/>
      </c>
      <c r="CA71">
        <f t="shared" ca="1" si="97"/>
        <v>0</v>
      </c>
      <c r="CB71" t="str">
        <f t="shared" ca="1" si="98"/>
        <v/>
      </c>
      <c r="CC71">
        <f t="shared" ca="1" si="99"/>
        <v>0</v>
      </c>
    </row>
    <row r="72" spans="2:81" ht="14.25" customHeight="1" x14ac:dyDescent="0.3">
      <c r="B72" s="55">
        <f t="shared" si="72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>
        <f t="shared" si="69"/>
        <v>2000</v>
      </c>
      <c r="G72" s="56"/>
      <c r="H72" s="56"/>
      <c r="I72" s="56"/>
      <c r="J72" s="56">
        <f t="shared" si="70"/>
        <v>2000</v>
      </c>
      <c r="K72" s="56"/>
      <c r="L72" s="56"/>
      <c r="M72" s="56"/>
      <c r="N72" s="56">
        <f t="shared" si="73"/>
        <v>2000</v>
      </c>
      <c r="O72" s="56"/>
      <c r="P72" s="56"/>
      <c r="Q72" s="56"/>
      <c r="R72" s="56">
        <f t="shared" si="71"/>
        <v>2000</v>
      </c>
      <c r="S72" s="56"/>
      <c r="T72" s="56"/>
      <c r="U72" s="56"/>
      <c r="V72" s="57">
        <f t="shared" si="100"/>
        <v>2000</v>
      </c>
      <c r="W72" s="56"/>
      <c r="X72" s="56"/>
      <c r="Y72" s="56"/>
      <c r="Z72" s="57">
        <f t="shared" si="101"/>
        <v>2000</v>
      </c>
      <c r="AA72" s="56"/>
      <c r="AB72" s="56"/>
      <c r="AC72" s="56"/>
      <c r="AD72" s="57">
        <f t="shared" si="102"/>
        <v>2000</v>
      </c>
      <c r="AE72" s="56"/>
      <c r="AF72" s="56"/>
      <c r="AG72" s="56"/>
      <c r="AH72" s="57">
        <f t="shared" si="103"/>
        <v>2000</v>
      </c>
      <c r="AI72" s="56"/>
      <c r="AJ72" s="56"/>
      <c r="AK72" s="56"/>
      <c r="AL72" s="49">
        <f t="shared" si="104"/>
        <v>2000</v>
      </c>
      <c r="AM72" s="56"/>
      <c r="AN72" s="56"/>
      <c r="AO72" s="56"/>
      <c r="AP72" s="57">
        <v>2000</v>
      </c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>
        <f t="shared" si="74"/>
        <v>20000</v>
      </c>
      <c r="BC72" s="56">
        <f t="shared" si="75"/>
        <v>0</v>
      </c>
      <c r="BE72">
        <f ca="1">'Monthly Collection-2025'!CC72</f>
        <v>0</v>
      </c>
      <c r="BF72" t="str">
        <f t="shared" ca="1" si="76"/>
        <v/>
      </c>
      <c r="BG72">
        <f t="shared" ca="1" si="77"/>
        <v>0</v>
      </c>
      <c r="BH72" t="str">
        <f t="shared" ca="1" si="78"/>
        <v/>
      </c>
      <c r="BI72">
        <f t="shared" ca="1" si="79"/>
        <v>0</v>
      </c>
      <c r="BJ72" t="str">
        <f t="shared" ca="1" si="80"/>
        <v/>
      </c>
      <c r="BK72">
        <f t="shared" ca="1" si="81"/>
        <v>0</v>
      </c>
      <c r="BL72" t="str">
        <f t="shared" ca="1" si="82"/>
        <v/>
      </c>
      <c r="BM72">
        <f t="shared" ca="1" si="83"/>
        <v>0</v>
      </c>
      <c r="BN72" t="str">
        <f t="shared" ca="1" si="84"/>
        <v/>
      </c>
      <c r="BO72">
        <f t="shared" ca="1" si="85"/>
        <v>0</v>
      </c>
      <c r="BP72" t="str">
        <f t="shared" ca="1" si="86"/>
        <v/>
      </c>
      <c r="BQ72">
        <f t="shared" ca="1" si="87"/>
        <v>0</v>
      </c>
      <c r="BR72" t="str">
        <f t="shared" ca="1" si="88"/>
        <v/>
      </c>
      <c r="BS72">
        <f t="shared" ca="1" si="89"/>
        <v>0</v>
      </c>
      <c r="BT72" t="str">
        <f t="shared" ca="1" si="90"/>
        <v/>
      </c>
      <c r="BU72">
        <f t="shared" ca="1" si="91"/>
        <v>0</v>
      </c>
      <c r="BV72" t="str">
        <f t="shared" ca="1" si="92"/>
        <v/>
      </c>
      <c r="BW72">
        <f t="shared" ca="1" si="93"/>
        <v>0</v>
      </c>
      <c r="BX72" t="str">
        <f t="shared" ca="1" si="94"/>
        <v/>
      </c>
      <c r="BY72">
        <f t="shared" ca="1" si="95"/>
        <v>0</v>
      </c>
      <c r="BZ72" t="str">
        <f t="shared" ca="1" si="96"/>
        <v/>
      </c>
      <c r="CA72">
        <f t="shared" ca="1" si="97"/>
        <v>0</v>
      </c>
      <c r="CB72" t="str">
        <f t="shared" ca="1" si="98"/>
        <v/>
      </c>
      <c r="CC72">
        <f t="shared" ca="1" si="99"/>
        <v>0</v>
      </c>
    </row>
    <row r="73" spans="2:81" ht="14.25" customHeight="1" x14ac:dyDescent="0.3">
      <c r="B73" s="51">
        <f t="shared" si="72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>
        <f t="shared" si="69"/>
        <v>1000</v>
      </c>
      <c r="G73" s="52"/>
      <c r="H73" s="52"/>
      <c r="I73" s="52"/>
      <c r="J73" s="52">
        <f t="shared" si="70"/>
        <v>1000</v>
      </c>
      <c r="K73" s="52"/>
      <c r="L73" s="52"/>
      <c r="M73" s="52"/>
      <c r="N73" s="52">
        <f t="shared" si="73"/>
        <v>1000</v>
      </c>
      <c r="O73" s="52"/>
      <c r="P73" s="52"/>
      <c r="Q73" s="52"/>
      <c r="R73" s="52">
        <f t="shared" si="71"/>
        <v>1000</v>
      </c>
      <c r="S73" s="52"/>
      <c r="T73" s="52"/>
      <c r="U73" s="52"/>
      <c r="V73" s="53">
        <f t="shared" si="100"/>
        <v>1000</v>
      </c>
      <c r="W73" s="52"/>
      <c r="X73" s="52"/>
      <c r="Y73" s="52"/>
      <c r="Z73" s="53">
        <f t="shared" si="101"/>
        <v>1000</v>
      </c>
      <c r="AA73" s="52"/>
      <c r="AB73" s="52"/>
      <c r="AC73" s="52"/>
      <c r="AD73" s="53">
        <f t="shared" si="102"/>
        <v>1000</v>
      </c>
      <c r="AE73" s="52"/>
      <c r="AF73" s="52"/>
      <c r="AG73" s="52"/>
      <c r="AH73" s="53">
        <f t="shared" si="103"/>
        <v>1000</v>
      </c>
      <c r="AI73" s="52"/>
      <c r="AJ73" s="52"/>
      <c r="AK73" s="52"/>
      <c r="AL73" s="49">
        <f t="shared" si="104"/>
        <v>1000</v>
      </c>
      <c r="AM73" s="52"/>
      <c r="AN73" s="52"/>
      <c r="AO73" s="52"/>
      <c r="AP73" s="53">
        <v>1000</v>
      </c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>
        <f t="shared" si="74"/>
        <v>10000</v>
      </c>
      <c r="BC73" s="52">
        <f t="shared" si="75"/>
        <v>0</v>
      </c>
      <c r="BE73">
        <f ca="1">'Monthly Collection-2025'!CC73</f>
        <v>0</v>
      </c>
      <c r="BF73" t="str">
        <f t="shared" ca="1" si="76"/>
        <v/>
      </c>
      <c r="BG73">
        <f t="shared" ca="1" si="77"/>
        <v>0</v>
      </c>
      <c r="BH73" t="str">
        <f t="shared" ca="1" si="78"/>
        <v/>
      </c>
      <c r="BI73">
        <f t="shared" ca="1" si="79"/>
        <v>0</v>
      </c>
      <c r="BJ73" t="str">
        <f t="shared" ca="1" si="80"/>
        <v/>
      </c>
      <c r="BK73">
        <f t="shared" ca="1" si="81"/>
        <v>0</v>
      </c>
      <c r="BL73" t="str">
        <f t="shared" ca="1" si="82"/>
        <v/>
      </c>
      <c r="BM73">
        <f t="shared" ca="1" si="83"/>
        <v>0</v>
      </c>
      <c r="BN73" t="str">
        <f t="shared" ca="1" si="84"/>
        <v/>
      </c>
      <c r="BO73">
        <f t="shared" ca="1" si="85"/>
        <v>0</v>
      </c>
      <c r="BP73" t="str">
        <f t="shared" ca="1" si="86"/>
        <v/>
      </c>
      <c r="BQ73">
        <f t="shared" ca="1" si="87"/>
        <v>0</v>
      </c>
      <c r="BR73" t="str">
        <f t="shared" ca="1" si="88"/>
        <v/>
      </c>
      <c r="BS73">
        <f t="shared" ca="1" si="89"/>
        <v>0</v>
      </c>
      <c r="BT73" t="str">
        <f t="shared" ca="1" si="90"/>
        <v/>
      </c>
      <c r="BU73">
        <f t="shared" ca="1" si="91"/>
        <v>0</v>
      </c>
      <c r="BV73" t="str">
        <f t="shared" ca="1" si="92"/>
        <v/>
      </c>
      <c r="BW73">
        <f t="shared" ca="1" si="93"/>
        <v>0</v>
      </c>
      <c r="BX73" t="str">
        <f t="shared" ca="1" si="94"/>
        <v/>
      </c>
      <c r="BY73">
        <f t="shared" ca="1" si="95"/>
        <v>0</v>
      </c>
      <c r="BZ73" t="str">
        <f t="shared" ca="1" si="96"/>
        <v/>
      </c>
      <c r="CA73">
        <f t="shared" ca="1" si="97"/>
        <v>0</v>
      </c>
      <c r="CB73" t="str">
        <f t="shared" ca="1" si="98"/>
        <v/>
      </c>
      <c r="CC73">
        <f t="shared" ca="1" si="99"/>
        <v>0</v>
      </c>
    </row>
    <row r="74" spans="2:81" ht="14.25" customHeight="1" x14ac:dyDescent="0.3">
      <c r="B74" s="55">
        <f t="shared" si="72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>
        <f t="shared" si="69"/>
        <v>1000</v>
      </c>
      <c r="G74" s="56"/>
      <c r="H74" s="56"/>
      <c r="I74" s="56"/>
      <c r="J74" s="56">
        <f t="shared" si="70"/>
        <v>1000</v>
      </c>
      <c r="K74" s="56"/>
      <c r="L74" s="56"/>
      <c r="M74" s="56"/>
      <c r="N74" s="56">
        <f t="shared" si="73"/>
        <v>1000</v>
      </c>
      <c r="O74" s="56"/>
      <c r="P74" s="56"/>
      <c r="Q74" s="56"/>
      <c r="R74" s="56">
        <f t="shared" si="71"/>
        <v>1000</v>
      </c>
      <c r="S74" s="56"/>
      <c r="T74" s="56"/>
      <c r="U74" s="56"/>
      <c r="V74" s="57">
        <f t="shared" si="100"/>
        <v>1000</v>
      </c>
      <c r="W74" s="56"/>
      <c r="X74" s="56"/>
      <c r="Y74" s="56"/>
      <c r="Z74" s="57">
        <f t="shared" si="101"/>
        <v>1000</v>
      </c>
      <c r="AA74" s="56"/>
      <c r="AB74" s="56"/>
      <c r="AC74" s="56"/>
      <c r="AD74" s="57">
        <f t="shared" si="102"/>
        <v>1000</v>
      </c>
      <c r="AE74" s="56"/>
      <c r="AF74" s="56"/>
      <c r="AG74" s="56"/>
      <c r="AH74" s="57">
        <f t="shared" si="103"/>
        <v>1000</v>
      </c>
      <c r="AI74" s="56"/>
      <c r="AJ74" s="56"/>
      <c r="AK74" s="56"/>
      <c r="AL74" s="49">
        <f t="shared" si="104"/>
        <v>1000</v>
      </c>
      <c r="AM74" s="56"/>
      <c r="AN74" s="56"/>
      <c r="AO74" s="56"/>
      <c r="AP74" s="57">
        <v>1000</v>
      </c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>
        <f t="shared" si="74"/>
        <v>10000</v>
      </c>
      <c r="BC74" s="56">
        <f t="shared" si="75"/>
        <v>0</v>
      </c>
      <c r="BE74">
        <f ca="1">'Monthly Collection-2025'!CC74</f>
        <v>0</v>
      </c>
      <c r="BF74" t="str">
        <f t="shared" ca="1" si="76"/>
        <v/>
      </c>
      <c r="BG74">
        <f t="shared" ca="1" si="77"/>
        <v>0</v>
      </c>
      <c r="BH74" t="str">
        <f t="shared" ca="1" si="78"/>
        <v/>
      </c>
      <c r="BI74">
        <f t="shared" ca="1" si="79"/>
        <v>0</v>
      </c>
      <c r="BJ74" t="str">
        <f t="shared" ca="1" si="80"/>
        <v/>
      </c>
      <c r="BK74">
        <f t="shared" ca="1" si="81"/>
        <v>0</v>
      </c>
      <c r="BL74" t="str">
        <f t="shared" ca="1" si="82"/>
        <v/>
      </c>
      <c r="BM74">
        <f t="shared" ca="1" si="83"/>
        <v>0</v>
      </c>
      <c r="BN74" t="str">
        <f t="shared" ca="1" si="84"/>
        <v/>
      </c>
      <c r="BO74">
        <f t="shared" ca="1" si="85"/>
        <v>0</v>
      </c>
      <c r="BP74" t="str">
        <f t="shared" ca="1" si="86"/>
        <v/>
      </c>
      <c r="BQ74">
        <f t="shared" ca="1" si="87"/>
        <v>0</v>
      </c>
      <c r="BR74" t="str">
        <f t="shared" ca="1" si="88"/>
        <v/>
      </c>
      <c r="BS74">
        <f t="shared" ca="1" si="89"/>
        <v>0</v>
      </c>
      <c r="BT74" t="str">
        <f t="shared" ca="1" si="90"/>
        <v/>
      </c>
      <c r="BU74">
        <f t="shared" ca="1" si="91"/>
        <v>0</v>
      </c>
      <c r="BV74" t="str">
        <f t="shared" ca="1" si="92"/>
        <v/>
      </c>
      <c r="BW74">
        <f t="shared" ca="1" si="93"/>
        <v>0</v>
      </c>
      <c r="BX74" t="str">
        <f t="shared" ca="1" si="94"/>
        <v/>
      </c>
      <c r="BY74">
        <f t="shared" ca="1" si="95"/>
        <v>0</v>
      </c>
      <c r="BZ74" t="str">
        <f t="shared" ca="1" si="96"/>
        <v/>
      </c>
      <c r="CA74">
        <f t="shared" ca="1" si="97"/>
        <v>0</v>
      </c>
      <c r="CB74" t="str">
        <f t="shared" ca="1" si="98"/>
        <v/>
      </c>
      <c r="CC74">
        <f t="shared" ca="1" si="99"/>
        <v>0</v>
      </c>
    </row>
    <row r="75" spans="2:81" ht="14.25" customHeight="1" x14ac:dyDescent="0.3">
      <c r="B75" s="51">
        <f t="shared" si="72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>
        <f t="shared" si="69"/>
        <v>1000</v>
      </c>
      <c r="G75" s="52"/>
      <c r="H75" s="52"/>
      <c r="I75" s="52"/>
      <c r="J75" s="243"/>
      <c r="K75" s="52"/>
      <c r="L75" s="52"/>
      <c r="M75" s="52"/>
      <c r="N75" s="52">
        <f t="shared" si="73"/>
        <v>1000</v>
      </c>
      <c r="O75" s="52"/>
      <c r="P75" s="52">
        <v>1000</v>
      </c>
      <c r="Q75" s="52">
        <v>50</v>
      </c>
      <c r="R75" s="52">
        <f t="shared" si="71"/>
        <v>1000</v>
      </c>
      <c r="S75" s="52"/>
      <c r="T75" s="52"/>
      <c r="U75" s="52"/>
      <c r="V75" s="53">
        <f t="shared" si="100"/>
        <v>1000</v>
      </c>
      <c r="W75" s="52"/>
      <c r="X75" s="52"/>
      <c r="Y75" s="52"/>
      <c r="Z75" s="53">
        <f t="shared" si="101"/>
        <v>1000</v>
      </c>
      <c r="AA75" s="52"/>
      <c r="AB75" s="52"/>
      <c r="AC75" s="52"/>
      <c r="AD75" s="53">
        <f t="shared" si="102"/>
        <v>1000</v>
      </c>
      <c r="AE75" s="52"/>
      <c r="AF75" s="52"/>
      <c r="AG75" s="52"/>
      <c r="AH75" s="53">
        <f t="shared" si="103"/>
        <v>1000</v>
      </c>
      <c r="AI75" s="52"/>
      <c r="AJ75" s="52"/>
      <c r="AK75" s="52"/>
      <c r="AL75" s="49">
        <f t="shared" si="104"/>
        <v>1000</v>
      </c>
      <c r="AM75" s="52"/>
      <c r="AN75" s="52"/>
      <c r="AO75" s="52"/>
      <c r="AP75" s="248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>
        <f t="shared" si="74"/>
        <v>9000</v>
      </c>
      <c r="BC75" s="52">
        <f t="shared" si="75"/>
        <v>50</v>
      </c>
      <c r="BE75">
        <f ca="1">'Monthly Collection-2025'!CC75</f>
        <v>0</v>
      </c>
      <c r="BF75" t="str">
        <f t="shared" ca="1" si="76"/>
        <v/>
      </c>
      <c r="BG75">
        <f t="shared" ca="1" si="77"/>
        <v>0</v>
      </c>
      <c r="BH75" t="str">
        <f t="shared" ca="1" si="78"/>
        <v>R</v>
      </c>
      <c r="BI75">
        <f t="shared" ca="1" si="79"/>
        <v>0</v>
      </c>
      <c r="BJ75" t="str">
        <f t="shared" ca="1" si="80"/>
        <v/>
      </c>
      <c r="BK75">
        <f t="shared" ca="1" si="81"/>
        <v>0</v>
      </c>
      <c r="BL75" t="str">
        <f t="shared" ca="1" si="82"/>
        <v/>
      </c>
      <c r="BM75">
        <f t="shared" ca="1" si="83"/>
        <v>0</v>
      </c>
      <c r="BN75" t="str">
        <f t="shared" ca="1" si="84"/>
        <v/>
      </c>
      <c r="BO75">
        <f t="shared" ca="1" si="85"/>
        <v>0</v>
      </c>
      <c r="BP75" t="str">
        <f t="shared" ca="1" si="86"/>
        <v/>
      </c>
      <c r="BQ75">
        <f t="shared" ca="1" si="87"/>
        <v>0</v>
      </c>
      <c r="BR75" t="str">
        <f t="shared" ca="1" si="88"/>
        <v/>
      </c>
      <c r="BS75">
        <f t="shared" ca="1" si="89"/>
        <v>0</v>
      </c>
      <c r="BT75" t="str">
        <f t="shared" ca="1" si="90"/>
        <v/>
      </c>
      <c r="BU75">
        <f t="shared" ca="1" si="91"/>
        <v>0</v>
      </c>
      <c r="BV75" t="str">
        <f t="shared" ca="1" si="92"/>
        <v/>
      </c>
      <c r="BW75">
        <f t="shared" ca="1" si="93"/>
        <v>0</v>
      </c>
      <c r="BX75" t="str">
        <f t="shared" ca="1" si="94"/>
        <v>R</v>
      </c>
      <c r="BY75">
        <f t="shared" ca="1" si="95"/>
        <v>0</v>
      </c>
      <c r="BZ75" t="str">
        <f t="shared" ca="1" si="96"/>
        <v/>
      </c>
      <c r="CA75">
        <f t="shared" ca="1" si="97"/>
        <v>0</v>
      </c>
      <c r="CB75" t="str">
        <f t="shared" ca="1" si="98"/>
        <v/>
      </c>
      <c r="CC75">
        <f t="shared" ca="1" si="99"/>
        <v>0</v>
      </c>
    </row>
    <row r="76" spans="2:81" ht="14.25" customHeight="1" x14ac:dyDescent="0.3">
      <c r="B76" s="55">
        <f t="shared" si="72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>
        <f t="shared" si="69"/>
        <v>1000</v>
      </c>
      <c r="G76" s="56"/>
      <c r="H76" s="56">
        <v>1000</v>
      </c>
      <c r="I76" s="56">
        <v>50</v>
      </c>
      <c r="J76" s="241"/>
      <c r="K76" s="56"/>
      <c r="L76" s="56"/>
      <c r="M76" s="56"/>
      <c r="N76" s="56">
        <f t="shared" si="73"/>
        <v>1000</v>
      </c>
      <c r="O76" s="56"/>
      <c r="P76" s="56">
        <v>1000</v>
      </c>
      <c r="Q76" s="56">
        <v>50</v>
      </c>
      <c r="R76" s="56">
        <f t="shared" si="71"/>
        <v>1000</v>
      </c>
      <c r="S76" s="56"/>
      <c r="T76" s="56"/>
      <c r="U76" s="56"/>
      <c r="V76" s="57">
        <f t="shared" si="100"/>
        <v>1000</v>
      </c>
      <c r="W76" s="56">
        <v>1000</v>
      </c>
      <c r="X76" s="56"/>
      <c r="Y76" s="56">
        <v>50</v>
      </c>
      <c r="Z76" s="252"/>
      <c r="AA76" s="56"/>
      <c r="AB76" s="56"/>
      <c r="AC76" s="56"/>
      <c r="AD76" s="57">
        <f t="shared" si="102"/>
        <v>1000</v>
      </c>
      <c r="AE76" s="56">
        <v>1000</v>
      </c>
      <c r="AF76" s="56"/>
      <c r="AG76" s="56"/>
      <c r="AH76" s="252"/>
      <c r="AI76" s="56"/>
      <c r="AJ76" s="56"/>
      <c r="AK76" s="56"/>
      <c r="AL76" s="49">
        <f t="shared" si="104"/>
        <v>1000</v>
      </c>
      <c r="AM76" s="56">
        <v>1000</v>
      </c>
      <c r="AN76" s="56"/>
      <c r="AO76" s="56"/>
      <c r="AP76" s="253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>
        <f t="shared" si="74"/>
        <v>11000</v>
      </c>
      <c r="BC76" s="56">
        <f t="shared" si="75"/>
        <v>150</v>
      </c>
      <c r="BE76">
        <f ca="1">'Monthly Collection-2025'!CC76</f>
        <v>0</v>
      </c>
      <c r="BF76" t="str">
        <f t="shared" ca="1" si="76"/>
        <v/>
      </c>
      <c r="BG76">
        <f t="shared" ca="1" si="77"/>
        <v>0</v>
      </c>
      <c r="BH76" t="str">
        <f t="shared" ca="1" si="78"/>
        <v>R</v>
      </c>
      <c r="BI76">
        <f t="shared" ca="1" si="79"/>
        <v>0</v>
      </c>
      <c r="BJ76" t="str">
        <f t="shared" ca="1" si="80"/>
        <v/>
      </c>
      <c r="BK76">
        <f t="shared" ca="1" si="81"/>
        <v>0</v>
      </c>
      <c r="BL76" t="str">
        <f t="shared" ca="1" si="82"/>
        <v/>
      </c>
      <c r="BM76">
        <f t="shared" ca="1" si="83"/>
        <v>0</v>
      </c>
      <c r="BN76" t="str">
        <f t="shared" ca="1" si="84"/>
        <v/>
      </c>
      <c r="BO76">
        <f t="shared" ca="1" si="85"/>
        <v>1000</v>
      </c>
      <c r="BP76" t="str">
        <f t="shared" ca="1" si="86"/>
        <v>G</v>
      </c>
      <c r="BQ76">
        <f t="shared" ca="1" si="87"/>
        <v>0</v>
      </c>
      <c r="BR76" t="str">
        <f t="shared" ca="1" si="88"/>
        <v/>
      </c>
      <c r="BS76">
        <f t="shared" ca="1" si="89"/>
        <v>1000</v>
      </c>
      <c r="BT76" t="str">
        <f t="shared" ca="1" si="90"/>
        <v>G</v>
      </c>
      <c r="BU76">
        <f t="shared" ca="1" si="91"/>
        <v>0</v>
      </c>
      <c r="BV76" t="str">
        <f t="shared" ca="1" si="92"/>
        <v/>
      </c>
      <c r="BW76">
        <f t="shared" ca="1" si="93"/>
        <v>1000</v>
      </c>
      <c r="BX76" t="str">
        <f t="shared" ca="1" si="94"/>
        <v>G</v>
      </c>
      <c r="BY76">
        <f t="shared" ca="1" si="95"/>
        <v>0</v>
      </c>
      <c r="BZ76" t="str">
        <f t="shared" ca="1" si="96"/>
        <v/>
      </c>
      <c r="CA76">
        <f t="shared" ca="1" si="97"/>
        <v>0</v>
      </c>
      <c r="CB76" t="str">
        <f t="shared" ca="1" si="98"/>
        <v/>
      </c>
      <c r="CC76">
        <f t="shared" ca="1" si="99"/>
        <v>0</v>
      </c>
    </row>
    <row r="77" spans="2:81" ht="14.25" customHeight="1" x14ac:dyDescent="0.3">
      <c r="B77" s="51">
        <f t="shared" si="72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242"/>
      <c r="G77" s="52"/>
      <c r="H77" s="52"/>
      <c r="I77" s="52"/>
      <c r="J77" s="242"/>
      <c r="K77" s="52"/>
      <c r="L77" s="52"/>
      <c r="M77" s="52"/>
      <c r="N77" s="242"/>
      <c r="O77" s="52"/>
      <c r="P77" s="52"/>
      <c r="Q77" s="52"/>
      <c r="R77" s="52">
        <f t="shared" si="71"/>
        <v>1000</v>
      </c>
      <c r="S77" s="52">
        <v>5000</v>
      </c>
      <c r="T77" s="52"/>
      <c r="U77" s="52"/>
      <c r="V77" s="242"/>
      <c r="W77" s="52"/>
      <c r="X77" s="52"/>
      <c r="Y77" s="52"/>
      <c r="Z77" s="247"/>
      <c r="AA77" s="52"/>
      <c r="AB77" s="52"/>
      <c r="AC77" s="52"/>
      <c r="AD77" s="247"/>
      <c r="AE77" s="52"/>
      <c r="AF77" s="52"/>
      <c r="AG77" s="52"/>
      <c r="AH77" s="247"/>
      <c r="AI77" s="52"/>
      <c r="AJ77" s="52"/>
      <c r="AK77" s="52"/>
      <c r="AL77" s="242"/>
      <c r="AM77" s="52"/>
      <c r="AN77" s="52"/>
      <c r="AO77" s="52"/>
      <c r="AP77" s="248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>
        <f t="shared" si="74"/>
        <v>6000</v>
      </c>
      <c r="BC77" s="52">
        <f t="shared" si="75"/>
        <v>0</v>
      </c>
      <c r="BE77">
        <f ca="1">'Monthly Collection-2025'!CC77</f>
        <v>3000</v>
      </c>
      <c r="BF77" t="str">
        <f t="shared" ca="1" si="76"/>
        <v>G</v>
      </c>
      <c r="BG77">
        <f t="shared" ca="1" si="77"/>
        <v>2000</v>
      </c>
      <c r="BH77" t="str">
        <f t="shared" ca="1" si="78"/>
        <v>G</v>
      </c>
      <c r="BI77">
        <f t="shared" ca="1" si="79"/>
        <v>1000</v>
      </c>
      <c r="BJ77" t="str">
        <f t="shared" ca="1" si="80"/>
        <v>G</v>
      </c>
      <c r="BK77">
        <f t="shared" ca="1" si="81"/>
        <v>0</v>
      </c>
      <c r="BL77" t="str">
        <f t="shared" ca="1" si="82"/>
        <v/>
      </c>
      <c r="BM77">
        <f t="shared" ca="1" si="83"/>
        <v>5000</v>
      </c>
      <c r="BN77" t="str">
        <f t="shared" ca="1" si="84"/>
        <v>G</v>
      </c>
      <c r="BO77">
        <f t="shared" ca="1" si="85"/>
        <v>4000</v>
      </c>
      <c r="BP77" t="str">
        <f t="shared" ca="1" si="86"/>
        <v>G</v>
      </c>
      <c r="BQ77">
        <f t="shared" ca="1" si="87"/>
        <v>3000</v>
      </c>
      <c r="BR77" t="str">
        <f t="shared" ca="1" si="88"/>
        <v>G</v>
      </c>
      <c r="BS77">
        <f t="shared" ca="1" si="89"/>
        <v>2000</v>
      </c>
      <c r="BT77" t="str">
        <f t="shared" ca="1" si="90"/>
        <v>G</v>
      </c>
      <c r="BU77">
        <f t="shared" ca="1" si="91"/>
        <v>1000</v>
      </c>
      <c r="BV77" t="str">
        <f t="shared" ca="1" si="92"/>
        <v>G</v>
      </c>
      <c r="BW77">
        <f t="shared" ca="1" si="93"/>
        <v>0</v>
      </c>
      <c r="BX77" t="str">
        <f t="shared" ca="1" si="94"/>
        <v>R</v>
      </c>
      <c r="BY77">
        <f t="shared" ca="1" si="95"/>
        <v>0</v>
      </c>
      <c r="BZ77" t="str">
        <f t="shared" ca="1" si="96"/>
        <v/>
      </c>
      <c r="CA77">
        <f t="shared" ca="1" si="97"/>
        <v>0</v>
      </c>
      <c r="CB77" t="str">
        <f t="shared" ca="1" si="98"/>
        <v/>
      </c>
      <c r="CC77">
        <f t="shared" ca="1" si="99"/>
        <v>0</v>
      </c>
    </row>
    <row r="78" spans="2:81" ht="14.25" customHeight="1" x14ac:dyDescent="0.3">
      <c r="B78" s="55">
        <f t="shared" si="72"/>
        <v>75</v>
      </c>
      <c r="C78" s="56" t="s">
        <v>146</v>
      </c>
      <c r="D78" s="12">
        <f>'Member Wise Deposit Summary'!D78</f>
        <v>1608600387</v>
      </c>
      <c r="E78" s="56">
        <v>1</v>
      </c>
      <c r="F78" s="56">
        <f>$E78*1000</f>
        <v>1000</v>
      </c>
      <c r="G78" s="56">
        <v>2000</v>
      </c>
      <c r="H78" s="56"/>
      <c r="I78" s="56"/>
      <c r="J78" s="244"/>
      <c r="K78" s="56"/>
      <c r="L78" s="56"/>
      <c r="M78" s="56"/>
      <c r="N78" s="244"/>
      <c r="O78" s="56">
        <v>1000</v>
      </c>
      <c r="P78" s="56"/>
      <c r="Q78" s="56"/>
      <c r="R78" s="244"/>
      <c r="S78" s="56">
        <v>1000</v>
      </c>
      <c r="T78" s="56"/>
      <c r="U78" s="56"/>
      <c r="V78" s="244"/>
      <c r="W78" s="56"/>
      <c r="X78" s="56"/>
      <c r="Y78" s="56"/>
      <c r="Z78" s="57">
        <f t="shared" si="101"/>
        <v>1000</v>
      </c>
      <c r="AA78" s="56">
        <v>4000</v>
      </c>
      <c r="AB78" s="56"/>
      <c r="AC78" s="56"/>
      <c r="AD78" s="254"/>
      <c r="AE78" s="56"/>
      <c r="AF78" s="56"/>
      <c r="AG78" s="56"/>
      <c r="AH78" s="252"/>
      <c r="AI78" s="56"/>
      <c r="AJ78" s="56"/>
      <c r="AK78" s="56"/>
      <c r="AL78" s="244"/>
      <c r="AM78" s="56"/>
      <c r="AN78" s="56"/>
      <c r="AO78" s="56"/>
      <c r="AP78" s="253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>
        <f t="shared" si="74"/>
        <v>10000</v>
      </c>
      <c r="BC78" s="56">
        <f t="shared" si="75"/>
        <v>0</v>
      </c>
      <c r="BE78">
        <f ca="1">'Monthly Collection-2025'!CC78</f>
        <v>0</v>
      </c>
      <c r="BF78" t="str">
        <f t="shared" ca="1" si="76"/>
        <v/>
      </c>
      <c r="BG78">
        <f t="shared" ca="1" si="77"/>
        <v>2000</v>
      </c>
      <c r="BH78" t="str">
        <f t="shared" ca="1" si="78"/>
        <v>G</v>
      </c>
      <c r="BI78">
        <f t="shared" ca="1" si="79"/>
        <v>1000</v>
      </c>
      <c r="BJ78" t="str">
        <f t="shared" ca="1" si="80"/>
        <v>G</v>
      </c>
      <c r="BK78">
        <f t="shared" ca="1" si="81"/>
        <v>1000</v>
      </c>
      <c r="BL78" t="str">
        <f t="shared" ca="1" si="82"/>
        <v>G</v>
      </c>
      <c r="BM78">
        <f t="shared" ca="1" si="83"/>
        <v>1000</v>
      </c>
      <c r="BN78" t="str">
        <f t="shared" ca="1" si="84"/>
        <v>G</v>
      </c>
      <c r="BO78">
        <f t="shared" ca="1" si="85"/>
        <v>0</v>
      </c>
      <c r="BP78" t="str">
        <f t="shared" ca="1" si="86"/>
        <v/>
      </c>
      <c r="BQ78">
        <f t="shared" ca="1" si="87"/>
        <v>4000</v>
      </c>
      <c r="BR78" t="str">
        <f t="shared" ca="1" si="88"/>
        <v>G</v>
      </c>
      <c r="BS78">
        <f t="shared" ca="1" si="89"/>
        <v>3000</v>
      </c>
      <c r="BT78" t="str">
        <f t="shared" ca="1" si="90"/>
        <v>G</v>
      </c>
      <c r="BU78">
        <f t="shared" ca="1" si="91"/>
        <v>2000</v>
      </c>
      <c r="BV78" t="str">
        <f t="shared" ca="1" si="92"/>
        <v>G</v>
      </c>
      <c r="BW78">
        <f t="shared" ca="1" si="93"/>
        <v>1000</v>
      </c>
      <c r="BX78" t="str">
        <f t="shared" ca="1" si="94"/>
        <v>G</v>
      </c>
      <c r="BY78">
        <f t="shared" ca="1" si="95"/>
        <v>0</v>
      </c>
      <c r="BZ78" t="str">
        <f t="shared" ca="1" si="96"/>
        <v/>
      </c>
      <c r="CA78">
        <f t="shared" ca="1" si="97"/>
        <v>0</v>
      </c>
      <c r="CB78" t="str">
        <f t="shared" ca="1" si="98"/>
        <v/>
      </c>
      <c r="CC78">
        <f t="shared" ca="1" si="99"/>
        <v>0</v>
      </c>
    </row>
    <row r="79" spans="2:81" ht="14.25" customHeight="1" x14ac:dyDescent="0.3">
      <c r="B79" s="51">
        <f t="shared" si="72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52">
        <f>$E79*1000</f>
        <v>1000</v>
      </c>
      <c r="G79" s="52"/>
      <c r="H79" s="52"/>
      <c r="I79" s="52"/>
      <c r="J79" s="52">
        <f>$E79*1000</f>
        <v>1000</v>
      </c>
      <c r="K79" s="52">
        <v>2000</v>
      </c>
      <c r="L79" s="52"/>
      <c r="M79" s="52"/>
      <c r="N79" s="242"/>
      <c r="O79" s="52"/>
      <c r="P79" s="52"/>
      <c r="Q79" s="52"/>
      <c r="R79" s="242"/>
      <c r="S79" s="52"/>
      <c r="T79" s="52"/>
      <c r="U79" s="52"/>
      <c r="V79" s="53">
        <f t="shared" si="100"/>
        <v>1000</v>
      </c>
      <c r="W79" s="52"/>
      <c r="X79" s="52"/>
      <c r="Y79" s="52"/>
      <c r="Z79" s="53">
        <f t="shared" si="101"/>
        <v>1000</v>
      </c>
      <c r="AA79" s="52"/>
      <c r="AB79" s="52"/>
      <c r="AC79" s="52"/>
      <c r="AD79" s="53">
        <f t="shared" si="102"/>
        <v>1000</v>
      </c>
      <c r="AE79" s="52"/>
      <c r="AF79" s="52"/>
      <c r="AG79" s="52"/>
      <c r="AH79" s="53">
        <f t="shared" si="103"/>
        <v>1000</v>
      </c>
      <c r="AI79" s="52"/>
      <c r="AJ79" s="52"/>
      <c r="AK79" s="52"/>
      <c r="AL79" s="49">
        <f t="shared" ref="AL79:AL80" si="105">E79*1000</f>
        <v>1000</v>
      </c>
      <c r="AM79" s="52"/>
      <c r="AN79" s="52"/>
      <c r="AO79" s="52"/>
      <c r="AP79" s="53">
        <v>1000</v>
      </c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>
        <f t="shared" si="74"/>
        <v>10000</v>
      </c>
      <c r="BC79" s="52">
        <f t="shared" si="75"/>
        <v>0</v>
      </c>
      <c r="BE79">
        <f ca="1">'Monthly Collection-2025'!CC79</f>
        <v>0</v>
      </c>
      <c r="BF79" t="str">
        <f t="shared" ca="1" si="76"/>
        <v/>
      </c>
      <c r="BG79">
        <f t="shared" ca="1" si="77"/>
        <v>0</v>
      </c>
      <c r="BH79" t="str">
        <f t="shared" ca="1" si="78"/>
        <v/>
      </c>
      <c r="BI79">
        <f t="shared" ca="1" si="79"/>
        <v>2000</v>
      </c>
      <c r="BJ79" t="str">
        <f t="shared" ca="1" si="80"/>
        <v>G</v>
      </c>
      <c r="BK79">
        <f t="shared" ca="1" si="81"/>
        <v>1000</v>
      </c>
      <c r="BL79" t="str">
        <f t="shared" ca="1" si="82"/>
        <v>G</v>
      </c>
      <c r="BM79">
        <f t="shared" ca="1" si="83"/>
        <v>0</v>
      </c>
      <c r="BN79" t="str">
        <f t="shared" ca="1" si="84"/>
        <v/>
      </c>
      <c r="BO79">
        <f t="shared" ca="1" si="85"/>
        <v>0</v>
      </c>
      <c r="BP79" t="str">
        <f t="shared" ca="1" si="86"/>
        <v/>
      </c>
      <c r="BQ79">
        <f t="shared" ca="1" si="87"/>
        <v>0</v>
      </c>
      <c r="BR79" t="str">
        <f t="shared" ca="1" si="88"/>
        <v/>
      </c>
      <c r="BS79">
        <f t="shared" ca="1" si="89"/>
        <v>0</v>
      </c>
      <c r="BT79" t="str">
        <f t="shared" ca="1" si="90"/>
        <v/>
      </c>
      <c r="BU79">
        <f t="shared" ca="1" si="91"/>
        <v>0</v>
      </c>
      <c r="BV79" t="str">
        <f t="shared" ca="1" si="92"/>
        <v/>
      </c>
      <c r="BW79">
        <f t="shared" ca="1" si="93"/>
        <v>0</v>
      </c>
      <c r="BX79" t="str">
        <f t="shared" ca="1" si="94"/>
        <v/>
      </c>
      <c r="BY79">
        <f t="shared" ca="1" si="95"/>
        <v>0</v>
      </c>
      <c r="BZ79" t="str">
        <f t="shared" ca="1" si="96"/>
        <v/>
      </c>
      <c r="CA79">
        <f t="shared" ca="1" si="97"/>
        <v>0</v>
      </c>
      <c r="CB79" t="str">
        <f t="shared" ca="1" si="98"/>
        <v/>
      </c>
      <c r="CC79">
        <f t="shared" ca="1" si="99"/>
        <v>0</v>
      </c>
    </row>
    <row r="80" spans="2:81" ht="15" customHeight="1" x14ac:dyDescent="0.3">
      <c r="B80" s="64">
        <f t="shared" si="72"/>
        <v>77</v>
      </c>
      <c r="C80" s="65" t="s">
        <v>148</v>
      </c>
      <c r="D80" s="12">
        <f>'Member Wise Deposit Summary'!D80</f>
        <v>1812676040</v>
      </c>
      <c r="E80" s="65">
        <v>1</v>
      </c>
      <c r="F80" s="60">
        <f>$E80*1000</f>
        <v>1000</v>
      </c>
      <c r="G80" s="65">
        <v>2000</v>
      </c>
      <c r="H80" s="65"/>
      <c r="I80" s="65"/>
      <c r="J80" s="244"/>
      <c r="K80" s="65"/>
      <c r="L80" s="65"/>
      <c r="M80" s="65"/>
      <c r="N80" s="244"/>
      <c r="O80" s="65">
        <v>2000</v>
      </c>
      <c r="P80" s="65"/>
      <c r="Q80" s="65"/>
      <c r="R80" s="244"/>
      <c r="S80" s="65"/>
      <c r="T80" s="65"/>
      <c r="U80" s="65"/>
      <c r="V80" s="244"/>
      <c r="W80" s="65"/>
      <c r="X80" s="65"/>
      <c r="Y80" s="65"/>
      <c r="Z80" s="65">
        <f t="shared" si="101"/>
        <v>1000</v>
      </c>
      <c r="AA80" s="65"/>
      <c r="AB80" s="65"/>
      <c r="AC80" s="65"/>
      <c r="AD80" s="65">
        <f t="shared" si="102"/>
        <v>1000</v>
      </c>
      <c r="AE80" s="65"/>
      <c r="AF80" s="65"/>
      <c r="AG80" s="65"/>
      <c r="AH80" s="65">
        <f t="shared" si="103"/>
        <v>1000</v>
      </c>
      <c r="AI80" s="65"/>
      <c r="AJ80" s="65"/>
      <c r="AK80" s="65"/>
      <c r="AL80" s="49">
        <f t="shared" si="105"/>
        <v>1000</v>
      </c>
      <c r="AM80" s="65"/>
      <c r="AN80" s="65"/>
      <c r="AO80" s="65"/>
      <c r="AP80" s="65">
        <v>1000</v>
      </c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>
        <f t="shared" si="74"/>
        <v>10000</v>
      </c>
      <c r="BC80" s="65">
        <f t="shared" si="75"/>
        <v>0</v>
      </c>
      <c r="BE80">
        <f ca="1">'Monthly Collection-2025'!CC80</f>
        <v>0</v>
      </c>
      <c r="BF80" t="str">
        <f t="shared" ca="1" si="76"/>
        <v/>
      </c>
      <c r="BG80">
        <f t="shared" ca="1" si="77"/>
        <v>2000</v>
      </c>
      <c r="BH80" t="str">
        <f t="shared" ca="1" si="78"/>
        <v>G</v>
      </c>
      <c r="BI80">
        <f t="shared" ca="1" si="79"/>
        <v>1000</v>
      </c>
      <c r="BJ80" t="str">
        <f t="shared" ca="1" si="80"/>
        <v>G</v>
      </c>
      <c r="BK80">
        <f t="shared" ca="1" si="81"/>
        <v>2000</v>
      </c>
      <c r="BL80" t="str">
        <f t="shared" ca="1" si="82"/>
        <v>G</v>
      </c>
      <c r="BM80">
        <f t="shared" ca="1" si="83"/>
        <v>1000</v>
      </c>
      <c r="BN80" t="str">
        <f t="shared" ca="1" si="84"/>
        <v>G</v>
      </c>
      <c r="BO80">
        <f t="shared" ca="1" si="85"/>
        <v>0</v>
      </c>
      <c r="BP80" t="str">
        <f t="shared" ca="1" si="86"/>
        <v/>
      </c>
      <c r="BQ80">
        <f t="shared" ca="1" si="87"/>
        <v>0</v>
      </c>
      <c r="BR80" t="str">
        <f t="shared" ca="1" si="88"/>
        <v/>
      </c>
      <c r="BS80">
        <f t="shared" ca="1" si="89"/>
        <v>0</v>
      </c>
      <c r="BT80" t="str">
        <f t="shared" ca="1" si="90"/>
        <v/>
      </c>
      <c r="BU80">
        <f t="shared" ca="1" si="91"/>
        <v>0</v>
      </c>
      <c r="BV80" t="str">
        <f t="shared" ca="1" si="92"/>
        <v/>
      </c>
      <c r="BW80">
        <f t="shared" ca="1" si="93"/>
        <v>0</v>
      </c>
      <c r="BX80" t="str">
        <f t="shared" ca="1" si="94"/>
        <v/>
      </c>
      <c r="BY80">
        <f t="shared" ca="1" si="95"/>
        <v>0</v>
      </c>
      <c r="BZ80" t="str">
        <f t="shared" ca="1" si="96"/>
        <v/>
      </c>
      <c r="CA80">
        <f t="shared" ca="1" si="97"/>
        <v>0</v>
      </c>
      <c r="CB80" t="str">
        <f t="shared" ca="1" si="98"/>
        <v/>
      </c>
      <c r="CC80">
        <f t="shared" ca="1" si="99"/>
        <v>0</v>
      </c>
    </row>
    <row r="81" spans="2:55" ht="15" customHeight="1" x14ac:dyDescent="0.3">
      <c r="B81" s="303" t="s">
        <v>68</v>
      </c>
      <c r="C81" s="303"/>
      <c r="D81" s="303"/>
      <c r="E81" s="303"/>
      <c r="F81" s="63">
        <f t="shared" ref="F81:AK81" si="106">_xlfn.AGGREGATE(9,6,F4:F80)</f>
        <v>114000</v>
      </c>
      <c r="G81" s="63">
        <f t="shared" si="106"/>
        <v>8000</v>
      </c>
      <c r="H81" s="63">
        <f t="shared" si="106"/>
        <v>3000</v>
      </c>
      <c r="I81" s="63">
        <f t="shared" si="106"/>
        <v>150</v>
      </c>
      <c r="J81" s="63">
        <f t="shared" si="106"/>
        <v>105000</v>
      </c>
      <c r="K81" s="63">
        <f t="shared" si="106"/>
        <v>4000</v>
      </c>
      <c r="L81" s="63">
        <f t="shared" si="106"/>
        <v>10000</v>
      </c>
      <c r="M81" s="63">
        <f t="shared" si="106"/>
        <v>500</v>
      </c>
      <c r="N81" s="63">
        <f t="shared" si="106"/>
        <v>106000</v>
      </c>
      <c r="O81" s="63">
        <f t="shared" si="106"/>
        <v>12000</v>
      </c>
      <c r="P81" s="63">
        <f t="shared" si="106"/>
        <v>8000</v>
      </c>
      <c r="Q81" s="63">
        <f t="shared" si="106"/>
        <v>400</v>
      </c>
      <c r="R81" s="63">
        <f t="shared" si="106"/>
        <v>107000</v>
      </c>
      <c r="S81" s="63">
        <f t="shared" si="106"/>
        <v>13000</v>
      </c>
      <c r="T81" s="63">
        <f t="shared" si="106"/>
        <v>20000</v>
      </c>
      <c r="U81" s="63">
        <f t="shared" si="106"/>
        <v>1000</v>
      </c>
      <c r="V81" s="63">
        <f t="shared" si="106"/>
        <v>101000</v>
      </c>
      <c r="W81" s="63">
        <f t="shared" si="106"/>
        <v>1000</v>
      </c>
      <c r="X81" s="63">
        <f t="shared" si="106"/>
        <v>5000</v>
      </c>
      <c r="Y81" s="63">
        <f t="shared" si="106"/>
        <v>300</v>
      </c>
      <c r="Z81" s="63">
        <f t="shared" si="106"/>
        <v>107000</v>
      </c>
      <c r="AA81" s="63">
        <f t="shared" si="106"/>
        <v>5000</v>
      </c>
      <c r="AB81" s="63">
        <f t="shared" si="106"/>
        <v>13000</v>
      </c>
      <c r="AC81" s="63">
        <f t="shared" si="106"/>
        <v>650</v>
      </c>
      <c r="AD81" s="63">
        <f t="shared" si="106"/>
        <v>107000</v>
      </c>
      <c r="AE81" s="63">
        <f t="shared" si="106"/>
        <v>2000</v>
      </c>
      <c r="AF81" s="63">
        <f t="shared" si="106"/>
        <v>7000</v>
      </c>
      <c r="AG81" s="63">
        <f t="shared" si="106"/>
        <v>350</v>
      </c>
      <c r="AH81" s="63">
        <f t="shared" si="106"/>
        <v>109000</v>
      </c>
      <c r="AI81" s="63">
        <f t="shared" si="106"/>
        <v>2000</v>
      </c>
      <c r="AJ81" s="63">
        <f t="shared" si="106"/>
        <v>21000</v>
      </c>
      <c r="AK81" s="63">
        <f t="shared" si="106"/>
        <v>1050</v>
      </c>
      <c r="AL81" s="63">
        <f t="shared" ref="AL81:BB81" si="107">_xlfn.AGGREGATE(9,6,AL4:AL80)</f>
        <v>104000</v>
      </c>
      <c r="AM81" s="63">
        <f t="shared" si="107"/>
        <v>10000</v>
      </c>
      <c r="AN81" s="63">
        <f t="shared" si="107"/>
        <v>8000</v>
      </c>
      <c r="AO81" s="63">
        <f t="shared" si="107"/>
        <v>400</v>
      </c>
      <c r="AP81" s="63">
        <f t="shared" si="107"/>
        <v>92000</v>
      </c>
      <c r="AQ81" s="63">
        <f t="shared" si="107"/>
        <v>4000</v>
      </c>
      <c r="AR81" s="63">
        <f t="shared" si="107"/>
        <v>11000</v>
      </c>
      <c r="AS81" s="63">
        <f t="shared" si="107"/>
        <v>550</v>
      </c>
      <c r="AT81" s="63">
        <f t="shared" si="107"/>
        <v>0</v>
      </c>
      <c r="AU81" s="63">
        <f t="shared" si="107"/>
        <v>0</v>
      </c>
      <c r="AV81" s="63">
        <f t="shared" si="107"/>
        <v>0</v>
      </c>
      <c r="AW81" s="63">
        <f t="shared" si="107"/>
        <v>0</v>
      </c>
      <c r="AX81" s="63">
        <f t="shared" si="107"/>
        <v>0</v>
      </c>
      <c r="AY81" s="63">
        <f t="shared" si="107"/>
        <v>0</v>
      </c>
      <c r="AZ81" s="63">
        <f t="shared" si="107"/>
        <v>0</v>
      </c>
      <c r="BA81" s="63">
        <f t="shared" si="107"/>
        <v>0</v>
      </c>
      <c r="BB81" s="304">
        <f t="shared" si="107"/>
        <v>1219000</v>
      </c>
      <c r="BC81" s="305">
        <f>SUM(BC4:BC80)</f>
        <v>5350</v>
      </c>
    </row>
    <row r="82" spans="2:55" ht="15" customHeight="1" x14ac:dyDescent="0.3">
      <c r="B82" s="303"/>
      <c r="C82" s="303"/>
      <c r="D82" s="303"/>
      <c r="E82" s="303"/>
      <c r="F82" s="306">
        <f>F81+G81+H81+I81</f>
        <v>125150</v>
      </c>
      <c r="G82" s="306"/>
      <c r="H82" s="306"/>
      <c r="I82" s="306"/>
      <c r="J82" s="306">
        <f>J81+K81+L81+M81</f>
        <v>119500</v>
      </c>
      <c r="K82" s="306"/>
      <c r="L82" s="306"/>
      <c r="M82" s="306"/>
      <c r="N82" s="306">
        <f>N81+O81+P81+Q81</f>
        <v>126400</v>
      </c>
      <c r="O82" s="306"/>
      <c r="P82" s="306"/>
      <c r="Q82" s="306"/>
      <c r="R82" s="306">
        <f>R81+S81+T81+U81</f>
        <v>141000</v>
      </c>
      <c r="S82" s="306"/>
      <c r="T82" s="306"/>
      <c r="U82" s="306"/>
      <c r="V82" s="306">
        <f>V81+W81+X81+Y81</f>
        <v>107300</v>
      </c>
      <c r="W82" s="306"/>
      <c r="X82" s="306"/>
      <c r="Y82" s="306"/>
      <c r="Z82" s="306">
        <f>Z81+AA81+AB81+AC81</f>
        <v>125650</v>
      </c>
      <c r="AA82" s="306"/>
      <c r="AB82" s="306"/>
      <c r="AC82" s="306"/>
      <c r="AD82" s="306">
        <f>AD81+AE81+AF81+AG81</f>
        <v>116350</v>
      </c>
      <c r="AE82" s="306"/>
      <c r="AF82" s="306"/>
      <c r="AG82" s="306"/>
      <c r="AH82" s="306">
        <f>AH81+AI81+AJ81+AK81</f>
        <v>133050</v>
      </c>
      <c r="AI82" s="306"/>
      <c r="AJ82" s="306"/>
      <c r="AK82" s="306"/>
      <c r="AL82" s="306">
        <f>AL81+AM81+AN81+AO81</f>
        <v>122400</v>
      </c>
      <c r="AM82" s="306"/>
      <c r="AN82" s="306"/>
      <c r="AO82" s="306"/>
      <c r="AP82" s="306">
        <f>AP81+AQ81+AR81+AS81</f>
        <v>107550</v>
      </c>
      <c r="AQ82" s="306"/>
      <c r="AR82" s="306"/>
      <c r="AS82" s="306"/>
      <c r="AT82" s="306">
        <f>AT81+AU81+AV81+AW81</f>
        <v>0</v>
      </c>
      <c r="AU82" s="306"/>
      <c r="AV82" s="306"/>
      <c r="AW82" s="306"/>
      <c r="AX82" s="306">
        <f>AX81+AY81+AZ81+BA81</f>
        <v>0</v>
      </c>
      <c r="AY82" s="306"/>
      <c r="AZ82" s="306"/>
      <c r="BA82" s="306"/>
      <c r="BB82" s="304"/>
      <c r="BC82" s="305"/>
    </row>
  </sheetData>
  <autoFilter ref="B3:BC82"/>
  <mergeCells count="33">
    <mergeCell ref="B2:B3"/>
    <mergeCell ref="C2:C3"/>
    <mergeCell ref="D2:D3"/>
    <mergeCell ref="E2:E3"/>
    <mergeCell ref="F2:I2"/>
    <mergeCell ref="J2:M2"/>
    <mergeCell ref="N2:Q2"/>
    <mergeCell ref="R2:U2"/>
    <mergeCell ref="V2:Y2"/>
    <mergeCell ref="Z2:AC2"/>
    <mergeCell ref="AX82:BA82"/>
    <mergeCell ref="AD2:AG2"/>
    <mergeCell ref="AH2:AK2"/>
    <mergeCell ref="AL2:AO2"/>
    <mergeCell ref="AP2:AS2"/>
    <mergeCell ref="AT2:AW2"/>
    <mergeCell ref="AX2:BA2"/>
    <mergeCell ref="BB2:BB3"/>
    <mergeCell ref="BC2:BC3"/>
    <mergeCell ref="B81:E82"/>
    <mergeCell ref="BB81:BB82"/>
    <mergeCell ref="BC81:BC82"/>
    <mergeCell ref="F82:I82"/>
    <mergeCell ref="J82:M82"/>
    <mergeCell ref="N82:Q82"/>
    <mergeCell ref="R82:U82"/>
    <mergeCell ref="V82:Y82"/>
    <mergeCell ref="Z82:AC82"/>
    <mergeCell ref="AD82:AG82"/>
    <mergeCell ref="AH82:AK82"/>
    <mergeCell ref="AL82:AO82"/>
    <mergeCell ref="AP82:AS82"/>
    <mergeCell ref="AT82:AW82"/>
  </mergeCells>
  <conditionalFormatting sqref="F4:F80">
    <cfRule type="expression" dxfId="188" priority="100">
      <formula>$BF4="R"</formula>
    </cfRule>
    <cfRule type="expression" dxfId="187" priority="101">
      <formula>$BF4="G"</formula>
    </cfRule>
  </conditionalFormatting>
  <conditionalFormatting sqref="J4:J80">
    <cfRule type="expression" dxfId="186" priority="102">
      <formula>$BH4="R"</formula>
    </cfRule>
    <cfRule type="expression" dxfId="185" priority="103">
      <formula>$BH4="G"</formula>
    </cfRule>
  </conditionalFormatting>
  <conditionalFormatting sqref="N4:N80">
    <cfRule type="expression" dxfId="184" priority="104">
      <formula>$BJ4="R"</formula>
    </cfRule>
    <cfRule type="expression" dxfId="183" priority="105">
      <formula>$BJ4="G"</formula>
    </cfRule>
  </conditionalFormatting>
  <conditionalFormatting sqref="R4:R80">
    <cfRule type="expression" dxfId="182" priority="106">
      <formula>$BL4="R"</formula>
    </cfRule>
    <cfRule type="expression" dxfId="181" priority="107">
      <formula>$BL4="G"</formula>
    </cfRule>
  </conditionalFormatting>
  <conditionalFormatting sqref="V4:V80">
    <cfRule type="expression" dxfId="180" priority="108">
      <formula>$BN4="R"</formula>
    </cfRule>
    <cfRule type="expression" dxfId="179" priority="109">
      <formula>$BN4="G"</formula>
    </cfRule>
  </conditionalFormatting>
  <conditionalFormatting sqref="Z4:Z80">
    <cfRule type="expression" dxfId="178" priority="110">
      <formula>$BP4="R"</formula>
    </cfRule>
    <cfRule type="expression" dxfId="177" priority="111">
      <formula>$BP4="G"</formula>
    </cfRule>
  </conditionalFormatting>
  <conditionalFormatting sqref="AD4:AD80">
    <cfRule type="expression" dxfId="176" priority="112">
      <formula>$BR4="R"</formula>
    </cfRule>
    <cfRule type="expression" dxfId="175" priority="113">
      <formula>$BR4="G"</formula>
    </cfRule>
  </conditionalFormatting>
  <conditionalFormatting sqref="AH4:AH80">
    <cfRule type="expression" dxfId="174" priority="114">
      <formula>$BT4="R"</formula>
    </cfRule>
    <cfRule type="expression" dxfId="173" priority="115">
      <formula>$BT4="G"</formula>
    </cfRule>
  </conditionalFormatting>
  <conditionalFormatting sqref="AL4:AL80">
    <cfRule type="expression" dxfId="172" priority="116">
      <formula>$BV4="R"</formula>
    </cfRule>
    <cfRule type="expression" dxfId="171" priority="117">
      <formula>$BV4="G"</formula>
    </cfRule>
  </conditionalFormatting>
  <conditionalFormatting sqref="AP4:AP80">
    <cfRule type="expression" dxfId="170" priority="118">
      <formula>$BX4="R"</formula>
    </cfRule>
    <cfRule type="expression" dxfId="169" priority="119">
      <formula>$BX4="G"</formula>
    </cfRule>
  </conditionalFormatting>
  <conditionalFormatting sqref="AT4:AT80">
    <cfRule type="expression" dxfId="168" priority="120">
      <formula>$BZ4="R"</formula>
    </cfRule>
    <cfRule type="expression" dxfId="167" priority="121">
      <formula>$BZ4="G"</formula>
    </cfRule>
  </conditionalFormatting>
  <conditionalFormatting sqref="AX4:AX80">
    <cfRule type="expression" dxfId="166" priority="122">
      <formula>$CB4="R"</formula>
    </cfRule>
    <cfRule type="expression" dxfId="165" priority="123">
      <formula>$CB4="G"</formula>
    </cfRule>
  </conditionalFormatting>
  <pageMargins left="0.75" right="0.75" top="1" bottom="1" header="0.511811023622047" footer="0.511811023622047"/>
  <pageSetup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CD81"/>
  <sheetViews>
    <sheetView showGridLines="0" zoomScaleNormal="100" workbookViewId="0">
      <selection activeCell="D4" sqref="D4:D80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15.1093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10.77734375" style="3" customWidth="1"/>
    <col min="35" max="35" width="8.33203125" style="3" customWidth="1"/>
    <col min="36" max="36" width="10.109375" style="3" customWidth="1"/>
    <col min="37" max="37" width="8.77734375" style="3" customWidth="1"/>
    <col min="38" max="38" width="10.77734375" style="3" customWidth="1"/>
    <col min="39" max="39" width="8.33203125" style="3" customWidth="1"/>
    <col min="40" max="40" width="10.109375" style="3" customWidth="1"/>
    <col min="41" max="41" width="8.77734375" style="3" customWidth="1"/>
    <col min="42" max="42" width="10.77734375" style="3" customWidth="1"/>
    <col min="43" max="43" width="8.33203125" style="3" customWidth="1"/>
    <col min="44" max="44" width="10.109375" style="3" customWidth="1"/>
    <col min="45" max="45" width="8.77734375" style="3" customWidth="1"/>
    <col min="46" max="46" width="10.77734375" style="3" customWidth="1"/>
    <col min="47" max="47" width="8.33203125" style="3" customWidth="1"/>
    <col min="48" max="48" width="10.109375" style="3" customWidth="1"/>
    <col min="49" max="49" width="8.77734375" style="3" customWidth="1"/>
    <col min="50" max="50" width="10.77734375" style="3" customWidth="1"/>
    <col min="51" max="51" width="8.33203125" style="3" customWidth="1"/>
    <col min="52" max="52" width="10.109375" style="3" customWidth="1"/>
    <col min="53" max="53" width="8.77734375" style="3" customWidth="1"/>
    <col min="54" max="54" width="7.33203125" style="3" customWidth="1"/>
    <col min="55" max="55" width="5.21875" style="3" customWidth="1"/>
    <col min="56" max="56" width="8.88671875" style="3"/>
    <col min="57" max="81" width="9.44140625" style="3" hidden="1" customWidth="1" outlineLevel="1"/>
    <col min="82" max="82" width="8.88671875" style="3" collapsed="1"/>
    <col min="83" max="16384" width="8.88671875" style="3"/>
  </cols>
  <sheetData>
    <row r="1" spans="1:81" ht="19.5" customHeight="1" x14ac:dyDescent="0.3">
      <c r="A1" s="4" t="str">
        <f>HYPERLINK("#DASHBOARD!A1","⬅ Dashboard")</f>
        <v>⬅ Dashboard</v>
      </c>
      <c r="BE1" t="s">
        <v>355</v>
      </c>
    </row>
    <row r="2" spans="1:8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46388</v>
      </c>
      <c r="G2" s="296"/>
      <c r="H2" s="296"/>
      <c r="I2" s="296"/>
      <c r="J2" s="300">
        <f>EDATE($F2,1)</f>
        <v>46419</v>
      </c>
      <c r="K2" s="300"/>
      <c r="L2" s="300"/>
      <c r="M2" s="300"/>
      <c r="N2" s="296">
        <f>EDATE($F2,2)</f>
        <v>46447</v>
      </c>
      <c r="O2" s="296"/>
      <c r="P2" s="296"/>
      <c r="Q2" s="296"/>
      <c r="R2" s="300">
        <f>EDATE($F2,3)</f>
        <v>46478</v>
      </c>
      <c r="S2" s="300"/>
      <c r="T2" s="300"/>
      <c r="U2" s="300"/>
      <c r="V2" s="296">
        <f>EDATE($F2,4)</f>
        <v>46508</v>
      </c>
      <c r="W2" s="296"/>
      <c r="X2" s="296"/>
      <c r="Y2" s="296"/>
      <c r="Z2" s="300">
        <f>EDATE($F2,5)</f>
        <v>46539</v>
      </c>
      <c r="AA2" s="300"/>
      <c r="AB2" s="300"/>
      <c r="AC2" s="300"/>
      <c r="AD2" s="296">
        <f>EDATE($F2,6)</f>
        <v>46569</v>
      </c>
      <c r="AE2" s="296"/>
      <c r="AF2" s="296"/>
      <c r="AG2" s="296"/>
      <c r="AH2" s="300">
        <f>EDATE($F2,7)</f>
        <v>46600</v>
      </c>
      <c r="AI2" s="300"/>
      <c r="AJ2" s="300"/>
      <c r="AK2" s="300"/>
      <c r="AL2" s="296">
        <f>EDATE($F2,8)</f>
        <v>46631</v>
      </c>
      <c r="AM2" s="296"/>
      <c r="AN2" s="296"/>
      <c r="AO2" s="296"/>
      <c r="AP2" s="300">
        <f>EDATE($F2,9)</f>
        <v>46661</v>
      </c>
      <c r="AQ2" s="300"/>
      <c r="AR2" s="300"/>
      <c r="AS2" s="300"/>
      <c r="AT2" s="296">
        <f>EDATE($F2,10)</f>
        <v>46692</v>
      </c>
      <c r="AU2" s="296"/>
      <c r="AV2" s="296"/>
      <c r="AW2" s="296"/>
      <c r="AX2" s="300">
        <f>EDATE($F2,11)</f>
        <v>46722</v>
      </c>
      <c r="AY2" s="300"/>
      <c r="AZ2" s="300"/>
      <c r="BA2" s="300"/>
      <c r="BB2" s="297" t="s">
        <v>70</v>
      </c>
      <c r="BC2" s="298" t="s">
        <v>41</v>
      </c>
      <c r="BF2" s="236">
        <f>F$2</f>
        <v>46388</v>
      </c>
      <c r="BH2" s="236">
        <f>J$2</f>
        <v>46419</v>
      </c>
      <c r="BJ2" s="236">
        <f>N$2</f>
        <v>46447</v>
      </c>
      <c r="BL2" s="236">
        <f>R$2</f>
        <v>46478</v>
      </c>
      <c r="BN2" s="236">
        <f>V$2</f>
        <v>46508</v>
      </c>
      <c r="BP2" s="236">
        <f>Z$2</f>
        <v>46539</v>
      </c>
      <c r="BR2" s="236">
        <f>AD$2</f>
        <v>46569</v>
      </c>
      <c r="BT2" s="236">
        <f>AH$2</f>
        <v>46600</v>
      </c>
      <c r="BV2" s="236">
        <f>AL$2</f>
        <v>46631</v>
      </c>
      <c r="BX2" s="236">
        <f>AP$2</f>
        <v>46661</v>
      </c>
      <c r="BZ2" s="236">
        <f>AT$2</f>
        <v>46692</v>
      </c>
      <c r="CB2" s="236">
        <f>AX$2</f>
        <v>46722</v>
      </c>
    </row>
    <row r="3" spans="1:81" s="46" customFormat="1" ht="29.25" customHeight="1" x14ac:dyDescent="0.3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2" t="s">
        <v>44</v>
      </c>
      <c r="AI3" s="22" t="s">
        <v>19</v>
      </c>
      <c r="AJ3" s="22" t="s">
        <v>45</v>
      </c>
      <c r="AK3" s="22" t="s">
        <v>20</v>
      </c>
      <c r="AL3" s="22" t="s">
        <v>44</v>
      </c>
      <c r="AM3" s="22" t="s">
        <v>19</v>
      </c>
      <c r="AN3" s="22" t="s">
        <v>45</v>
      </c>
      <c r="AO3" s="22" t="s">
        <v>20</v>
      </c>
      <c r="AP3" s="22" t="s">
        <v>44</v>
      </c>
      <c r="AQ3" s="22" t="s">
        <v>19</v>
      </c>
      <c r="AR3" s="22" t="s">
        <v>45</v>
      </c>
      <c r="AS3" s="22" t="s">
        <v>20</v>
      </c>
      <c r="AT3" s="22" t="s">
        <v>44</v>
      </c>
      <c r="AU3" s="22" t="s">
        <v>19</v>
      </c>
      <c r="AV3" s="22" t="s">
        <v>45</v>
      </c>
      <c r="AW3" s="22" t="s">
        <v>20</v>
      </c>
      <c r="AX3" s="22" t="s">
        <v>44</v>
      </c>
      <c r="AY3" s="22" t="s">
        <v>19</v>
      </c>
      <c r="AZ3" s="22" t="s">
        <v>45</v>
      </c>
      <c r="BA3" s="22" t="s">
        <v>20</v>
      </c>
      <c r="BB3" s="297"/>
      <c r="BC3" s="298"/>
      <c r="BE3" s="22" t="s">
        <v>356</v>
      </c>
      <c r="BF3" s="22" t="s">
        <v>339</v>
      </c>
      <c r="BG3" s="22" t="s">
        <v>357</v>
      </c>
      <c r="BH3" s="22" t="s">
        <v>339</v>
      </c>
      <c r="BI3" s="22" t="s">
        <v>357</v>
      </c>
      <c r="BJ3" s="22" t="s">
        <v>339</v>
      </c>
      <c r="BK3" s="22" t="s">
        <v>357</v>
      </c>
      <c r="BL3" s="22" t="s">
        <v>339</v>
      </c>
      <c r="BM3" s="22" t="s">
        <v>357</v>
      </c>
      <c r="BN3" s="22" t="s">
        <v>339</v>
      </c>
      <c r="BO3" s="22" t="s">
        <v>357</v>
      </c>
      <c r="BP3" s="22" t="s">
        <v>339</v>
      </c>
      <c r="BQ3" s="22" t="s">
        <v>357</v>
      </c>
      <c r="BR3" s="22" t="s">
        <v>339</v>
      </c>
      <c r="BS3" s="22" t="s">
        <v>357</v>
      </c>
      <c r="BT3" s="22" t="s">
        <v>339</v>
      </c>
      <c r="BU3" s="22" t="s">
        <v>357</v>
      </c>
      <c r="BV3" s="22" t="s">
        <v>339</v>
      </c>
      <c r="BW3" s="22" t="s">
        <v>357</v>
      </c>
      <c r="BX3" s="22" t="s">
        <v>339</v>
      </c>
      <c r="BY3" s="22" t="s">
        <v>357</v>
      </c>
      <c r="BZ3" s="22" t="s">
        <v>339</v>
      </c>
      <c r="CA3" s="22" t="s">
        <v>357</v>
      </c>
      <c r="CB3" s="22" t="s">
        <v>339</v>
      </c>
      <c r="CC3" s="22" t="s">
        <v>357</v>
      </c>
    </row>
    <row r="4" spans="1:8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9"/>
      <c r="AY4" s="48"/>
      <c r="AZ4" s="48"/>
      <c r="BA4" s="48"/>
      <c r="BB4" s="48">
        <f t="shared" ref="BB4:BB35" si="1">F4+G4+H4+J4+K4+L4+N4+O4+P4+R4+S4+T4+V4+W4+X4+Z4+AA4+AB4+AD4+AE4+AF4+AH4+AI4+AJ4+AL4+AM4+AN4+AP4+AQ4+AR4+AT4+AU4+AV4+AX4+AY4+AZ4</f>
        <v>0</v>
      </c>
      <c r="BC4" s="48">
        <f t="shared" ref="BC4:BC35" si="2">I4+M4+Q4+U4+Y4+AC4+AG4+AK4+AO4+AS4+AW4+BA4</f>
        <v>0</v>
      </c>
      <c r="BE4">
        <f ca="1">'Monthly Collection-2026'!CC4</f>
        <v>0</v>
      </c>
      <c r="BF4" t="str">
        <f t="shared" ref="BF4:BF35" ca="1" si="3">IF(N(F4)&gt;=$E4*1000,"",IF(AND($E4&gt;0,BE4&gt;=$E4*1000),"G",IF(F$2&lt;=TODAY(),"R","")))</f>
        <v/>
      </c>
      <c r="BG4">
        <f t="shared" ref="BG4:BG35" ca="1" si="4">BE4-IF(BF4="G",$E4*1000,0)+N(G4)</f>
        <v>0</v>
      </c>
      <c r="BH4" t="str">
        <f t="shared" ref="BH4:BH35" ca="1" si="5">IF(N(J4)&gt;=$E4*1000,"",IF(AND($E4&gt;0,BG4&gt;=$E4*1000),"G",IF(J$2&lt;=TODAY(),"R","")))</f>
        <v/>
      </c>
      <c r="BI4">
        <f t="shared" ref="BI4:BI35" ca="1" si="6">BG4-IF(BH4="G",$E4*1000,0)+N(K4)</f>
        <v>0</v>
      </c>
      <c r="BJ4" t="str">
        <f t="shared" ref="BJ4:BJ35" ca="1" si="7">IF(N(N4)&gt;=$E4*1000,"",IF(AND($E4&gt;0,BI4&gt;=$E4*1000),"G",IF(N$2&lt;=TODAY(),"R","")))</f>
        <v/>
      </c>
      <c r="BK4">
        <f t="shared" ref="BK4:BK35" ca="1" si="8">BI4-IF(BJ4="G",$E4*1000,0)+N(O4)</f>
        <v>0</v>
      </c>
      <c r="BL4" t="str">
        <f t="shared" ref="BL4:BL35" ca="1" si="9">IF(N(R4)&gt;=$E4*1000,"",IF(AND($E4&gt;0,BK4&gt;=$E4*1000),"G",IF(R$2&lt;=TODAY(),"R","")))</f>
        <v/>
      </c>
      <c r="BM4">
        <f t="shared" ref="BM4:BM35" ca="1" si="10">BK4-IF(BL4="G",$E4*1000,0)+N(S4)</f>
        <v>0</v>
      </c>
      <c r="BN4" t="str">
        <f t="shared" ref="BN4:BN35" ca="1" si="11">IF(N(V4)&gt;=$E4*1000,"",IF(AND($E4&gt;0,BM4&gt;=$E4*1000),"G",IF(V$2&lt;=TODAY(),"R","")))</f>
        <v/>
      </c>
      <c r="BO4">
        <f t="shared" ref="BO4:BO35" ca="1" si="12">BM4-IF(BN4="G",$E4*1000,0)+N(W4)</f>
        <v>0</v>
      </c>
      <c r="BP4" t="str">
        <f t="shared" ref="BP4:BP35" ca="1" si="13">IF(N(Z4)&gt;=$E4*1000,"",IF(AND($E4&gt;0,BO4&gt;=$E4*1000),"G",IF(Z$2&lt;=TODAY(),"R","")))</f>
        <v/>
      </c>
      <c r="BQ4">
        <f t="shared" ref="BQ4:BQ35" ca="1" si="14">BO4-IF(BP4="G",$E4*1000,0)+N(AA4)</f>
        <v>0</v>
      </c>
      <c r="BR4" t="str">
        <f t="shared" ref="BR4:BR35" ca="1" si="15">IF(N(AD4)&gt;=$E4*1000,"",IF(AND($E4&gt;0,BQ4&gt;=$E4*1000),"G",IF(AD$2&lt;=TODAY(),"R","")))</f>
        <v/>
      </c>
      <c r="BS4">
        <f t="shared" ref="BS4:BS35" ca="1" si="16">BQ4-IF(BR4="G",$E4*1000,0)+N(AE4)</f>
        <v>0</v>
      </c>
      <c r="BT4" t="str">
        <f t="shared" ref="BT4:BT35" ca="1" si="17">IF(N(AH4)&gt;=$E4*1000,"",IF(AND($E4&gt;0,BS4&gt;=$E4*1000),"G",IF(AH$2&lt;=TODAY(),"R","")))</f>
        <v/>
      </c>
      <c r="BU4">
        <f t="shared" ref="BU4:BU35" ca="1" si="18">BS4-IF(BT4="G",$E4*1000,0)+N(AI4)</f>
        <v>0</v>
      </c>
      <c r="BV4" t="str">
        <f t="shared" ref="BV4:BV35" ca="1" si="19">IF(N(AL4)&gt;=$E4*1000,"",IF(AND($E4&gt;0,BU4&gt;=$E4*1000),"G",IF(AL$2&lt;=TODAY(),"R","")))</f>
        <v/>
      </c>
      <c r="BW4">
        <f t="shared" ref="BW4:BW35" ca="1" si="20">BU4-IF(BV4="G",$E4*1000,0)+N(AM4)</f>
        <v>0</v>
      </c>
      <c r="BX4" t="str">
        <f t="shared" ref="BX4:BX35" ca="1" si="21">IF(N(AP4)&gt;=$E4*1000,"",IF(AND($E4&gt;0,BW4&gt;=$E4*1000),"G",IF(AP$2&lt;=TODAY(),"R","")))</f>
        <v/>
      </c>
      <c r="BY4">
        <f t="shared" ref="BY4:BY35" ca="1" si="22">BW4-IF(BX4="G",$E4*1000,0)+N(AQ4)</f>
        <v>0</v>
      </c>
      <c r="BZ4" t="str">
        <f t="shared" ref="BZ4:BZ35" ca="1" si="23">IF(N(AT4)&gt;=$E4*1000,"",IF(AND($E4&gt;0,BY4&gt;=$E4*1000),"G",IF(AT$2&lt;=TODAY(),"R","")))</f>
        <v/>
      </c>
      <c r="CA4">
        <f t="shared" ref="CA4:CA35" ca="1" si="24">BY4-IF(BZ4="G",$E4*1000,0)+N(AU4)</f>
        <v>0</v>
      </c>
      <c r="CB4" t="str">
        <f t="shared" ref="CB4:CB35" ca="1" si="25">IF(N(AX4)&gt;=$E4*1000,"",IF(AND($E4&gt;0,CA4&gt;=$E4*1000),"G",IF(AX$2&lt;=TODAY(),"R","")))</f>
        <v/>
      </c>
      <c r="CC4">
        <f t="shared" ref="CC4:CC35" ca="1" si="26">CA4-IF(CB4="G",$E4*1000,0)+N(AY4)</f>
        <v>0</v>
      </c>
    </row>
    <row r="5" spans="1:8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3"/>
      <c r="AY5" s="52"/>
      <c r="AZ5" s="52"/>
      <c r="BA5" s="52"/>
      <c r="BB5" s="52">
        <f t="shared" si="1"/>
        <v>0</v>
      </c>
      <c r="BC5" s="52">
        <f t="shared" si="2"/>
        <v>0</v>
      </c>
      <c r="BE5">
        <f ca="1">'Monthly Collection-2026'!CC5</f>
        <v>0</v>
      </c>
      <c r="BF5" t="str">
        <f t="shared" ca="1" si="3"/>
        <v/>
      </c>
      <c r="BG5">
        <f t="shared" ca="1" si="4"/>
        <v>0</v>
      </c>
      <c r="BH5" t="str">
        <f t="shared" ca="1" si="5"/>
        <v/>
      </c>
      <c r="BI5">
        <f t="shared" ca="1" si="6"/>
        <v>0</v>
      </c>
      <c r="BJ5" t="str">
        <f t="shared" ca="1" si="7"/>
        <v/>
      </c>
      <c r="BK5">
        <f t="shared" ca="1" si="8"/>
        <v>0</v>
      </c>
      <c r="BL5" t="str">
        <f t="shared" ca="1" si="9"/>
        <v/>
      </c>
      <c r="BM5">
        <f t="shared" ca="1" si="10"/>
        <v>0</v>
      </c>
      <c r="BN5" t="str">
        <f t="shared" ca="1" si="11"/>
        <v/>
      </c>
      <c r="BO5">
        <f t="shared" ca="1" si="12"/>
        <v>0</v>
      </c>
      <c r="BP5" t="str">
        <f t="shared" ca="1" si="13"/>
        <v/>
      </c>
      <c r="BQ5">
        <f t="shared" ca="1" si="14"/>
        <v>0</v>
      </c>
      <c r="BR5" t="str">
        <f t="shared" ca="1" si="15"/>
        <v/>
      </c>
      <c r="BS5">
        <f t="shared" ca="1" si="16"/>
        <v>0</v>
      </c>
      <c r="BT5" t="str">
        <f t="shared" ca="1" si="17"/>
        <v/>
      </c>
      <c r="BU5">
        <f t="shared" ca="1" si="18"/>
        <v>0</v>
      </c>
      <c r="BV5" t="str">
        <f t="shared" ca="1" si="19"/>
        <v/>
      </c>
      <c r="BW5">
        <f t="shared" ca="1" si="20"/>
        <v>0</v>
      </c>
      <c r="BX5" t="str">
        <f t="shared" ca="1" si="21"/>
        <v/>
      </c>
      <c r="BY5">
        <f t="shared" ca="1" si="22"/>
        <v>0</v>
      </c>
      <c r="BZ5" t="str">
        <f t="shared" ca="1" si="23"/>
        <v/>
      </c>
      <c r="CA5">
        <f t="shared" ca="1" si="24"/>
        <v>0</v>
      </c>
      <c r="CB5" t="str">
        <f t="shared" ca="1" si="25"/>
        <v/>
      </c>
      <c r="CC5">
        <f t="shared" ca="1" si="26"/>
        <v>0</v>
      </c>
    </row>
    <row r="6" spans="1:8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7"/>
      <c r="AY6" s="56"/>
      <c r="AZ6" s="56"/>
      <c r="BA6" s="56"/>
      <c r="BB6" s="56">
        <f t="shared" si="1"/>
        <v>0</v>
      </c>
      <c r="BC6" s="56">
        <f t="shared" si="2"/>
        <v>0</v>
      </c>
      <c r="BE6">
        <f ca="1">'Monthly Collection-2026'!CC6</f>
        <v>0</v>
      </c>
      <c r="BF6" t="str">
        <f t="shared" ca="1" si="3"/>
        <v/>
      </c>
      <c r="BG6">
        <f t="shared" ca="1" si="4"/>
        <v>0</v>
      </c>
      <c r="BH6" t="str">
        <f t="shared" ca="1" si="5"/>
        <v/>
      </c>
      <c r="BI6">
        <f t="shared" ca="1" si="6"/>
        <v>0</v>
      </c>
      <c r="BJ6" t="str">
        <f t="shared" ca="1" si="7"/>
        <v/>
      </c>
      <c r="BK6">
        <f t="shared" ca="1" si="8"/>
        <v>0</v>
      </c>
      <c r="BL6" t="str">
        <f t="shared" ca="1" si="9"/>
        <v/>
      </c>
      <c r="BM6">
        <f t="shared" ca="1" si="10"/>
        <v>0</v>
      </c>
      <c r="BN6" t="str">
        <f t="shared" ca="1" si="11"/>
        <v/>
      </c>
      <c r="BO6">
        <f t="shared" ca="1" si="12"/>
        <v>0</v>
      </c>
      <c r="BP6" t="str">
        <f t="shared" ca="1" si="13"/>
        <v/>
      </c>
      <c r="BQ6">
        <f t="shared" ca="1" si="14"/>
        <v>0</v>
      </c>
      <c r="BR6" t="str">
        <f t="shared" ca="1" si="15"/>
        <v/>
      </c>
      <c r="BS6">
        <f t="shared" ca="1" si="16"/>
        <v>0</v>
      </c>
      <c r="BT6" t="str">
        <f t="shared" ca="1" si="17"/>
        <v/>
      </c>
      <c r="BU6">
        <f t="shared" ca="1" si="18"/>
        <v>0</v>
      </c>
      <c r="BV6" t="str">
        <f t="shared" ca="1" si="19"/>
        <v/>
      </c>
      <c r="BW6">
        <f t="shared" ca="1" si="20"/>
        <v>0</v>
      </c>
      <c r="BX6" t="str">
        <f t="shared" ca="1" si="21"/>
        <v/>
      </c>
      <c r="BY6">
        <f t="shared" ca="1" si="22"/>
        <v>0</v>
      </c>
      <c r="BZ6" t="str">
        <f t="shared" ca="1" si="23"/>
        <v/>
      </c>
      <c r="CA6">
        <f t="shared" ca="1" si="24"/>
        <v>0</v>
      </c>
      <c r="CB6" t="str">
        <f t="shared" ca="1" si="25"/>
        <v/>
      </c>
      <c r="CC6">
        <f t="shared" ca="1" si="26"/>
        <v>0</v>
      </c>
    </row>
    <row r="7" spans="1:8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3"/>
      <c r="AY7" s="52"/>
      <c r="AZ7" s="52"/>
      <c r="BA7" s="52"/>
      <c r="BB7" s="52">
        <f t="shared" si="1"/>
        <v>0</v>
      </c>
      <c r="BC7" s="52">
        <f t="shared" si="2"/>
        <v>0</v>
      </c>
      <c r="BE7">
        <f ca="1">'Monthly Collection-2026'!CC7</f>
        <v>0</v>
      </c>
      <c r="BF7" t="str">
        <f t="shared" ca="1" si="3"/>
        <v/>
      </c>
      <c r="BG7">
        <f t="shared" ca="1" si="4"/>
        <v>0</v>
      </c>
      <c r="BH7" t="str">
        <f t="shared" ca="1" si="5"/>
        <v/>
      </c>
      <c r="BI7">
        <f t="shared" ca="1" si="6"/>
        <v>0</v>
      </c>
      <c r="BJ7" t="str">
        <f t="shared" ca="1" si="7"/>
        <v/>
      </c>
      <c r="BK7">
        <f t="shared" ca="1" si="8"/>
        <v>0</v>
      </c>
      <c r="BL7" t="str">
        <f t="shared" ca="1" si="9"/>
        <v/>
      </c>
      <c r="BM7">
        <f t="shared" ca="1" si="10"/>
        <v>0</v>
      </c>
      <c r="BN7" t="str">
        <f t="shared" ca="1" si="11"/>
        <v/>
      </c>
      <c r="BO7">
        <f t="shared" ca="1" si="12"/>
        <v>0</v>
      </c>
      <c r="BP7" t="str">
        <f t="shared" ca="1" si="13"/>
        <v/>
      </c>
      <c r="BQ7">
        <f t="shared" ca="1" si="14"/>
        <v>0</v>
      </c>
      <c r="BR7" t="str">
        <f t="shared" ca="1" si="15"/>
        <v/>
      </c>
      <c r="BS7">
        <f t="shared" ca="1" si="16"/>
        <v>0</v>
      </c>
      <c r="BT7" t="str">
        <f t="shared" ca="1" si="17"/>
        <v/>
      </c>
      <c r="BU7">
        <f t="shared" ca="1" si="18"/>
        <v>0</v>
      </c>
      <c r="BV7" t="str">
        <f t="shared" ca="1" si="19"/>
        <v/>
      </c>
      <c r="BW7">
        <f t="shared" ca="1" si="20"/>
        <v>0</v>
      </c>
      <c r="BX7" t="str">
        <f t="shared" ca="1" si="21"/>
        <v/>
      </c>
      <c r="BY7">
        <f t="shared" ca="1" si="22"/>
        <v>0</v>
      </c>
      <c r="BZ7" t="str">
        <f t="shared" ca="1" si="23"/>
        <v/>
      </c>
      <c r="CA7">
        <f t="shared" ca="1" si="24"/>
        <v>0</v>
      </c>
      <c r="CB7" t="str">
        <f t="shared" ca="1" si="25"/>
        <v/>
      </c>
      <c r="CC7">
        <f t="shared" ca="1" si="26"/>
        <v>0</v>
      </c>
    </row>
    <row r="8" spans="1:8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7"/>
      <c r="AY8" s="56"/>
      <c r="AZ8" s="56"/>
      <c r="BA8" s="56"/>
      <c r="BB8" s="56">
        <f t="shared" si="1"/>
        <v>0</v>
      </c>
      <c r="BC8" s="56">
        <f t="shared" si="2"/>
        <v>0</v>
      </c>
      <c r="BE8">
        <f ca="1">'Monthly Collection-2026'!CC8</f>
        <v>0</v>
      </c>
      <c r="BF8" t="str">
        <f t="shared" ca="1" si="3"/>
        <v/>
      </c>
      <c r="BG8">
        <f t="shared" ca="1" si="4"/>
        <v>0</v>
      </c>
      <c r="BH8" t="str">
        <f t="shared" ca="1" si="5"/>
        <v/>
      </c>
      <c r="BI8">
        <f t="shared" ca="1" si="6"/>
        <v>0</v>
      </c>
      <c r="BJ8" t="str">
        <f t="shared" ca="1" si="7"/>
        <v/>
      </c>
      <c r="BK8">
        <f t="shared" ca="1" si="8"/>
        <v>0</v>
      </c>
      <c r="BL8" t="str">
        <f t="shared" ca="1" si="9"/>
        <v/>
      </c>
      <c r="BM8">
        <f t="shared" ca="1" si="10"/>
        <v>0</v>
      </c>
      <c r="BN8" t="str">
        <f t="shared" ca="1" si="11"/>
        <v/>
      </c>
      <c r="BO8">
        <f t="shared" ca="1" si="12"/>
        <v>0</v>
      </c>
      <c r="BP8" t="str">
        <f t="shared" ca="1" si="13"/>
        <v/>
      </c>
      <c r="BQ8">
        <f t="shared" ca="1" si="14"/>
        <v>0</v>
      </c>
      <c r="BR8" t="str">
        <f t="shared" ca="1" si="15"/>
        <v/>
      </c>
      <c r="BS8">
        <f t="shared" ca="1" si="16"/>
        <v>0</v>
      </c>
      <c r="BT8" t="str">
        <f t="shared" ca="1" si="17"/>
        <v/>
      </c>
      <c r="BU8">
        <f t="shared" ca="1" si="18"/>
        <v>0</v>
      </c>
      <c r="BV8" t="str">
        <f t="shared" ca="1" si="19"/>
        <v/>
      </c>
      <c r="BW8">
        <f t="shared" ca="1" si="20"/>
        <v>0</v>
      </c>
      <c r="BX8" t="str">
        <f t="shared" ca="1" si="21"/>
        <v/>
      </c>
      <c r="BY8">
        <f t="shared" ca="1" si="22"/>
        <v>0</v>
      </c>
      <c r="BZ8" t="str">
        <f t="shared" ca="1" si="23"/>
        <v/>
      </c>
      <c r="CA8">
        <f t="shared" ca="1" si="24"/>
        <v>0</v>
      </c>
      <c r="CB8" t="str">
        <f t="shared" ca="1" si="25"/>
        <v/>
      </c>
      <c r="CC8">
        <f t="shared" ca="1" si="26"/>
        <v>0</v>
      </c>
    </row>
    <row r="9" spans="1:8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3"/>
      <c r="AY9" s="52"/>
      <c r="AZ9" s="52"/>
      <c r="BA9" s="52"/>
      <c r="BB9" s="52">
        <f t="shared" si="1"/>
        <v>0</v>
      </c>
      <c r="BC9" s="52">
        <f t="shared" si="2"/>
        <v>0</v>
      </c>
      <c r="BE9">
        <f ca="1">'Monthly Collection-2026'!CC9</f>
        <v>0</v>
      </c>
      <c r="BF9" t="str">
        <f t="shared" ca="1" si="3"/>
        <v/>
      </c>
      <c r="BG9">
        <f t="shared" ca="1" si="4"/>
        <v>0</v>
      </c>
      <c r="BH9" t="str">
        <f t="shared" ca="1" si="5"/>
        <v/>
      </c>
      <c r="BI9">
        <f t="shared" ca="1" si="6"/>
        <v>0</v>
      </c>
      <c r="BJ9" t="str">
        <f t="shared" ca="1" si="7"/>
        <v/>
      </c>
      <c r="BK9">
        <f t="shared" ca="1" si="8"/>
        <v>0</v>
      </c>
      <c r="BL9" t="str">
        <f t="shared" ca="1" si="9"/>
        <v/>
      </c>
      <c r="BM9">
        <f t="shared" ca="1" si="10"/>
        <v>0</v>
      </c>
      <c r="BN9" t="str">
        <f t="shared" ca="1" si="11"/>
        <v/>
      </c>
      <c r="BO9">
        <f t="shared" ca="1" si="12"/>
        <v>0</v>
      </c>
      <c r="BP9" t="str">
        <f t="shared" ca="1" si="13"/>
        <v/>
      </c>
      <c r="BQ9">
        <f t="shared" ca="1" si="14"/>
        <v>0</v>
      </c>
      <c r="BR9" t="str">
        <f t="shared" ca="1" si="15"/>
        <v/>
      </c>
      <c r="BS9">
        <f t="shared" ca="1" si="16"/>
        <v>0</v>
      </c>
      <c r="BT9" t="str">
        <f t="shared" ca="1" si="17"/>
        <v/>
      </c>
      <c r="BU9">
        <f t="shared" ca="1" si="18"/>
        <v>0</v>
      </c>
      <c r="BV9" t="str">
        <f t="shared" ca="1" si="19"/>
        <v/>
      </c>
      <c r="BW9">
        <f t="shared" ca="1" si="20"/>
        <v>0</v>
      </c>
      <c r="BX9" t="str">
        <f t="shared" ca="1" si="21"/>
        <v/>
      </c>
      <c r="BY9">
        <f t="shared" ca="1" si="22"/>
        <v>0</v>
      </c>
      <c r="BZ9" t="str">
        <f t="shared" ca="1" si="23"/>
        <v/>
      </c>
      <c r="CA9">
        <f t="shared" ca="1" si="24"/>
        <v>0</v>
      </c>
      <c r="CB9" t="str">
        <f t="shared" ca="1" si="25"/>
        <v/>
      </c>
      <c r="CC9">
        <f t="shared" ca="1" si="26"/>
        <v>0</v>
      </c>
    </row>
    <row r="10" spans="1:8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7"/>
      <c r="AY10" s="56"/>
      <c r="AZ10" s="56"/>
      <c r="BA10" s="56"/>
      <c r="BB10" s="56">
        <f t="shared" si="1"/>
        <v>0</v>
      </c>
      <c r="BC10" s="56">
        <f t="shared" si="2"/>
        <v>0</v>
      </c>
      <c r="BE10">
        <f ca="1">'Monthly Collection-2026'!CC10</f>
        <v>0</v>
      </c>
      <c r="BF10" t="str">
        <f t="shared" ca="1" si="3"/>
        <v/>
      </c>
      <c r="BG10">
        <f t="shared" ca="1" si="4"/>
        <v>0</v>
      </c>
      <c r="BH10" t="str">
        <f t="shared" ca="1" si="5"/>
        <v/>
      </c>
      <c r="BI10">
        <f t="shared" ca="1" si="6"/>
        <v>0</v>
      </c>
      <c r="BJ10" t="str">
        <f t="shared" ca="1" si="7"/>
        <v/>
      </c>
      <c r="BK10">
        <f t="shared" ca="1" si="8"/>
        <v>0</v>
      </c>
      <c r="BL10" t="str">
        <f t="shared" ca="1" si="9"/>
        <v/>
      </c>
      <c r="BM10">
        <f t="shared" ca="1" si="10"/>
        <v>0</v>
      </c>
      <c r="BN10" t="str">
        <f t="shared" ca="1" si="11"/>
        <v/>
      </c>
      <c r="BO10">
        <f t="shared" ca="1" si="12"/>
        <v>0</v>
      </c>
      <c r="BP10" t="str">
        <f t="shared" ca="1" si="13"/>
        <v/>
      </c>
      <c r="BQ10">
        <f t="shared" ca="1" si="14"/>
        <v>0</v>
      </c>
      <c r="BR10" t="str">
        <f t="shared" ca="1" si="15"/>
        <v/>
      </c>
      <c r="BS10">
        <f t="shared" ca="1" si="16"/>
        <v>0</v>
      </c>
      <c r="BT10" t="str">
        <f t="shared" ca="1" si="17"/>
        <v/>
      </c>
      <c r="BU10">
        <f t="shared" ca="1" si="18"/>
        <v>0</v>
      </c>
      <c r="BV10" t="str">
        <f t="shared" ca="1" si="19"/>
        <v/>
      </c>
      <c r="BW10">
        <f t="shared" ca="1" si="20"/>
        <v>0</v>
      </c>
      <c r="BX10" t="str">
        <f t="shared" ca="1" si="21"/>
        <v/>
      </c>
      <c r="BY10">
        <f t="shared" ca="1" si="22"/>
        <v>0</v>
      </c>
      <c r="BZ10" t="str">
        <f t="shared" ca="1" si="23"/>
        <v/>
      </c>
      <c r="CA10">
        <f t="shared" ca="1" si="24"/>
        <v>0</v>
      </c>
      <c r="CB10" t="str">
        <f t="shared" ca="1" si="25"/>
        <v/>
      </c>
      <c r="CC10">
        <f t="shared" ca="1" si="26"/>
        <v>0</v>
      </c>
    </row>
    <row r="11" spans="1:8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3"/>
      <c r="AY11" s="52"/>
      <c r="AZ11" s="52"/>
      <c r="BA11" s="52"/>
      <c r="BB11" s="52">
        <f t="shared" si="1"/>
        <v>0</v>
      </c>
      <c r="BC11" s="52">
        <f t="shared" si="2"/>
        <v>0</v>
      </c>
      <c r="BE11">
        <f ca="1">'Monthly Collection-2026'!CC11</f>
        <v>0</v>
      </c>
      <c r="BF11" t="str">
        <f t="shared" ca="1" si="3"/>
        <v/>
      </c>
      <c r="BG11">
        <f t="shared" ca="1" si="4"/>
        <v>0</v>
      </c>
      <c r="BH11" t="str">
        <f t="shared" ca="1" si="5"/>
        <v/>
      </c>
      <c r="BI11">
        <f t="shared" ca="1" si="6"/>
        <v>0</v>
      </c>
      <c r="BJ11" t="str">
        <f t="shared" ca="1" si="7"/>
        <v/>
      </c>
      <c r="BK11">
        <f t="shared" ca="1" si="8"/>
        <v>0</v>
      </c>
      <c r="BL11" t="str">
        <f t="shared" ca="1" si="9"/>
        <v/>
      </c>
      <c r="BM11">
        <f t="shared" ca="1" si="10"/>
        <v>0</v>
      </c>
      <c r="BN11" t="str">
        <f t="shared" ca="1" si="11"/>
        <v/>
      </c>
      <c r="BO11">
        <f t="shared" ca="1" si="12"/>
        <v>0</v>
      </c>
      <c r="BP11" t="str">
        <f t="shared" ca="1" si="13"/>
        <v/>
      </c>
      <c r="BQ11">
        <f t="shared" ca="1" si="14"/>
        <v>0</v>
      </c>
      <c r="BR11" t="str">
        <f t="shared" ca="1" si="15"/>
        <v/>
      </c>
      <c r="BS11">
        <f t="shared" ca="1" si="16"/>
        <v>0</v>
      </c>
      <c r="BT11" t="str">
        <f t="shared" ca="1" si="17"/>
        <v/>
      </c>
      <c r="BU11">
        <f t="shared" ca="1" si="18"/>
        <v>0</v>
      </c>
      <c r="BV11" t="str">
        <f t="shared" ca="1" si="19"/>
        <v/>
      </c>
      <c r="BW11">
        <f t="shared" ca="1" si="20"/>
        <v>0</v>
      </c>
      <c r="BX11" t="str">
        <f t="shared" ca="1" si="21"/>
        <v/>
      </c>
      <c r="BY11">
        <f t="shared" ca="1" si="22"/>
        <v>0</v>
      </c>
      <c r="BZ11" t="str">
        <f t="shared" ca="1" si="23"/>
        <v/>
      </c>
      <c r="CA11">
        <f t="shared" ca="1" si="24"/>
        <v>0</v>
      </c>
      <c r="CB11" t="str">
        <f t="shared" ca="1" si="25"/>
        <v/>
      </c>
      <c r="CC11">
        <f t="shared" ca="1" si="26"/>
        <v>0</v>
      </c>
    </row>
    <row r="12" spans="1:8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7"/>
      <c r="AY12" s="56"/>
      <c r="AZ12" s="56"/>
      <c r="BA12" s="56"/>
      <c r="BB12" s="56">
        <f t="shared" si="1"/>
        <v>0</v>
      </c>
      <c r="BC12" s="56">
        <f t="shared" si="2"/>
        <v>0</v>
      </c>
      <c r="BE12">
        <f ca="1">'Monthly Collection-2026'!CC12</f>
        <v>0</v>
      </c>
      <c r="BF12" t="str">
        <f t="shared" ca="1" si="3"/>
        <v/>
      </c>
      <c r="BG12">
        <f t="shared" ca="1" si="4"/>
        <v>0</v>
      </c>
      <c r="BH12" t="str">
        <f t="shared" ca="1" si="5"/>
        <v/>
      </c>
      <c r="BI12">
        <f t="shared" ca="1" si="6"/>
        <v>0</v>
      </c>
      <c r="BJ12" t="str">
        <f t="shared" ca="1" si="7"/>
        <v/>
      </c>
      <c r="BK12">
        <f t="shared" ca="1" si="8"/>
        <v>0</v>
      </c>
      <c r="BL12" t="str">
        <f t="shared" ca="1" si="9"/>
        <v/>
      </c>
      <c r="BM12">
        <f t="shared" ca="1" si="10"/>
        <v>0</v>
      </c>
      <c r="BN12" t="str">
        <f t="shared" ca="1" si="11"/>
        <v/>
      </c>
      <c r="BO12">
        <f t="shared" ca="1" si="12"/>
        <v>0</v>
      </c>
      <c r="BP12" t="str">
        <f t="shared" ca="1" si="13"/>
        <v/>
      </c>
      <c r="BQ12">
        <f t="shared" ca="1" si="14"/>
        <v>0</v>
      </c>
      <c r="BR12" t="str">
        <f t="shared" ca="1" si="15"/>
        <v/>
      </c>
      <c r="BS12">
        <f t="shared" ca="1" si="16"/>
        <v>0</v>
      </c>
      <c r="BT12" t="str">
        <f t="shared" ca="1" si="17"/>
        <v/>
      </c>
      <c r="BU12">
        <f t="shared" ca="1" si="18"/>
        <v>0</v>
      </c>
      <c r="BV12" t="str">
        <f t="shared" ca="1" si="19"/>
        <v/>
      </c>
      <c r="BW12">
        <f t="shared" ca="1" si="20"/>
        <v>0</v>
      </c>
      <c r="BX12" t="str">
        <f t="shared" ca="1" si="21"/>
        <v/>
      </c>
      <c r="BY12">
        <f t="shared" ca="1" si="22"/>
        <v>0</v>
      </c>
      <c r="BZ12" t="str">
        <f t="shared" ca="1" si="23"/>
        <v/>
      </c>
      <c r="CA12">
        <f t="shared" ca="1" si="24"/>
        <v>0</v>
      </c>
      <c r="CB12" t="str">
        <f t="shared" ca="1" si="25"/>
        <v/>
      </c>
      <c r="CC12">
        <f t="shared" ca="1" si="26"/>
        <v>0</v>
      </c>
    </row>
    <row r="13" spans="1:8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3"/>
      <c r="AY13" s="52"/>
      <c r="AZ13" s="52"/>
      <c r="BA13" s="52"/>
      <c r="BB13" s="52">
        <f t="shared" si="1"/>
        <v>0</v>
      </c>
      <c r="BC13" s="52">
        <f t="shared" si="2"/>
        <v>0</v>
      </c>
      <c r="BE13">
        <f ca="1">'Monthly Collection-2026'!CC13</f>
        <v>0</v>
      </c>
      <c r="BF13" t="str">
        <f t="shared" ca="1" si="3"/>
        <v/>
      </c>
      <c r="BG13">
        <f t="shared" ca="1" si="4"/>
        <v>0</v>
      </c>
      <c r="BH13" t="str">
        <f t="shared" ca="1" si="5"/>
        <v/>
      </c>
      <c r="BI13">
        <f t="shared" ca="1" si="6"/>
        <v>0</v>
      </c>
      <c r="BJ13" t="str">
        <f t="shared" ca="1" si="7"/>
        <v/>
      </c>
      <c r="BK13">
        <f t="shared" ca="1" si="8"/>
        <v>0</v>
      </c>
      <c r="BL13" t="str">
        <f t="shared" ca="1" si="9"/>
        <v/>
      </c>
      <c r="BM13">
        <f t="shared" ca="1" si="10"/>
        <v>0</v>
      </c>
      <c r="BN13" t="str">
        <f t="shared" ca="1" si="11"/>
        <v/>
      </c>
      <c r="BO13">
        <f t="shared" ca="1" si="12"/>
        <v>0</v>
      </c>
      <c r="BP13" t="str">
        <f t="shared" ca="1" si="13"/>
        <v/>
      </c>
      <c r="BQ13">
        <f t="shared" ca="1" si="14"/>
        <v>0</v>
      </c>
      <c r="BR13" t="str">
        <f t="shared" ca="1" si="15"/>
        <v/>
      </c>
      <c r="BS13">
        <f t="shared" ca="1" si="16"/>
        <v>0</v>
      </c>
      <c r="BT13" t="str">
        <f t="shared" ca="1" si="17"/>
        <v/>
      </c>
      <c r="BU13">
        <f t="shared" ca="1" si="18"/>
        <v>0</v>
      </c>
      <c r="BV13" t="str">
        <f t="shared" ca="1" si="19"/>
        <v/>
      </c>
      <c r="BW13">
        <f t="shared" ca="1" si="20"/>
        <v>0</v>
      </c>
      <c r="BX13" t="str">
        <f t="shared" ca="1" si="21"/>
        <v/>
      </c>
      <c r="BY13">
        <f t="shared" ca="1" si="22"/>
        <v>0</v>
      </c>
      <c r="BZ13" t="str">
        <f t="shared" ca="1" si="23"/>
        <v/>
      </c>
      <c r="CA13">
        <f t="shared" ca="1" si="24"/>
        <v>0</v>
      </c>
      <c r="CB13" t="str">
        <f t="shared" ca="1" si="25"/>
        <v/>
      </c>
      <c r="CC13">
        <f t="shared" ca="1" si="26"/>
        <v>0</v>
      </c>
    </row>
    <row r="14" spans="1:8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7"/>
      <c r="AY14" s="56"/>
      <c r="AZ14" s="56"/>
      <c r="BA14" s="56"/>
      <c r="BB14" s="56">
        <f t="shared" si="1"/>
        <v>0</v>
      </c>
      <c r="BC14" s="56">
        <f t="shared" si="2"/>
        <v>0</v>
      </c>
      <c r="BE14">
        <f ca="1">'Monthly Collection-2026'!CC14</f>
        <v>0</v>
      </c>
      <c r="BF14" t="str">
        <f t="shared" ca="1" si="3"/>
        <v/>
      </c>
      <c r="BG14">
        <f t="shared" ca="1" si="4"/>
        <v>0</v>
      </c>
      <c r="BH14" t="str">
        <f t="shared" ca="1" si="5"/>
        <v/>
      </c>
      <c r="BI14">
        <f t="shared" ca="1" si="6"/>
        <v>0</v>
      </c>
      <c r="BJ14" t="str">
        <f t="shared" ca="1" si="7"/>
        <v/>
      </c>
      <c r="BK14">
        <f t="shared" ca="1" si="8"/>
        <v>0</v>
      </c>
      <c r="BL14" t="str">
        <f t="shared" ca="1" si="9"/>
        <v/>
      </c>
      <c r="BM14">
        <f t="shared" ca="1" si="10"/>
        <v>0</v>
      </c>
      <c r="BN14" t="str">
        <f t="shared" ca="1" si="11"/>
        <v/>
      </c>
      <c r="BO14">
        <f t="shared" ca="1" si="12"/>
        <v>0</v>
      </c>
      <c r="BP14" t="str">
        <f t="shared" ca="1" si="13"/>
        <v/>
      </c>
      <c r="BQ14">
        <f t="shared" ca="1" si="14"/>
        <v>0</v>
      </c>
      <c r="BR14" t="str">
        <f t="shared" ca="1" si="15"/>
        <v/>
      </c>
      <c r="BS14">
        <f t="shared" ca="1" si="16"/>
        <v>0</v>
      </c>
      <c r="BT14" t="str">
        <f t="shared" ca="1" si="17"/>
        <v/>
      </c>
      <c r="BU14">
        <f t="shared" ca="1" si="18"/>
        <v>0</v>
      </c>
      <c r="BV14" t="str">
        <f t="shared" ca="1" si="19"/>
        <v/>
      </c>
      <c r="BW14">
        <f t="shared" ca="1" si="20"/>
        <v>0</v>
      </c>
      <c r="BX14" t="str">
        <f t="shared" ca="1" si="21"/>
        <v/>
      </c>
      <c r="BY14">
        <f t="shared" ca="1" si="22"/>
        <v>0</v>
      </c>
      <c r="BZ14" t="str">
        <f t="shared" ca="1" si="23"/>
        <v/>
      </c>
      <c r="CA14">
        <f t="shared" ca="1" si="24"/>
        <v>0</v>
      </c>
      <c r="CB14" t="str">
        <f t="shared" ca="1" si="25"/>
        <v/>
      </c>
      <c r="CC14">
        <f t="shared" ca="1" si="26"/>
        <v>0</v>
      </c>
    </row>
    <row r="15" spans="1:8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3"/>
      <c r="AY15" s="52"/>
      <c r="AZ15" s="52"/>
      <c r="BA15" s="52"/>
      <c r="BB15" s="52">
        <f t="shared" si="1"/>
        <v>0</v>
      </c>
      <c r="BC15" s="52">
        <f t="shared" si="2"/>
        <v>0</v>
      </c>
      <c r="BE15">
        <f ca="1">'Monthly Collection-2026'!CC15</f>
        <v>0</v>
      </c>
      <c r="BF15" t="str">
        <f t="shared" ca="1" si="3"/>
        <v/>
      </c>
      <c r="BG15">
        <f t="shared" ca="1" si="4"/>
        <v>0</v>
      </c>
      <c r="BH15" t="str">
        <f t="shared" ca="1" si="5"/>
        <v/>
      </c>
      <c r="BI15">
        <f t="shared" ca="1" si="6"/>
        <v>0</v>
      </c>
      <c r="BJ15" t="str">
        <f t="shared" ca="1" si="7"/>
        <v/>
      </c>
      <c r="BK15">
        <f t="shared" ca="1" si="8"/>
        <v>0</v>
      </c>
      <c r="BL15" t="str">
        <f t="shared" ca="1" si="9"/>
        <v/>
      </c>
      <c r="BM15">
        <f t="shared" ca="1" si="10"/>
        <v>0</v>
      </c>
      <c r="BN15" t="str">
        <f t="shared" ca="1" si="11"/>
        <v/>
      </c>
      <c r="BO15">
        <f t="shared" ca="1" si="12"/>
        <v>0</v>
      </c>
      <c r="BP15" t="str">
        <f t="shared" ca="1" si="13"/>
        <v/>
      </c>
      <c r="BQ15">
        <f t="shared" ca="1" si="14"/>
        <v>0</v>
      </c>
      <c r="BR15" t="str">
        <f t="shared" ca="1" si="15"/>
        <v/>
      </c>
      <c r="BS15">
        <f t="shared" ca="1" si="16"/>
        <v>0</v>
      </c>
      <c r="BT15" t="str">
        <f t="shared" ca="1" si="17"/>
        <v/>
      </c>
      <c r="BU15">
        <f t="shared" ca="1" si="18"/>
        <v>0</v>
      </c>
      <c r="BV15" t="str">
        <f t="shared" ca="1" si="19"/>
        <v/>
      </c>
      <c r="BW15">
        <f t="shared" ca="1" si="20"/>
        <v>0</v>
      </c>
      <c r="BX15" t="str">
        <f t="shared" ca="1" si="21"/>
        <v/>
      </c>
      <c r="BY15">
        <f t="shared" ca="1" si="22"/>
        <v>0</v>
      </c>
      <c r="BZ15" t="str">
        <f t="shared" ca="1" si="23"/>
        <v/>
      </c>
      <c r="CA15">
        <f t="shared" ca="1" si="24"/>
        <v>0</v>
      </c>
      <c r="CB15" t="str">
        <f t="shared" ca="1" si="25"/>
        <v/>
      </c>
      <c r="CC15">
        <f t="shared" ca="1" si="26"/>
        <v>0</v>
      </c>
    </row>
    <row r="16" spans="1:8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7"/>
      <c r="AY16" s="56"/>
      <c r="AZ16" s="56"/>
      <c r="BA16" s="56"/>
      <c r="BB16" s="56">
        <f t="shared" si="1"/>
        <v>0</v>
      </c>
      <c r="BC16" s="56">
        <f t="shared" si="2"/>
        <v>0</v>
      </c>
      <c r="BE16">
        <f ca="1">'Monthly Collection-2026'!CC16</f>
        <v>0</v>
      </c>
      <c r="BF16" t="str">
        <f t="shared" ca="1" si="3"/>
        <v/>
      </c>
      <c r="BG16">
        <f t="shared" ca="1" si="4"/>
        <v>0</v>
      </c>
      <c r="BH16" t="str">
        <f t="shared" ca="1" si="5"/>
        <v/>
      </c>
      <c r="BI16">
        <f t="shared" ca="1" si="6"/>
        <v>0</v>
      </c>
      <c r="BJ16" t="str">
        <f t="shared" ca="1" si="7"/>
        <v/>
      </c>
      <c r="BK16">
        <f t="shared" ca="1" si="8"/>
        <v>0</v>
      </c>
      <c r="BL16" t="str">
        <f t="shared" ca="1" si="9"/>
        <v/>
      </c>
      <c r="BM16">
        <f t="shared" ca="1" si="10"/>
        <v>0</v>
      </c>
      <c r="BN16" t="str">
        <f t="shared" ca="1" si="11"/>
        <v/>
      </c>
      <c r="BO16">
        <f t="shared" ca="1" si="12"/>
        <v>0</v>
      </c>
      <c r="BP16" t="str">
        <f t="shared" ca="1" si="13"/>
        <v/>
      </c>
      <c r="BQ16">
        <f t="shared" ca="1" si="14"/>
        <v>0</v>
      </c>
      <c r="BR16" t="str">
        <f t="shared" ca="1" si="15"/>
        <v/>
      </c>
      <c r="BS16">
        <f t="shared" ca="1" si="16"/>
        <v>0</v>
      </c>
      <c r="BT16" t="str">
        <f t="shared" ca="1" si="17"/>
        <v/>
      </c>
      <c r="BU16">
        <f t="shared" ca="1" si="18"/>
        <v>0</v>
      </c>
      <c r="BV16" t="str">
        <f t="shared" ca="1" si="19"/>
        <v/>
      </c>
      <c r="BW16">
        <f t="shared" ca="1" si="20"/>
        <v>0</v>
      </c>
      <c r="BX16" t="str">
        <f t="shared" ca="1" si="21"/>
        <v/>
      </c>
      <c r="BY16">
        <f t="shared" ca="1" si="22"/>
        <v>0</v>
      </c>
      <c r="BZ16" t="str">
        <f t="shared" ca="1" si="23"/>
        <v/>
      </c>
      <c r="CA16">
        <f t="shared" ca="1" si="24"/>
        <v>0</v>
      </c>
      <c r="CB16" t="str">
        <f t="shared" ca="1" si="25"/>
        <v/>
      </c>
      <c r="CC16">
        <f t="shared" ca="1" si="26"/>
        <v>0</v>
      </c>
    </row>
    <row r="17" spans="2:8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3"/>
      <c r="AY17" s="52"/>
      <c r="AZ17" s="52"/>
      <c r="BA17" s="52"/>
      <c r="BB17" s="52">
        <f t="shared" si="1"/>
        <v>0</v>
      </c>
      <c r="BC17" s="52">
        <f t="shared" si="2"/>
        <v>0</v>
      </c>
      <c r="BE17">
        <f ca="1">'Monthly Collection-2026'!CC17</f>
        <v>0</v>
      </c>
      <c r="BF17" t="str">
        <f t="shared" ca="1" si="3"/>
        <v/>
      </c>
      <c r="BG17">
        <f t="shared" ca="1" si="4"/>
        <v>0</v>
      </c>
      <c r="BH17" t="str">
        <f t="shared" ca="1" si="5"/>
        <v/>
      </c>
      <c r="BI17">
        <f t="shared" ca="1" si="6"/>
        <v>0</v>
      </c>
      <c r="BJ17" t="str">
        <f t="shared" ca="1" si="7"/>
        <v/>
      </c>
      <c r="BK17">
        <f t="shared" ca="1" si="8"/>
        <v>0</v>
      </c>
      <c r="BL17" t="str">
        <f t="shared" ca="1" si="9"/>
        <v/>
      </c>
      <c r="BM17">
        <f t="shared" ca="1" si="10"/>
        <v>0</v>
      </c>
      <c r="BN17" t="str">
        <f t="shared" ca="1" si="11"/>
        <v/>
      </c>
      <c r="BO17">
        <f t="shared" ca="1" si="12"/>
        <v>0</v>
      </c>
      <c r="BP17" t="str">
        <f t="shared" ca="1" si="13"/>
        <v/>
      </c>
      <c r="BQ17">
        <f t="shared" ca="1" si="14"/>
        <v>0</v>
      </c>
      <c r="BR17" t="str">
        <f t="shared" ca="1" si="15"/>
        <v/>
      </c>
      <c r="BS17">
        <f t="shared" ca="1" si="16"/>
        <v>0</v>
      </c>
      <c r="BT17" t="str">
        <f t="shared" ca="1" si="17"/>
        <v/>
      </c>
      <c r="BU17">
        <f t="shared" ca="1" si="18"/>
        <v>0</v>
      </c>
      <c r="BV17" t="str">
        <f t="shared" ca="1" si="19"/>
        <v/>
      </c>
      <c r="BW17">
        <f t="shared" ca="1" si="20"/>
        <v>0</v>
      </c>
      <c r="BX17" t="str">
        <f t="shared" ca="1" si="21"/>
        <v/>
      </c>
      <c r="BY17">
        <f t="shared" ca="1" si="22"/>
        <v>0</v>
      </c>
      <c r="BZ17" t="str">
        <f t="shared" ca="1" si="23"/>
        <v/>
      </c>
      <c r="CA17">
        <f t="shared" ca="1" si="24"/>
        <v>0</v>
      </c>
      <c r="CB17" t="str">
        <f t="shared" ca="1" si="25"/>
        <v/>
      </c>
      <c r="CC17">
        <f t="shared" ca="1" si="26"/>
        <v>0</v>
      </c>
    </row>
    <row r="18" spans="2:8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7"/>
      <c r="AY18" s="56"/>
      <c r="AZ18" s="56"/>
      <c r="BA18" s="56"/>
      <c r="BB18" s="56">
        <f t="shared" si="1"/>
        <v>0</v>
      </c>
      <c r="BC18" s="56">
        <f t="shared" si="2"/>
        <v>0</v>
      </c>
      <c r="BE18">
        <f ca="1">'Monthly Collection-2026'!CC18</f>
        <v>0</v>
      </c>
      <c r="BF18" t="str">
        <f t="shared" ca="1" si="3"/>
        <v/>
      </c>
      <c r="BG18">
        <f t="shared" ca="1" si="4"/>
        <v>0</v>
      </c>
      <c r="BH18" t="str">
        <f t="shared" ca="1" si="5"/>
        <v/>
      </c>
      <c r="BI18">
        <f t="shared" ca="1" si="6"/>
        <v>0</v>
      </c>
      <c r="BJ18" t="str">
        <f t="shared" ca="1" si="7"/>
        <v/>
      </c>
      <c r="BK18">
        <f t="shared" ca="1" si="8"/>
        <v>0</v>
      </c>
      <c r="BL18" t="str">
        <f t="shared" ca="1" si="9"/>
        <v/>
      </c>
      <c r="BM18">
        <f t="shared" ca="1" si="10"/>
        <v>0</v>
      </c>
      <c r="BN18" t="str">
        <f t="shared" ca="1" si="11"/>
        <v/>
      </c>
      <c r="BO18">
        <f t="shared" ca="1" si="12"/>
        <v>0</v>
      </c>
      <c r="BP18" t="str">
        <f t="shared" ca="1" si="13"/>
        <v/>
      </c>
      <c r="BQ18">
        <f t="shared" ca="1" si="14"/>
        <v>0</v>
      </c>
      <c r="BR18" t="str">
        <f t="shared" ca="1" si="15"/>
        <v/>
      </c>
      <c r="BS18">
        <f t="shared" ca="1" si="16"/>
        <v>0</v>
      </c>
      <c r="BT18" t="str">
        <f t="shared" ca="1" si="17"/>
        <v/>
      </c>
      <c r="BU18">
        <f t="shared" ca="1" si="18"/>
        <v>0</v>
      </c>
      <c r="BV18" t="str">
        <f t="shared" ca="1" si="19"/>
        <v/>
      </c>
      <c r="BW18">
        <f t="shared" ca="1" si="20"/>
        <v>0</v>
      </c>
      <c r="BX18" t="str">
        <f t="shared" ca="1" si="21"/>
        <v/>
      </c>
      <c r="BY18">
        <f t="shared" ca="1" si="22"/>
        <v>0</v>
      </c>
      <c r="BZ18" t="str">
        <f t="shared" ca="1" si="23"/>
        <v/>
      </c>
      <c r="CA18">
        <f t="shared" ca="1" si="24"/>
        <v>0</v>
      </c>
      <c r="CB18" t="str">
        <f t="shared" ca="1" si="25"/>
        <v/>
      </c>
      <c r="CC18">
        <f t="shared" ca="1" si="26"/>
        <v>0</v>
      </c>
    </row>
    <row r="19" spans="2:8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3"/>
      <c r="AY19" s="52"/>
      <c r="AZ19" s="52"/>
      <c r="BA19" s="52"/>
      <c r="BB19" s="52">
        <f t="shared" si="1"/>
        <v>0</v>
      </c>
      <c r="BC19" s="52">
        <f t="shared" si="2"/>
        <v>0</v>
      </c>
      <c r="BE19">
        <f ca="1">'Monthly Collection-2026'!CC19</f>
        <v>0</v>
      </c>
      <c r="BF19" t="str">
        <f t="shared" ca="1" si="3"/>
        <v/>
      </c>
      <c r="BG19">
        <f t="shared" ca="1" si="4"/>
        <v>0</v>
      </c>
      <c r="BH19" t="str">
        <f t="shared" ca="1" si="5"/>
        <v/>
      </c>
      <c r="BI19">
        <f t="shared" ca="1" si="6"/>
        <v>0</v>
      </c>
      <c r="BJ19" t="str">
        <f t="shared" ca="1" si="7"/>
        <v/>
      </c>
      <c r="BK19">
        <f t="shared" ca="1" si="8"/>
        <v>0</v>
      </c>
      <c r="BL19" t="str">
        <f t="shared" ca="1" si="9"/>
        <v/>
      </c>
      <c r="BM19">
        <f t="shared" ca="1" si="10"/>
        <v>0</v>
      </c>
      <c r="BN19" t="str">
        <f t="shared" ca="1" si="11"/>
        <v/>
      </c>
      <c r="BO19">
        <f t="shared" ca="1" si="12"/>
        <v>0</v>
      </c>
      <c r="BP19" t="str">
        <f t="shared" ca="1" si="13"/>
        <v/>
      </c>
      <c r="BQ19">
        <f t="shared" ca="1" si="14"/>
        <v>0</v>
      </c>
      <c r="BR19" t="str">
        <f t="shared" ca="1" si="15"/>
        <v/>
      </c>
      <c r="BS19">
        <f t="shared" ca="1" si="16"/>
        <v>0</v>
      </c>
      <c r="BT19" t="str">
        <f t="shared" ca="1" si="17"/>
        <v/>
      </c>
      <c r="BU19">
        <f t="shared" ca="1" si="18"/>
        <v>0</v>
      </c>
      <c r="BV19" t="str">
        <f t="shared" ca="1" si="19"/>
        <v/>
      </c>
      <c r="BW19">
        <f t="shared" ca="1" si="20"/>
        <v>0</v>
      </c>
      <c r="BX19" t="str">
        <f t="shared" ca="1" si="21"/>
        <v/>
      </c>
      <c r="BY19">
        <f t="shared" ca="1" si="22"/>
        <v>0</v>
      </c>
      <c r="BZ19" t="str">
        <f t="shared" ca="1" si="23"/>
        <v/>
      </c>
      <c r="CA19">
        <f t="shared" ca="1" si="24"/>
        <v>0</v>
      </c>
      <c r="CB19" t="str">
        <f t="shared" ca="1" si="25"/>
        <v/>
      </c>
      <c r="CC19">
        <f t="shared" ca="1" si="26"/>
        <v>0</v>
      </c>
    </row>
    <row r="20" spans="2:8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7"/>
      <c r="AY20" s="56"/>
      <c r="AZ20" s="56"/>
      <c r="BA20" s="56"/>
      <c r="BB20" s="56">
        <f t="shared" si="1"/>
        <v>0</v>
      </c>
      <c r="BC20" s="56">
        <f t="shared" si="2"/>
        <v>0</v>
      </c>
      <c r="BE20">
        <f ca="1">'Monthly Collection-2026'!CC20</f>
        <v>0</v>
      </c>
      <c r="BF20" t="str">
        <f t="shared" ca="1" si="3"/>
        <v/>
      </c>
      <c r="BG20">
        <f t="shared" ca="1" si="4"/>
        <v>0</v>
      </c>
      <c r="BH20" t="str">
        <f t="shared" ca="1" si="5"/>
        <v/>
      </c>
      <c r="BI20">
        <f t="shared" ca="1" si="6"/>
        <v>0</v>
      </c>
      <c r="BJ20" t="str">
        <f t="shared" ca="1" si="7"/>
        <v/>
      </c>
      <c r="BK20">
        <f t="shared" ca="1" si="8"/>
        <v>0</v>
      </c>
      <c r="BL20" t="str">
        <f t="shared" ca="1" si="9"/>
        <v/>
      </c>
      <c r="BM20">
        <f t="shared" ca="1" si="10"/>
        <v>0</v>
      </c>
      <c r="BN20" t="str">
        <f t="shared" ca="1" si="11"/>
        <v/>
      </c>
      <c r="BO20">
        <f t="shared" ca="1" si="12"/>
        <v>0</v>
      </c>
      <c r="BP20" t="str">
        <f t="shared" ca="1" si="13"/>
        <v/>
      </c>
      <c r="BQ20">
        <f t="shared" ca="1" si="14"/>
        <v>0</v>
      </c>
      <c r="BR20" t="str">
        <f t="shared" ca="1" si="15"/>
        <v/>
      </c>
      <c r="BS20">
        <f t="shared" ca="1" si="16"/>
        <v>0</v>
      </c>
      <c r="BT20" t="str">
        <f t="shared" ca="1" si="17"/>
        <v/>
      </c>
      <c r="BU20">
        <f t="shared" ca="1" si="18"/>
        <v>0</v>
      </c>
      <c r="BV20" t="str">
        <f t="shared" ca="1" si="19"/>
        <v/>
      </c>
      <c r="BW20">
        <f t="shared" ca="1" si="20"/>
        <v>0</v>
      </c>
      <c r="BX20" t="str">
        <f t="shared" ca="1" si="21"/>
        <v/>
      </c>
      <c r="BY20">
        <f t="shared" ca="1" si="22"/>
        <v>0</v>
      </c>
      <c r="BZ20" t="str">
        <f t="shared" ca="1" si="23"/>
        <v/>
      </c>
      <c r="CA20">
        <f t="shared" ca="1" si="24"/>
        <v>0</v>
      </c>
      <c r="CB20" t="str">
        <f t="shared" ca="1" si="25"/>
        <v/>
      </c>
      <c r="CC20">
        <f t="shared" ca="1" si="26"/>
        <v>0</v>
      </c>
    </row>
    <row r="21" spans="2:8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3"/>
      <c r="AY21" s="52"/>
      <c r="AZ21" s="52"/>
      <c r="BA21" s="52"/>
      <c r="BB21" s="52">
        <f t="shared" si="1"/>
        <v>0</v>
      </c>
      <c r="BC21" s="52">
        <f t="shared" si="2"/>
        <v>0</v>
      </c>
      <c r="BE21">
        <f ca="1">'Monthly Collection-2026'!CC21</f>
        <v>0</v>
      </c>
      <c r="BF21" t="str">
        <f t="shared" ca="1" si="3"/>
        <v/>
      </c>
      <c r="BG21">
        <f t="shared" ca="1" si="4"/>
        <v>0</v>
      </c>
      <c r="BH21" t="str">
        <f t="shared" ca="1" si="5"/>
        <v/>
      </c>
      <c r="BI21">
        <f t="shared" ca="1" si="6"/>
        <v>0</v>
      </c>
      <c r="BJ21" t="str">
        <f t="shared" ca="1" si="7"/>
        <v/>
      </c>
      <c r="BK21">
        <f t="shared" ca="1" si="8"/>
        <v>0</v>
      </c>
      <c r="BL21" t="str">
        <f t="shared" ca="1" si="9"/>
        <v/>
      </c>
      <c r="BM21">
        <f t="shared" ca="1" si="10"/>
        <v>0</v>
      </c>
      <c r="BN21" t="str">
        <f t="shared" ca="1" si="11"/>
        <v/>
      </c>
      <c r="BO21">
        <f t="shared" ca="1" si="12"/>
        <v>0</v>
      </c>
      <c r="BP21" t="str">
        <f t="shared" ca="1" si="13"/>
        <v/>
      </c>
      <c r="BQ21">
        <f t="shared" ca="1" si="14"/>
        <v>0</v>
      </c>
      <c r="BR21" t="str">
        <f t="shared" ca="1" si="15"/>
        <v/>
      </c>
      <c r="BS21">
        <f t="shared" ca="1" si="16"/>
        <v>0</v>
      </c>
      <c r="BT21" t="str">
        <f t="shared" ca="1" si="17"/>
        <v/>
      </c>
      <c r="BU21">
        <f t="shared" ca="1" si="18"/>
        <v>0</v>
      </c>
      <c r="BV21" t="str">
        <f t="shared" ca="1" si="19"/>
        <v/>
      </c>
      <c r="BW21">
        <f t="shared" ca="1" si="20"/>
        <v>0</v>
      </c>
      <c r="BX21" t="str">
        <f t="shared" ca="1" si="21"/>
        <v/>
      </c>
      <c r="BY21">
        <f t="shared" ca="1" si="22"/>
        <v>0</v>
      </c>
      <c r="BZ21" t="str">
        <f t="shared" ca="1" si="23"/>
        <v/>
      </c>
      <c r="CA21">
        <f t="shared" ca="1" si="24"/>
        <v>0</v>
      </c>
      <c r="CB21" t="str">
        <f t="shared" ca="1" si="25"/>
        <v/>
      </c>
      <c r="CC21">
        <f t="shared" ca="1" si="26"/>
        <v>0</v>
      </c>
    </row>
    <row r="22" spans="2:8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7"/>
      <c r="AY22" s="56"/>
      <c r="AZ22" s="56"/>
      <c r="BA22" s="56"/>
      <c r="BB22" s="56">
        <f t="shared" si="1"/>
        <v>0</v>
      </c>
      <c r="BC22" s="56">
        <f t="shared" si="2"/>
        <v>0</v>
      </c>
      <c r="BE22">
        <f ca="1">'Monthly Collection-2026'!CC22</f>
        <v>0</v>
      </c>
      <c r="BF22" t="str">
        <f t="shared" ca="1" si="3"/>
        <v/>
      </c>
      <c r="BG22">
        <f t="shared" ca="1" si="4"/>
        <v>0</v>
      </c>
      <c r="BH22" t="str">
        <f t="shared" ca="1" si="5"/>
        <v/>
      </c>
      <c r="BI22">
        <f t="shared" ca="1" si="6"/>
        <v>0</v>
      </c>
      <c r="BJ22" t="str">
        <f t="shared" ca="1" si="7"/>
        <v/>
      </c>
      <c r="BK22">
        <f t="shared" ca="1" si="8"/>
        <v>0</v>
      </c>
      <c r="BL22" t="str">
        <f t="shared" ca="1" si="9"/>
        <v/>
      </c>
      <c r="BM22">
        <f t="shared" ca="1" si="10"/>
        <v>0</v>
      </c>
      <c r="BN22" t="str">
        <f t="shared" ca="1" si="11"/>
        <v/>
      </c>
      <c r="BO22">
        <f t="shared" ca="1" si="12"/>
        <v>0</v>
      </c>
      <c r="BP22" t="str">
        <f t="shared" ca="1" si="13"/>
        <v/>
      </c>
      <c r="BQ22">
        <f t="shared" ca="1" si="14"/>
        <v>0</v>
      </c>
      <c r="BR22" t="str">
        <f t="shared" ca="1" si="15"/>
        <v/>
      </c>
      <c r="BS22">
        <f t="shared" ca="1" si="16"/>
        <v>0</v>
      </c>
      <c r="BT22" t="str">
        <f t="shared" ca="1" si="17"/>
        <v/>
      </c>
      <c r="BU22">
        <f t="shared" ca="1" si="18"/>
        <v>0</v>
      </c>
      <c r="BV22" t="str">
        <f t="shared" ca="1" si="19"/>
        <v/>
      </c>
      <c r="BW22">
        <f t="shared" ca="1" si="20"/>
        <v>0</v>
      </c>
      <c r="BX22" t="str">
        <f t="shared" ca="1" si="21"/>
        <v/>
      </c>
      <c r="BY22">
        <f t="shared" ca="1" si="22"/>
        <v>0</v>
      </c>
      <c r="BZ22" t="str">
        <f t="shared" ca="1" si="23"/>
        <v/>
      </c>
      <c r="CA22">
        <f t="shared" ca="1" si="24"/>
        <v>0</v>
      </c>
      <c r="CB22" t="str">
        <f t="shared" ca="1" si="25"/>
        <v/>
      </c>
      <c r="CC22">
        <f t="shared" ca="1" si="26"/>
        <v>0</v>
      </c>
    </row>
    <row r="23" spans="2:8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3"/>
      <c r="AY23" s="52"/>
      <c r="AZ23" s="52"/>
      <c r="BA23" s="52"/>
      <c r="BB23" s="52">
        <f t="shared" si="1"/>
        <v>0</v>
      </c>
      <c r="BC23" s="52">
        <f t="shared" si="2"/>
        <v>0</v>
      </c>
      <c r="BE23">
        <f ca="1">'Monthly Collection-2026'!CC23</f>
        <v>0</v>
      </c>
      <c r="BF23" t="str">
        <f t="shared" ca="1" si="3"/>
        <v/>
      </c>
      <c r="BG23">
        <f t="shared" ca="1" si="4"/>
        <v>0</v>
      </c>
      <c r="BH23" t="str">
        <f t="shared" ca="1" si="5"/>
        <v/>
      </c>
      <c r="BI23">
        <f t="shared" ca="1" si="6"/>
        <v>0</v>
      </c>
      <c r="BJ23" t="str">
        <f t="shared" ca="1" si="7"/>
        <v/>
      </c>
      <c r="BK23">
        <f t="shared" ca="1" si="8"/>
        <v>0</v>
      </c>
      <c r="BL23" t="str">
        <f t="shared" ca="1" si="9"/>
        <v/>
      </c>
      <c r="BM23">
        <f t="shared" ca="1" si="10"/>
        <v>0</v>
      </c>
      <c r="BN23" t="str">
        <f t="shared" ca="1" si="11"/>
        <v/>
      </c>
      <c r="BO23">
        <f t="shared" ca="1" si="12"/>
        <v>0</v>
      </c>
      <c r="BP23" t="str">
        <f t="shared" ca="1" si="13"/>
        <v/>
      </c>
      <c r="BQ23">
        <f t="shared" ca="1" si="14"/>
        <v>0</v>
      </c>
      <c r="BR23" t="str">
        <f t="shared" ca="1" si="15"/>
        <v/>
      </c>
      <c r="BS23">
        <f t="shared" ca="1" si="16"/>
        <v>0</v>
      </c>
      <c r="BT23" t="str">
        <f t="shared" ca="1" si="17"/>
        <v/>
      </c>
      <c r="BU23">
        <f t="shared" ca="1" si="18"/>
        <v>0</v>
      </c>
      <c r="BV23" t="str">
        <f t="shared" ca="1" si="19"/>
        <v/>
      </c>
      <c r="BW23">
        <f t="shared" ca="1" si="20"/>
        <v>0</v>
      </c>
      <c r="BX23" t="str">
        <f t="shared" ca="1" si="21"/>
        <v/>
      </c>
      <c r="BY23">
        <f t="shared" ca="1" si="22"/>
        <v>0</v>
      </c>
      <c r="BZ23" t="str">
        <f t="shared" ca="1" si="23"/>
        <v/>
      </c>
      <c r="CA23">
        <f t="shared" ca="1" si="24"/>
        <v>0</v>
      </c>
      <c r="CB23" t="str">
        <f t="shared" ca="1" si="25"/>
        <v/>
      </c>
      <c r="CC23">
        <f t="shared" ca="1" si="26"/>
        <v>0</v>
      </c>
    </row>
    <row r="24" spans="2:8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7"/>
      <c r="AY24" s="56"/>
      <c r="AZ24" s="56"/>
      <c r="BA24" s="56"/>
      <c r="BB24" s="56">
        <f t="shared" si="1"/>
        <v>0</v>
      </c>
      <c r="BC24" s="56">
        <f t="shared" si="2"/>
        <v>0</v>
      </c>
      <c r="BE24">
        <f ca="1">'Monthly Collection-2026'!CC24</f>
        <v>0</v>
      </c>
      <c r="BF24" t="str">
        <f t="shared" ca="1" si="3"/>
        <v/>
      </c>
      <c r="BG24">
        <f t="shared" ca="1" si="4"/>
        <v>0</v>
      </c>
      <c r="BH24" t="str">
        <f t="shared" ca="1" si="5"/>
        <v/>
      </c>
      <c r="BI24">
        <f t="shared" ca="1" si="6"/>
        <v>0</v>
      </c>
      <c r="BJ24" t="str">
        <f t="shared" ca="1" si="7"/>
        <v/>
      </c>
      <c r="BK24">
        <f t="shared" ca="1" si="8"/>
        <v>0</v>
      </c>
      <c r="BL24" t="str">
        <f t="shared" ca="1" si="9"/>
        <v/>
      </c>
      <c r="BM24">
        <f t="shared" ca="1" si="10"/>
        <v>0</v>
      </c>
      <c r="BN24" t="str">
        <f t="shared" ca="1" si="11"/>
        <v/>
      </c>
      <c r="BO24">
        <f t="shared" ca="1" si="12"/>
        <v>0</v>
      </c>
      <c r="BP24" t="str">
        <f t="shared" ca="1" si="13"/>
        <v/>
      </c>
      <c r="BQ24">
        <f t="shared" ca="1" si="14"/>
        <v>0</v>
      </c>
      <c r="BR24" t="str">
        <f t="shared" ca="1" si="15"/>
        <v/>
      </c>
      <c r="BS24">
        <f t="shared" ca="1" si="16"/>
        <v>0</v>
      </c>
      <c r="BT24" t="str">
        <f t="shared" ca="1" si="17"/>
        <v/>
      </c>
      <c r="BU24">
        <f t="shared" ca="1" si="18"/>
        <v>0</v>
      </c>
      <c r="BV24" t="str">
        <f t="shared" ca="1" si="19"/>
        <v/>
      </c>
      <c r="BW24">
        <f t="shared" ca="1" si="20"/>
        <v>0</v>
      </c>
      <c r="BX24" t="str">
        <f t="shared" ca="1" si="21"/>
        <v/>
      </c>
      <c r="BY24">
        <f t="shared" ca="1" si="22"/>
        <v>0</v>
      </c>
      <c r="BZ24" t="str">
        <f t="shared" ca="1" si="23"/>
        <v/>
      </c>
      <c r="CA24">
        <f t="shared" ca="1" si="24"/>
        <v>0</v>
      </c>
      <c r="CB24" t="str">
        <f t="shared" ca="1" si="25"/>
        <v/>
      </c>
      <c r="CC24">
        <f t="shared" ca="1" si="26"/>
        <v>0</v>
      </c>
    </row>
    <row r="25" spans="2:8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3"/>
      <c r="AY25" s="52"/>
      <c r="AZ25" s="52"/>
      <c r="BA25" s="52"/>
      <c r="BB25" s="52">
        <f t="shared" si="1"/>
        <v>0</v>
      </c>
      <c r="BC25" s="52">
        <f t="shared" si="2"/>
        <v>0</v>
      </c>
      <c r="BE25">
        <f ca="1">'Monthly Collection-2026'!CC25</f>
        <v>0</v>
      </c>
      <c r="BF25" t="str">
        <f t="shared" ca="1" si="3"/>
        <v/>
      </c>
      <c r="BG25">
        <f t="shared" ca="1" si="4"/>
        <v>0</v>
      </c>
      <c r="BH25" t="str">
        <f t="shared" ca="1" si="5"/>
        <v/>
      </c>
      <c r="BI25">
        <f t="shared" ca="1" si="6"/>
        <v>0</v>
      </c>
      <c r="BJ25" t="str">
        <f t="shared" ca="1" si="7"/>
        <v/>
      </c>
      <c r="BK25">
        <f t="shared" ca="1" si="8"/>
        <v>0</v>
      </c>
      <c r="BL25" t="str">
        <f t="shared" ca="1" si="9"/>
        <v/>
      </c>
      <c r="BM25">
        <f t="shared" ca="1" si="10"/>
        <v>0</v>
      </c>
      <c r="BN25" t="str">
        <f t="shared" ca="1" si="11"/>
        <v/>
      </c>
      <c r="BO25">
        <f t="shared" ca="1" si="12"/>
        <v>0</v>
      </c>
      <c r="BP25" t="str">
        <f t="shared" ca="1" si="13"/>
        <v/>
      </c>
      <c r="BQ25">
        <f t="shared" ca="1" si="14"/>
        <v>0</v>
      </c>
      <c r="BR25" t="str">
        <f t="shared" ca="1" si="15"/>
        <v/>
      </c>
      <c r="BS25">
        <f t="shared" ca="1" si="16"/>
        <v>0</v>
      </c>
      <c r="BT25" t="str">
        <f t="shared" ca="1" si="17"/>
        <v/>
      </c>
      <c r="BU25">
        <f t="shared" ca="1" si="18"/>
        <v>0</v>
      </c>
      <c r="BV25" t="str">
        <f t="shared" ca="1" si="19"/>
        <v/>
      </c>
      <c r="BW25">
        <f t="shared" ca="1" si="20"/>
        <v>0</v>
      </c>
      <c r="BX25" t="str">
        <f t="shared" ca="1" si="21"/>
        <v/>
      </c>
      <c r="BY25">
        <f t="shared" ca="1" si="22"/>
        <v>0</v>
      </c>
      <c r="BZ25" t="str">
        <f t="shared" ca="1" si="23"/>
        <v/>
      </c>
      <c r="CA25">
        <f t="shared" ca="1" si="24"/>
        <v>0</v>
      </c>
      <c r="CB25" t="str">
        <f t="shared" ca="1" si="25"/>
        <v/>
      </c>
      <c r="CC25">
        <f t="shared" ca="1" si="26"/>
        <v>0</v>
      </c>
    </row>
    <row r="26" spans="2:8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7"/>
      <c r="AY26" s="56"/>
      <c r="AZ26" s="56"/>
      <c r="BA26" s="56"/>
      <c r="BB26" s="56">
        <f t="shared" si="1"/>
        <v>0</v>
      </c>
      <c r="BC26" s="56">
        <f t="shared" si="2"/>
        <v>0</v>
      </c>
      <c r="BE26">
        <f ca="1">'Monthly Collection-2026'!CC26</f>
        <v>0</v>
      </c>
      <c r="BF26" t="str">
        <f t="shared" ca="1" si="3"/>
        <v/>
      </c>
      <c r="BG26">
        <f t="shared" ca="1" si="4"/>
        <v>0</v>
      </c>
      <c r="BH26" t="str">
        <f t="shared" ca="1" si="5"/>
        <v/>
      </c>
      <c r="BI26">
        <f t="shared" ca="1" si="6"/>
        <v>0</v>
      </c>
      <c r="BJ26" t="str">
        <f t="shared" ca="1" si="7"/>
        <v/>
      </c>
      <c r="BK26">
        <f t="shared" ca="1" si="8"/>
        <v>0</v>
      </c>
      <c r="BL26" t="str">
        <f t="shared" ca="1" si="9"/>
        <v/>
      </c>
      <c r="BM26">
        <f t="shared" ca="1" si="10"/>
        <v>0</v>
      </c>
      <c r="BN26" t="str">
        <f t="shared" ca="1" si="11"/>
        <v/>
      </c>
      <c r="BO26">
        <f t="shared" ca="1" si="12"/>
        <v>0</v>
      </c>
      <c r="BP26" t="str">
        <f t="shared" ca="1" si="13"/>
        <v/>
      </c>
      <c r="BQ26">
        <f t="shared" ca="1" si="14"/>
        <v>0</v>
      </c>
      <c r="BR26" t="str">
        <f t="shared" ca="1" si="15"/>
        <v/>
      </c>
      <c r="BS26">
        <f t="shared" ca="1" si="16"/>
        <v>0</v>
      </c>
      <c r="BT26" t="str">
        <f t="shared" ca="1" si="17"/>
        <v/>
      </c>
      <c r="BU26">
        <f t="shared" ca="1" si="18"/>
        <v>0</v>
      </c>
      <c r="BV26" t="str">
        <f t="shared" ca="1" si="19"/>
        <v/>
      </c>
      <c r="BW26">
        <f t="shared" ca="1" si="20"/>
        <v>0</v>
      </c>
      <c r="BX26" t="str">
        <f t="shared" ca="1" si="21"/>
        <v/>
      </c>
      <c r="BY26">
        <f t="shared" ca="1" si="22"/>
        <v>0</v>
      </c>
      <c r="BZ26" t="str">
        <f t="shared" ca="1" si="23"/>
        <v/>
      </c>
      <c r="CA26">
        <f t="shared" ca="1" si="24"/>
        <v>0</v>
      </c>
      <c r="CB26" t="str">
        <f t="shared" ca="1" si="25"/>
        <v/>
      </c>
      <c r="CC26">
        <f t="shared" ca="1" si="26"/>
        <v>0</v>
      </c>
    </row>
    <row r="27" spans="2:8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3"/>
      <c r="AY27" s="52"/>
      <c r="AZ27" s="52"/>
      <c r="BA27" s="52"/>
      <c r="BB27" s="52">
        <f t="shared" si="1"/>
        <v>0</v>
      </c>
      <c r="BC27" s="52">
        <f t="shared" si="2"/>
        <v>0</v>
      </c>
      <c r="BE27">
        <f ca="1">'Monthly Collection-2026'!CC27</f>
        <v>0</v>
      </c>
      <c r="BF27" t="str">
        <f t="shared" ca="1" si="3"/>
        <v/>
      </c>
      <c r="BG27">
        <f t="shared" ca="1" si="4"/>
        <v>0</v>
      </c>
      <c r="BH27" t="str">
        <f t="shared" ca="1" si="5"/>
        <v/>
      </c>
      <c r="BI27">
        <f t="shared" ca="1" si="6"/>
        <v>0</v>
      </c>
      <c r="BJ27" t="str">
        <f t="shared" ca="1" si="7"/>
        <v/>
      </c>
      <c r="BK27">
        <f t="shared" ca="1" si="8"/>
        <v>0</v>
      </c>
      <c r="BL27" t="str">
        <f t="shared" ca="1" si="9"/>
        <v/>
      </c>
      <c r="BM27">
        <f t="shared" ca="1" si="10"/>
        <v>0</v>
      </c>
      <c r="BN27" t="str">
        <f t="shared" ca="1" si="11"/>
        <v/>
      </c>
      <c r="BO27">
        <f t="shared" ca="1" si="12"/>
        <v>0</v>
      </c>
      <c r="BP27" t="str">
        <f t="shared" ca="1" si="13"/>
        <v/>
      </c>
      <c r="BQ27">
        <f t="shared" ca="1" si="14"/>
        <v>0</v>
      </c>
      <c r="BR27" t="str">
        <f t="shared" ca="1" si="15"/>
        <v/>
      </c>
      <c r="BS27">
        <f t="shared" ca="1" si="16"/>
        <v>0</v>
      </c>
      <c r="BT27" t="str">
        <f t="shared" ca="1" si="17"/>
        <v/>
      </c>
      <c r="BU27">
        <f t="shared" ca="1" si="18"/>
        <v>0</v>
      </c>
      <c r="BV27" t="str">
        <f t="shared" ca="1" si="19"/>
        <v/>
      </c>
      <c r="BW27">
        <f t="shared" ca="1" si="20"/>
        <v>0</v>
      </c>
      <c r="BX27" t="str">
        <f t="shared" ca="1" si="21"/>
        <v/>
      </c>
      <c r="BY27">
        <f t="shared" ca="1" si="22"/>
        <v>0</v>
      </c>
      <c r="BZ27" t="str">
        <f t="shared" ca="1" si="23"/>
        <v/>
      </c>
      <c r="CA27">
        <f t="shared" ca="1" si="24"/>
        <v>0</v>
      </c>
      <c r="CB27" t="str">
        <f t="shared" ca="1" si="25"/>
        <v/>
      </c>
      <c r="CC27">
        <f t="shared" ca="1" si="26"/>
        <v>0</v>
      </c>
    </row>
    <row r="28" spans="2:8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7"/>
      <c r="AY28" s="56"/>
      <c r="AZ28" s="56"/>
      <c r="BA28" s="56"/>
      <c r="BB28" s="56">
        <f t="shared" si="1"/>
        <v>0</v>
      </c>
      <c r="BC28" s="56">
        <f t="shared" si="2"/>
        <v>0</v>
      </c>
      <c r="BE28">
        <f ca="1">'Monthly Collection-2026'!CC28</f>
        <v>0</v>
      </c>
      <c r="BF28" t="str">
        <f t="shared" ca="1" si="3"/>
        <v/>
      </c>
      <c r="BG28">
        <f t="shared" ca="1" si="4"/>
        <v>0</v>
      </c>
      <c r="BH28" t="str">
        <f t="shared" ca="1" si="5"/>
        <v/>
      </c>
      <c r="BI28">
        <f t="shared" ca="1" si="6"/>
        <v>0</v>
      </c>
      <c r="BJ28" t="str">
        <f t="shared" ca="1" si="7"/>
        <v/>
      </c>
      <c r="BK28">
        <f t="shared" ca="1" si="8"/>
        <v>0</v>
      </c>
      <c r="BL28" t="str">
        <f t="shared" ca="1" si="9"/>
        <v/>
      </c>
      <c r="BM28">
        <f t="shared" ca="1" si="10"/>
        <v>0</v>
      </c>
      <c r="BN28" t="str">
        <f t="shared" ca="1" si="11"/>
        <v/>
      </c>
      <c r="BO28">
        <f t="shared" ca="1" si="12"/>
        <v>0</v>
      </c>
      <c r="BP28" t="str">
        <f t="shared" ca="1" si="13"/>
        <v/>
      </c>
      <c r="BQ28">
        <f t="shared" ca="1" si="14"/>
        <v>0</v>
      </c>
      <c r="BR28" t="str">
        <f t="shared" ca="1" si="15"/>
        <v/>
      </c>
      <c r="BS28">
        <f t="shared" ca="1" si="16"/>
        <v>0</v>
      </c>
      <c r="BT28" t="str">
        <f t="shared" ca="1" si="17"/>
        <v/>
      </c>
      <c r="BU28">
        <f t="shared" ca="1" si="18"/>
        <v>0</v>
      </c>
      <c r="BV28" t="str">
        <f t="shared" ca="1" si="19"/>
        <v/>
      </c>
      <c r="BW28">
        <f t="shared" ca="1" si="20"/>
        <v>0</v>
      </c>
      <c r="BX28" t="str">
        <f t="shared" ca="1" si="21"/>
        <v/>
      </c>
      <c r="BY28">
        <f t="shared" ca="1" si="22"/>
        <v>0</v>
      </c>
      <c r="BZ28" t="str">
        <f t="shared" ca="1" si="23"/>
        <v/>
      </c>
      <c r="CA28">
        <f t="shared" ca="1" si="24"/>
        <v>0</v>
      </c>
      <c r="CB28" t="str">
        <f t="shared" ca="1" si="25"/>
        <v/>
      </c>
      <c r="CC28">
        <f t="shared" ca="1" si="26"/>
        <v>0</v>
      </c>
    </row>
    <row r="29" spans="2:8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3"/>
      <c r="AY29" s="52"/>
      <c r="AZ29" s="52"/>
      <c r="BA29" s="52"/>
      <c r="BB29" s="52">
        <f t="shared" si="1"/>
        <v>0</v>
      </c>
      <c r="BC29" s="52">
        <f t="shared" si="2"/>
        <v>0</v>
      </c>
      <c r="BE29">
        <f ca="1">'Monthly Collection-2026'!CC29</f>
        <v>0</v>
      </c>
      <c r="BF29" t="str">
        <f t="shared" ca="1" si="3"/>
        <v/>
      </c>
      <c r="BG29">
        <f t="shared" ca="1" si="4"/>
        <v>0</v>
      </c>
      <c r="BH29" t="str">
        <f t="shared" ca="1" si="5"/>
        <v/>
      </c>
      <c r="BI29">
        <f t="shared" ca="1" si="6"/>
        <v>0</v>
      </c>
      <c r="BJ29" t="str">
        <f t="shared" ca="1" si="7"/>
        <v/>
      </c>
      <c r="BK29">
        <f t="shared" ca="1" si="8"/>
        <v>0</v>
      </c>
      <c r="BL29" t="str">
        <f t="shared" ca="1" si="9"/>
        <v/>
      </c>
      <c r="BM29">
        <f t="shared" ca="1" si="10"/>
        <v>0</v>
      </c>
      <c r="BN29" t="str">
        <f t="shared" ca="1" si="11"/>
        <v/>
      </c>
      <c r="BO29">
        <f t="shared" ca="1" si="12"/>
        <v>0</v>
      </c>
      <c r="BP29" t="str">
        <f t="shared" ca="1" si="13"/>
        <v/>
      </c>
      <c r="BQ29">
        <f t="shared" ca="1" si="14"/>
        <v>0</v>
      </c>
      <c r="BR29" t="str">
        <f t="shared" ca="1" si="15"/>
        <v/>
      </c>
      <c r="BS29">
        <f t="shared" ca="1" si="16"/>
        <v>0</v>
      </c>
      <c r="BT29" t="str">
        <f t="shared" ca="1" si="17"/>
        <v/>
      </c>
      <c r="BU29">
        <f t="shared" ca="1" si="18"/>
        <v>0</v>
      </c>
      <c r="BV29" t="str">
        <f t="shared" ca="1" si="19"/>
        <v/>
      </c>
      <c r="BW29">
        <f t="shared" ca="1" si="20"/>
        <v>0</v>
      </c>
      <c r="BX29" t="str">
        <f t="shared" ca="1" si="21"/>
        <v/>
      </c>
      <c r="BY29">
        <f t="shared" ca="1" si="22"/>
        <v>0</v>
      </c>
      <c r="BZ29" t="str">
        <f t="shared" ca="1" si="23"/>
        <v/>
      </c>
      <c r="CA29">
        <f t="shared" ca="1" si="24"/>
        <v>0</v>
      </c>
      <c r="CB29" t="str">
        <f t="shared" ca="1" si="25"/>
        <v/>
      </c>
      <c r="CC29">
        <f t="shared" ca="1" si="26"/>
        <v>0</v>
      </c>
    </row>
    <row r="30" spans="2:8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7"/>
      <c r="AY30" s="56"/>
      <c r="AZ30" s="56"/>
      <c r="BA30" s="56"/>
      <c r="BB30" s="56">
        <f t="shared" si="1"/>
        <v>0</v>
      </c>
      <c r="BC30" s="56">
        <f t="shared" si="2"/>
        <v>0</v>
      </c>
      <c r="BE30">
        <f ca="1">'Monthly Collection-2026'!CC30</f>
        <v>0</v>
      </c>
      <c r="BF30" t="str">
        <f t="shared" ca="1" si="3"/>
        <v/>
      </c>
      <c r="BG30">
        <f t="shared" ca="1" si="4"/>
        <v>0</v>
      </c>
      <c r="BH30" t="str">
        <f t="shared" ca="1" si="5"/>
        <v/>
      </c>
      <c r="BI30">
        <f t="shared" ca="1" si="6"/>
        <v>0</v>
      </c>
      <c r="BJ30" t="str">
        <f t="shared" ca="1" si="7"/>
        <v/>
      </c>
      <c r="BK30">
        <f t="shared" ca="1" si="8"/>
        <v>0</v>
      </c>
      <c r="BL30" t="str">
        <f t="shared" ca="1" si="9"/>
        <v/>
      </c>
      <c r="BM30">
        <f t="shared" ca="1" si="10"/>
        <v>0</v>
      </c>
      <c r="BN30" t="str">
        <f t="shared" ca="1" si="11"/>
        <v/>
      </c>
      <c r="BO30">
        <f t="shared" ca="1" si="12"/>
        <v>0</v>
      </c>
      <c r="BP30" t="str">
        <f t="shared" ca="1" si="13"/>
        <v/>
      </c>
      <c r="BQ30">
        <f t="shared" ca="1" si="14"/>
        <v>0</v>
      </c>
      <c r="BR30" t="str">
        <f t="shared" ca="1" si="15"/>
        <v/>
      </c>
      <c r="BS30">
        <f t="shared" ca="1" si="16"/>
        <v>0</v>
      </c>
      <c r="BT30" t="str">
        <f t="shared" ca="1" si="17"/>
        <v/>
      </c>
      <c r="BU30">
        <f t="shared" ca="1" si="18"/>
        <v>0</v>
      </c>
      <c r="BV30" t="str">
        <f t="shared" ca="1" si="19"/>
        <v/>
      </c>
      <c r="BW30">
        <f t="shared" ca="1" si="20"/>
        <v>0</v>
      </c>
      <c r="BX30" t="str">
        <f t="shared" ca="1" si="21"/>
        <v/>
      </c>
      <c r="BY30">
        <f t="shared" ca="1" si="22"/>
        <v>0</v>
      </c>
      <c r="BZ30" t="str">
        <f t="shared" ca="1" si="23"/>
        <v/>
      </c>
      <c r="CA30">
        <f t="shared" ca="1" si="24"/>
        <v>0</v>
      </c>
      <c r="CB30" t="str">
        <f t="shared" ca="1" si="25"/>
        <v/>
      </c>
      <c r="CC30">
        <f t="shared" ca="1" si="26"/>
        <v>0</v>
      </c>
    </row>
    <row r="31" spans="2:8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3"/>
      <c r="AY31" s="52"/>
      <c r="AZ31" s="52"/>
      <c r="BA31" s="52"/>
      <c r="BB31" s="52">
        <f t="shared" si="1"/>
        <v>0</v>
      </c>
      <c r="BC31" s="52">
        <f t="shared" si="2"/>
        <v>0</v>
      </c>
      <c r="BE31">
        <f ca="1">'Monthly Collection-2026'!CC31</f>
        <v>0</v>
      </c>
      <c r="BF31" t="str">
        <f t="shared" ca="1" si="3"/>
        <v/>
      </c>
      <c r="BG31">
        <f t="shared" ca="1" si="4"/>
        <v>0</v>
      </c>
      <c r="BH31" t="str">
        <f t="shared" ca="1" si="5"/>
        <v/>
      </c>
      <c r="BI31">
        <f t="shared" ca="1" si="6"/>
        <v>0</v>
      </c>
      <c r="BJ31" t="str">
        <f t="shared" ca="1" si="7"/>
        <v/>
      </c>
      <c r="BK31">
        <f t="shared" ca="1" si="8"/>
        <v>0</v>
      </c>
      <c r="BL31" t="str">
        <f t="shared" ca="1" si="9"/>
        <v/>
      </c>
      <c r="BM31">
        <f t="shared" ca="1" si="10"/>
        <v>0</v>
      </c>
      <c r="BN31" t="str">
        <f t="shared" ca="1" si="11"/>
        <v/>
      </c>
      <c r="BO31">
        <f t="shared" ca="1" si="12"/>
        <v>0</v>
      </c>
      <c r="BP31" t="str">
        <f t="shared" ca="1" si="13"/>
        <v/>
      </c>
      <c r="BQ31">
        <f t="shared" ca="1" si="14"/>
        <v>0</v>
      </c>
      <c r="BR31" t="str">
        <f t="shared" ca="1" si="15"/>
        <v/>
      </c>
      <c r="BS31">
        <f t="shared" ca="1" si="16"/>
        <v>0</v>
      </c>
      <c r="BT31" t="str">
        <f t="shared" ca="1" si="17"/>
        <v/>
      </c>
      <c r="BU31">
        <f t="shared" ca="1" si="18"/>
        <v>0</v>
      </c>
      <c r="BV31" t="str">
        <f t="shared" ca="1" si="19"/>
        <v/>
      </c>
      <c r="BW31">
        <f t="shared" ca="1" si="20"/>
        <v>0</v>
      </c>
      <c r="BX31" t="str">
        <f t="shared" ca="1" si="21"/>
        <v/>
      </c>
      <c r="BY31">
        <f t="shared" ca="1" si="22"/>
        <v>0</v>
      </c>
      <c r="BZ31" t="str">
        <f t="shared" ca="1" si="23"/>
        <v/>
      </c>
      <c r="CA31">
        <f t="shared" ca="1" si="24"/>
        <v>0</v>
      </c>
      <c r="CB31" t="str">
        <f t="shared" ca="1" si="25"/>
        <v/>
      </c>
      <c r="CC31">
        <f t="shared" ca="1" si="26"/>
        <v>0</v>
      </c>
    </row>
    <row r="32" spans="2:8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7"/>
      <c r="AY32" s="56"/>
      <c r="AZ32" s="56"/>
      <c r="BA32" s="56"/>
      <c r="BB32" s="56">
        <f t="shared" si="1"/>
        <v>0</v>
      </c>
      <c r="BC32" s="56">
        <f t="shared" si="2"/>
        <v>0</v>
      </c>
      <c r="BE32">
        <f ca="1">'Monthly Collection-2026'!CC32</f>
        <v>0</v>
      </c>
      <c r="BF32" t="str">
        <f t="shared" ca="1" si="3"/>
        <v/>
      </c>
      <c r="BG32">
        <f t="shared" ca="1" si="4"/>
        <v>0</v>
      </c>
      <c r="BH32" t="str">
        <f t="shared" ca="1" si="5"/>
        <v/>
      </c>
      <c r="BI32">
        <f t="shared" ca="1" si="6"/>
        <v>0</v>
      </c>
      <c r="BJ32" t="str">
        <f t="shared" ca="1" si="7"/>
        <v/>
      </c>
      <c r="BK32">
        <f t="shared" ca="1" si="8"/>
        <v>0</v>
      </c>
      <c r="BL32" t="str">
        <f t="shared" ca="1" si="9"/>
        <v/>
      </c>
      <c r="BM32">
        <f t="shared" ca="1" si="10"/>
        <v>0</v>
      </c>
      <c r="BN32" t="str">
        <f t="shared" ca="1" si="11"/>
        <v/>
      </c>
      <c r="BO32">
        <f t="shared" ca="1" si="12"/>
        <v>0</v>
      </c>
      <c r="BP32" t="str">
        <f t="shared" ca="1" si="13"/>
        <v/>
      </c>
      <c r="BQ32">
        <f t="shared" ca="1" si="14"/>
        <v>0</v>
      </c>
      <c r="BR32" t="str">
        <f t="shared" ca="1" si="15"/>
        <v/>
      </c>
      <c r="BS32">
        <f t="shared" ca="1" si="16"/>
        <v>0</v>
      </c>
      <c r="BT32" t="str">
        <f t="shared" ca="1" si="17"/>
        <v/>
      </c>
      <c r="BU32">
        <f t="shared" ca="1" si="18"/>
        <v>0</v>
      </c>
      <c r="BV32" t="str">
        <f t="shared" ca="1" si="19"/>
        <v/>
      </c>
      <c r="BW32">
        <f t="shared" ca="1" si="20"/>
        <v>0</v>
      </c>
      <c r="BX32" t="str">
        <f t="shared" ca="1" si="21"/>
        <v/>
      </c>
      <c r="BY32">
        <f t="shared" ca="1" si="22"/>
        <v>0</v>
      </c>
      <c r="BZ32" t="str">
        <f t="shared" ca="1" si="23"/>
        <v/>
      </c>
      <c r="CA32">
        <f t="shared" ca="1" si="24"/>
        <v>0</v>
      </c>
      <c r="CB32" t="str">
        <f t="shared" ca="1" si="25"/>
        <v/>
      </c>
      <c r="CC32">
        <f t="shared" ca="1" si="26"/>
        <v>0</v>
      </c>
    </row>
    <row r="33" spans="2:8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3"/>
      <c r="AY33" s="52"/>
      <c r="AZ33" s="52"/>
      <c r="BA33" s="52"/>
      <c r="BB33" s="52">
        <f t="shared" si="1"/>
        <v>0</v>
      </c>
      <c r="BC33" s="52">
        <f t="shared" si="2"/>
        <v>0</v>
      </c>
      <c r="BE33">
        <f ca="1">'Monthly Collection-2026'!CC33</f>
        <v>0</v>
      </c>
      <c r="BF33" t="str">
        <f t="shared" ca="1" si="3"/>
        <v/>
      </c>
      <c r="BG33">
        <f t="shared" ca="1" si="4"/>
        <v>0</v>
      </c>
      <c r="BH33" t="str">
        <f t="shared" ca="1" si="5"/>
        <v/>
      </c>
      <c r="BI33">
        <f t="shared" ca="1" si="6"/>
        <v>0</v>
      </c>
      <c r="BJ33" t="str">
        <f t="shared" ca="1" si="7"/>
        <v/>
      </c>
      <c r="BK33">
        <f t="shared" ca="1" si="8"/>
        <v>0</v>
      </c>
      <c r="BL33" t="str">
        <f t="shared" ca="1" si="9"/>
        <v/>
      </c>
      <c r="BM33">
        <f t="shared" ca="1" si="10"/>
        <v>0</v>
      </c>
      <c r="BN33" t="str">
        <f t="shared" ca="1" si="11"/>
        <v/>
      </c>
      <c r="BO33">
        <f t="shared" ca="1" si="12"/>
        <v>0</v>
      </c>
      <c r="BP33" t="str">
        <f t="shared" ca="1" si="13"/>
        <v/>
      </c>
      <c r="BQ33">
        <f t="shared" ca="1" si="14"/>
        <v>0</v>
      </c>
      <c r="BR33" t="str">
        <f t="shared" ca="1" si="15"/>
        <v/>
      </c>
      <c r="BS33">
        <f t="shared" ca="1" si="16"/>
        <v>0</v>
      </c>
      <c r="BT33" t="str">
        <f t="shared" ca="1" si="17"/>
        <v/>
      </c>
      <c r="BU33">
        <f t="shared" ca="1" si="18"/>
        <v>0</v>
      </c>
      <c r="BV33" t="str">
        <f t="shared" ca="1" si="19"/>
        <v/>
      </c>
      <c r="BW33">
        <f t="shared" ca="1" si="20"/>
        <v>0</v>
      </c>
      <c r="BX33" t="str">
        <f t="shared" ca="1" si="21"/>
        <v/>
      </c>
      <c r="BY33">
        <f t="shared" ca="1" si="22"/>
        <v>0</v>
      </c>
      <c r="BZ33" t="str">
        <f t="shared" ca="1" si="23"/>
        <v/>
      </c>
      <c r="CA33">
        <f t="shared" ca="1" si="24"/>
        <v>0</v>
      </c>
      <c r="CB33" t="str">
        <f t="shared" ca="1" si="25"/>
        <v/>
      </c>
      <c r="CC33">
        <f t="shared" ca="1" si="26"/>
        <v>0</v>
      </c>
    </row>
    <row r="34" spans="2:8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/>
      <c r="AY34" s="56"/>
      <c r="AZ34" s="56"/>
      <c r="BA34" s="56"/>
      <c r="BB34" s="56">
        <f t="shared" si="1"/>
        <v>0</v>
      </c>
      <c r="BC34" s="56">
        <f t="shared" si="2"/>
        <v>0</v>
      </c>
      <c r="BE34">
        <f ca="1">'Monthly Collection-2026'!CC34</f>
        <v>0</v>
      </c>
      <c r="BF34" t="str">
        <f t="shared" ca="1" si="3"/>
        <v/>
      </c>
      <c r="BG34">
        <f t="shared" ca="1" si="4"/>
        <v>0</v>
      </c>
      <c r="BH34" t="str">
        <f t="shared" ca="1" si="5"/>
        <v/>
      </c>
      <c r="BI34">
        <f t="shared" ca="1" si="6"/>
        <v>0</v>
      </c>
      <c r="BJ34" t="str">
        <f t="shared" ca="1" si="7"/>
        <v/>
      </c>
      <c r="BK34">
        <f t="shared" ca="1" si="8"/>
        <v>0</v>
      </c>
      <c r="BL34" t="str">
        <f t="shared" ca="1" si="9"/>
        <v/>
      </c>
      <c r="BM34">
        <f t="shared" ca="1" si="10"/>
        <v>0</v>
      </c>
      <c r="BN34" t="str">
        <f t="shared" ca="1" si="11"/>
        <v/>
      </c>
      <c r="BO34">
        <f t="shared" ca="1" si="12"/>
        <v>0</v>
      </c>
      <c r="BP34" t="str">
        <f t="shared" ca="1" si="13"/>
        <v/>
      </c>
      <c r="BQ34">
        <f t="shared" ca="1" si="14"/>
        <v>0</v>
      </c>
      <c r="BR34" t="str">
        <f t="shared" ca="1" si="15"/>
        <v/>
      </c>
      <c r="BS34">
        <f t="shared" ca="1" si="16"/>
        <v>0</v>
      </c>
      <c r="BT34" t="str">
        <f t="shared" ca="1" si="17"/>
        <v/>
      </c>
      <c r="BU34">
        <f t="shared" ca="1" si="18"/>
        <v>0</v>
      </c>
      <c r="BV34" t="str">
        <f t="shared" ca="1" si="19"/>
        <v/>
      </c>
      <c r="BW34">
        <f t="shared" ca="1" si="20"/>
        <v>0</v>
      </c>
      <c r="BX34" t="str">
        <f t="shared" ca="1" si="21"/>
        <v/>
      </c>
      <c r="BY34">
        <f t="shared" ca="1" si="22"/>
        <v>0</v>
      </c>
      <c r="BZ34" t="str">
        <f t="shared" ca="1" si="23"/>
        <v/>
      </c>
      <c r="CA34">
        <f t="shared" ca="1" si="24"/>
        <v>0</v>
      </c>
      <c r="CB34" t="str">
        <f t="shared" ca="1" si="25"/>
        <v/>
      </c>
      <c r="CC34">
        <f t="shared" ca="1" si="26"/>
        <v>0</v>
      </c>
    </row>
    <row r="35" spans="2:8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3"/>
      <c r="AY35" s="52"/>
      <c r="AZ35" s="52"/>
      <c r="BA35" s="52"/>
      <c r="BB35" s="52">
        <f t="shared" si="1"/>
        <v>0</v>
      </c>
      <c r="BC35" s="52">
        <f t="shared" si="2"/>
        <v>0</v>
      </c>
      <c r="BE35">
        <f ca="1">'Monthly Collection-2026'!CC35</f>
        <v>0</v>
      </c>
      <c r="BF35" t="str">
        <f t="shared" ca="1" si="3"/>
        <v/>
      </c>
      <c r="BG35">
        <f t="shared" ca="1" si="4"/>
        <v>0</v>
      </c>
      <c r="BH35" t="str">
        <f t="shared" ca="1" si="5"/>
        <v/>
      </c>
      <c r="BI35">
        <f t="shared" ca="1" si="6"/>
        <v>0</v>
      </c>
      <c r="BJ35" t="str">
        <f t="shared" ca="1" si="7"/>
        <v/>
      </c>
      <c r="BK35">
        <f t="shared" ca="1" si="8"/>
        <v>0</v>
      </c>
      <c r="BL35" t="str">
        <f t="shared" ca="1" si="9"/>
        <v/>
      </c>
      <c r="BM35">
        <f t="shared" ca="1" si="10"/>
        <v>0</v>
      </c>
      <c r="BN35" t="str">
        <f t="shared" ca="1" si="11"/>
        <v/>
      </c>
      <c r="BO35">
        <f t="shared" ca="1" si="12"/>
        <v>0</v>
      </c>
      <c r="BP35" t="str">
        <f t="shared" ca="1" si="13"/>
        <v/>
      </c>
      <c r="BQ35">
        <f t="shared" ca="1" si="14"/>
        <v>0</v>
      </c>
      <c r="BR35" t="str">
        <f t="shared" ca="1" si="15"/>
        <v/>
      </c>
      <c r="BS35">
        <f t="shared" ca="1" si="16"/>
        <v>0</v>
      </c>
      <c r="BT35" t="str">
        <f t="shared" ca="1" si="17"/>
        <v/>
      </c>
      <c r="BU35">
        <f t="shared" ca="1" si="18"/>
        <v>0</v>
      </c>
      <c r="BV35" t="str">
        <f t="shared" ca="1" si="19"/>
        <v/>
      </c>
      <c r="BW35">
        <f t="shared" ca="1" si="20"/>
        <v>0</v>
      </c>
      <c r="BX35" t="str">
        <f t="shared" ca="1" si="21"/>
        <v/>
      </c>
      <c r="BY35">
        <f t="shared" ca="1" si="22"/>
        <v>0</v>
      </c>
      <c r="BZ35" t="str">
        <f t="shared" ca="1" si="23"/>
        <v/>
      </c>
      <c r="CA35">
        <f t="shared" ca="1" si="24"/>
        <v>0</v>
      </c>
      <c r="CB35" t="str">
        <f t="shared" ca="1" si="25"/>
        <v/>
      </c>
      <c r="CC35">
        <f t="shared" ca="1" si="26"/>
        <v>0</v>
      </c>
    </row>
    <row r="36" spans="2:81" ht="14.25" customHeight="1" x14ac:dyDescent="0.3">
      <c r="B36" s="55">
        <f t="shared" ref="B36:B67" si="27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7"/>
      <c r="AY36" s="56"/>
      <c r="AZ36" s="56"/>
      <c r="BA36" s="56"/>
      <c r="BB36" s="56">
        <f t="shared" ref="BB36:BB67" si="28">F36+G36+H36+J36+K36+L36+N36+O36+P36+R36+S36+T36+V36+W36+X36+Z36+AA36+AB36+AD36+AE36+AF36+AH36+AI36+AJ36+AL36+AM36+AN36+AP36+AQ36+AR36+AT36+AU36+AV36+AX36+AY36+AZ36</f>
        <v>0</v>
      </c>
      <c r="BC36" s="56">
        <f t="shared" ref="BC36:BC67" si="29">I36+M36+Q36+U36+Y36+AC36+AG36+AK36+AO36+AS36+AW36+BA36</f>
        <v>0</v>
      </c>
      <c r="BE36">
        <f ca="1">'Monthly Collection-2026'!CC36</f>
        <v>0</v>
      </c>
      <c r="BF36" t="str">
        <f t="shared" ref="BF36:BF67" ca="1" si="30">IF(N(F36)&gt;=$E36*1000,"",IF(AND($E36&gt;0,BE36&gt;=$E36*1000),"G",IF(F$2&lt;=TODAY(),"R","")))</f>
        <v/>
      </c>
      <c r="BG36">
        <f t="shared" ref="BG36:BG67" ca="1" si="31">BE36-IF(BF36="G",$E36*1000,0)+N(G36)</f>
        <v>0</v>
      </c>
      <c r="BH36" t="str">
        <f t="shared" ref="BH36:BH67" ca="1" si="32">IF(N(J36)&gt;=$E36*1000,"",IF(AND($E36&gt;0,BG36&gt;=$E36*1000),"G",IF(J$2&lt;=TODAY(),"R","")))</f>
        <v/>
      </c>
      <c r="BI36">
        <f t="shared" ref="BI36:BI67" ca="1" si="33">BG36-IF(BH36="G",$E36*1000,0)+N(K36)</f>
        <v>0</v>
      </c>
      <c r="BJ36" t="str">
        <f t="shared" ref="BJ36:BJ67" ca="1" si="34">IF(N(N36)&gt;=$E36*1000,"",IF(AND($E36&gt;0,BI36&gt;=$E36*1000),"G",IF(N$2&lt;=TODAY(),"R","")))</f>
        <v/>
      </c>
      <c r="BK36">
        <f t="shared" ref="BK36:BK67" ca="1" si="35">BI36-IF(BJ36="G",$E36*1000,0)+N(O36)</f>
        <v>0</v>
      </c>
      <c r="BL36" t="str">
        <f t="shared" ref="BL36:BL67" ca="1" si="36">IF(N(R36)&gt;=$E36*1000,"",IF(AND($E36&gt;0,BK36&gt;=$E36*1000),"G",IF(R$2&lt;=TODAY(),"R","")))</f>
        <v/>
      </c>
      <c r="BM36">
        <f t="shared" ref="BM36:BM67" ca="1" si="37">BK36-IF(BL36="G",$E36*1000,0)+N(S36)</f>
        <v>0</v>
      </c>
      <c r="BN36" t="str">
        <f t="shared" ref="BN36:BN67" ca="1" si="38">IF(N(V36)&gt;=$E36*1000,"",IF(AND($E36&gt;0,BM36&gt;=$E36*1000),"G",IF(V$2&lt;=TODAY(),"R","")))</f>
        <v/>
      </c>
      <c r="BO36">
        <f t="shared" ref="BO36:BO67" ca="1" si="39">BM36-IF(BN36="G",$E36*1000,0)+N(W36)</f>
        <v>0</v>
      </c>
      <c r="BP36" t="str">
        <f t="shared" ref="BP36:BP67" ca="1" si="40">IF(N(Z36)&gt;=$E36*1000,"",IF(AND($E36&gt;0,BO36&gt;=$E36*1000),"G",IF(Z$2&lt;=TODAY(),"R","")))</f>
        <v/>
      </c>
      <c r="BQ36">
        <f t="shared" ref="BQ36:BQ67" ca="1" si="41">BO36-IF(BP36="G",$E36*1000,0)+N(AA36)</f>
        <v>0</v>
      </c>
      <c r="BR36" t="str">
        <f t="shared" ref="BR36:BR67" ca="1" si="42">IF(N(AD36)&gt;=$E36*1000,"",IF(AND($E36&gt;0,BQ36&gt;=$E36*1000),"G",IF(AD$2&lt;=TODAY(),"R","")))</f>
        <v/>
      </c>
      <c r="BS36">
        <f t="shared" ref="BS36:BS67" ca="1" si="43">BQ36-IF(BR36="G",$E36*1000,0)+N(AE36)</f>
        <v>0</v>
      </c>
      <c r="BT36" t="str">
        <f t="shared" ref="BT36:BT67" ca="1" si="44">IF(N(AH36)&gt;=$E36*1000,"",IF(AND($E36&gt;0,BS36&gt;=$E36*1000),"G",IF(AH$2&lt;=TODAY(),"R","")))</f>
        <v/>
      </c>
      <c r="BU36">
        <f t="shared" ref="BU36:BU67" ca="1" si="45">BS36-IF(BT36="G",$E36*1000,0)+N(AI36)</f>
        <v>0</v>
      </c>
      <c r="BV36" t="str">
        <f t="shared" ref="BV36:BV67" ca="1" si="46">IF(N(AL36)&gt;=$E36*1000,"",IF(AND($E36&gt;0,BU36&gt;=$E36*1000),"G",IF(AL$2&lt;=TODAY(),"R","")))</f>
        <v/>
      </c>
      <c r="BW36">
        <f t="shared" ref="BW36:BW67" ca="1" si="47">BU36-IF(BV36="G",$E36*1000,0)+N(AM36)</f>
        <v>0</v>
      </c>
      <c r="BX36" t="str">
        <f t="shared" ref="BX36:BX67" ca="1" si="48">IF(N(AP36)&gt;=$E36*1000,"",IF(AND($E36&gt;0,BW36&gt;=$E36*1000),"G",IF(AP$2&lt;=TODAY(),"R","")))</f>
        <v/>
      </c>
      <c r="BY36">
        <f t="shared" ref="BY36:BY67" ca="1" si="49">BW36-IF(BX36="G",$E36*1000,0)+N(AQ36)</f>
        <v>0</v>
      </c>
      <c r="BZ36" t="str">
        <f t="shared" ref="BZ36:BZ67" ca="1" si="50">IF(N(AT36)&gt;=$E36*1000,"",IF(AND($E36&gt;0,BY36&gt;=$E36*1000),"G",IF(AT$2&lt;=TODAY(),"R","")))</f>
        <v/>
      </c>
      <c r="CA36">
        <f t="shared" ref="CA36:CA67" ca="1" si="51">BY36-IF(BZ36="G",$E36*1000,0)+N(AU36)</f>
        <v>0</v>
      </c>
      <c r="CB36" t="str">
        <f t="shared" ref="CB36:CB67" ca="1" si="52">IF(N(AX36)&gt;=$E36*1000,"",IF(AND($E36&gt;0,CA36&gt;=$E36*1000),"G",IF(AX$2&lt;=TODAY(),"R","")))</f>
        <v/>
      </c>
      <c r="CC36">
        <f t="shared" ref="CC36:CC67" ca="1" si="53">CA36-IF(CB36="G",$E36*1000,0)+N(AY36)</f>
        <v>0</v>
      </c>
    </row>
    <row r="37" spans="2:81" ht="14.25" customHeight="1" x14ac:dyDescent="0.3">
      <c r="B37" s="51">
        <f t="shared" si="27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3"/>
      <c r="AY37" s="52"/>
      <c r="AZ37" s="52"/>
      <c r="BA37" s="52"/>
      <c r="BB37" s="52">
        <f t="shared" si="28"/>
        <v>0</v>
      </c>
      <c r="BC37" s="52">
        <f t="shared" si="29"/>
        <v>0</v>
      </c>
      <c r="BE37">
        <f ca="1">'Monthly Collection-2026'!CC37</f>
        <v>0</v>
      </c>
      <c r="BF37" t="str">
        <f t="shared" ca="1" si="30"/>
        <v/>
      </c>
      <c r="BG37">
        <f t="shared" ca="1" si="31"/>
        <v>0</v>
      </c>
      <c r="BH37" t="str">
        <f t="shared" ca="1" si="32"/>
        <v/>
      </c>
      <c r="BI37">
        <f t="shared" ca="1" si="33"/>
        <v>0</v>
      </c>
      <c r="BJ37" t="str">
        <f t="shared" ca="1" si="34"/>
        <v/>
      </c>
      <c r="BK37">
        <f t="shared" ca="1" si="35"/>
        <v>0</v>
      </c>
      <c r="BL37" t="str">
        <f t="shared" ca="1" si="36"/>
        <v/>
      </c>
      <c r="BM37">
        <f t="shared" ca="1" si="37"/>
        <v>0</v>
      </c>
      <c r="BN37" t="str">
        <f t="shared" ca="1" si="38"/>
        <v/>
      </c>
      <c r="BO37">
        <f t="shared" ca="1" si="39"/>
        <v>0</v>
      </c>
      <c r="BP37" t="str">
        <f t="shared" ca="1" si="40"/>
        <v/>
      </c>
      <c r="BQ37">
        <f t="shared" ca="1" si="41"/>
        <v>0</v>
      </c>
      <c r="BR37" t="str">
        <f t="shared" ca="1" si="42"/>
        <v/>
      </c>
      <c r="BS37">
        <f t="shared" ca="1" si="43"/>
        <v>0</v>
      </c>
      <c r="BT37" t="str">
        <f t="shared" ca="1" si="44"/>
        <v/>
      </c>
      <c r="BU37">
        <f t="shared" ca="1" si="45"/>
        <v>0</v>
      </c>
      <c r="BV37" t="str">
        <f t="shared" ca="1" si="46"/>
        <v/>
      </c>
      <c r="BW37">
        <f t="shared" ca="1" si="47"/>
        <v>0</v>
      </c>
      <c r="BX37" t="str">
        <f t="shared" ca="1" si="48"/>
        <v/>
      </c>
      <c r="BY37">
        <f t="shared" ca="1" si="49"/>
        <v>0</v>
      </c>
      <c r="BZ37" t="str">
        <f t="shared" ca="1" si="50"/>
        <v/>
      </c>
      <c r="CA37">
        <f t="shared" ca="1" si="51"/>
        <v>0</v>
      </c>
      <c r="CB37" t="str">
        <f t="shared" ca="1" si="52"/>
        <v/>
      </c>
      <c r="CC37">
        <f t="shared" ca="1" si="53"/>
        <v>0</v>
      </c>
    </row>
    <row r="38" spans="2:81" ht="14.25" customHeight="1" x14ac:dyDescent="0.3">
      <c r="B38" s="55">
        <f t="shared" si="27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7"/>
      <c r="AY38" s="56"/>
      <c r="AZ38" s="56"/>
      <c r="BA38" s="56"/>
      <c r="BB38" s="56">
        <f t="shared" si="28"/>
        <v>0</v>
      </c>
      <c r="BC38" s="56">
        <f t="shared" si="29"/>
        <v>0</v>
      </c>
      <c r="BE38">
        <f ca="1">'Monthly Collection-2026'!CC38</f>
        <v>0</v>
      </c>
      <c r="BF38" t="str">
        <f t="shared" ca="1" si="30"/>
        <v/>
      </c>
      <c r="BG38">
        <f t="shared" ca="1" si="31"/>
        <v>0</v>
      </c>
      <c r="BH38" t="str">
        <f t="shared" ca="1" si="32"/>
        <v/>
      </c>
      <c r="BI38">
        <f t="shared" ca="1" si="33"/>
        <v>0</v>
      </c>
      <c r="BJ38" t="str">
        <f t="shared" ca="1" si="34"/>
        <v/>
      </c>
      <c r="BK38">
        <f t="shared" ca="1" si="35"/>
        <v>0</v>
      </c>
      <c r="BL38" t="str">
        <f t="shared" ca="1" si="36"/>
        <v/>
      </c>
      <c r="BM38">
        <f t="shared" ca="1" si="37"/>
        <v>0</v>
      </c>
      <c r="BN38" t="str">
        <f t="shared" ca="1" si="38"/>
        <v/>
      </c>
      <c r="BO38">
        <f t="shared" ca="1" si="39"/>
        <v>0</v>
      </c>
      <c r="BP38" t="str">
        <f t="shared" ca="1" si="40"/>
        <v/>
      </c>
      <c r="BQ38">
        <f t="shared" ca="1" si="41"/>
        <v>0</v>
      </c>
      <c r="BR38" t="str">
        <f t="shared" ca="1" si="42"/>
        <v/>
      </c>
      <c r="BS38">
        <f t="shared" ca="1" si="43"/>
        <v>0</v>
      </c>
      <c r="BT38" t="str">
        <f t="shared" ca="1" si="44"/>
        <v/>
      </c>
      <c r="BU38">
        <f t="shared" ca="1" si="45"/>
        <v>0</v>
      </c>
      <c r="BV38" t="str">
        <f t="shared" ca="1" si="46"/>
        <v/>
      </c>
      <c r="BW38">
        <f t="shared" ca="1" si="47"/>
        <v>0</v>
      </c>
      <c r="BX38" t="str">
        <f t="shared" ca="1" si="48"/>
        <v/>
      </c>
      <c r="BY38">
        <f t="shared" ca="1" si="49"/>
        <v>0</v>
      </c>
      <c r="BZ38" t="str">
        <f t="shared" ca="1" si="50"/>
        <v/>
      </c>
      <c r="CA38">
        <f t="shared" ca="1" si="51"/>
        <v>0</v>
      </c>
      <c r="CB38" t="str">
        <f t="shared" ca="1" si="52"/>
        <v/>
      </c>
      <c r="CC38">
        <f t="shared" ca="1" si="53"/>
        <v>0</v>
      </c>
    </row>
    <row r="39" spans="2:81" ht="14.25" customHeight="1" x14ac:dyDescent="0.3">
      <c r="B39" s="51">
        <f t="shared" si="27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3"/>
      <c r="AY39" s="52"/>
      <c r="AZ39" s="52"/>
      <c r="BA39" s="52"/>
      <c r="BB39" s="52">
        <f t="shared" si="28"/>
        <v>0</v>
      </c>
      <c r="BC39" s="52">
        <f t="shared" si="29"/>
        <v>0</v>
      </c>
      <c r="BE39">
        <f ca="1">'Monthly Collection-2026'!CC39</f>
        <v>0</v>
      </c>
      <c r="BF39" t="str">
        <f t="shared" ca="1" si="30"/>
        <v/>
      </c>
      <c r="BG39">
        <f t="shared" ca="1" si="31"/>
        <v>0</v>
      </c>
      <c r="BH39" t="str">
        <f t="shared" ca="1" si="32"/>
        <v/>
      </c>
      <c r="BI39">
        <f t="shared" ca="1" si="33"/>
        <v>0</v>
      </c>
      <c r="BJ39" t="str">
        <f t="shared" ca="1" si="34"/>
        <v/>
      </c>
      <c r="BK39">
        <f t="shared" ca="1" si="35"/>
        <v>0</v>
      </c>
      <c r="BL39" t="str">
        <f t="shared" ca="1" si="36"/>
        <v/>
      </c>
      <c r="BM39">
        <f t="shared" ca="1" si="37"/>
        <v>0</v>
      </c>
      <c r="BN39" t="str">
        <f t="shared" ca="1" si="38"/>
        <v/>
      </c>
      <c r="BO39">
        <f t="shared" ca="1" si="39"/>
        <v>0</v>
      </c>
      <c r="BP39" t="str">
        <f t="shared" ca="1" si="40"/>
        <v/>
      </c>
      <c r="BQ39">
        <f t="shared" ca="1" si="41"/>
        <v>0</v>
      </c>
      <c r="BR39" t="str">
        <f t="shared" ca="1" si="42"/>
        <v/>
      </c>
      <c r="BS39">
        <f t="shared" ca="1" si="43"/>
        <v>0</v>
      </c>
      <c r="BT39" t="str">
        <f t="shared" ca="1" si="44"/>
        <v/>
      </c>
      <c r="BU39">
        <f t="shared" ca="1" si="45"/>
        <v>0</v>
      </c>
      <c r="BV39" t="str">
        <f t="shared" ca="1" si="46"/>
        <v/>
      </c>
      <c r="BW39">
        <f t="shared" ca="1" si="47"/>
        <v>0</v>
      </c>
      <c r="BX39" t="str">
        <f t="shared" ca="1" si="48"/>
        <v/>
      </c>
      <c r="BY39">
        <f t="shared" ca="1" si="49"/>
        <v>0</v>
      </c>
      <c r="BZ39" t="str">
        <f t="shared" ca="1" si="50"/>
        <v/>
      </c>
      <c r="CA39">
        <f t="shared" ca="1" si="51"/>
        <v>0</v>
      </c>
      <c r="CB39" t="str">
        <f t="shared" ca="1" si="52"/>
        <v/>
      </c>
      <c r="CC39">
        <f t="shared" ca="1" si="53"/>
        <v>0</v>
      </c>
    </row>
    <row r="40" spans="2:81" ht="14.25" customHeight="1" x14ac:dyDescent="0.3">
      <c r="B40" s="55">
        <f t="shared" si="27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7"/>
      <c r="AY40" s="56"/>
      <c r="AZ40" s="56"/>
      <c r="BA40" s="56"/>
      <c r="BB40" s="56">
        <f t="shared" si="28"/>
        <v>0</v>
      </c>
      <c r="BC40" s="56">
        <f t="shared" si="29"/>
        <v>0</v>
      </c>
      <c r="BE40">
        <f ca="1">'Monthly Collection-2026'!CC40</f>
        <v>0</v>
      </c>
      <c r="BF40" t="str">
        <f t="shared" ca="1" si="30"/>
        <v/>
      </c>
      <c r="BG40">
        <f t="shared" ca="1" si="31"/>
        <v>0</v>
      </c>
      <c r="BH40" t="str">
        <f t="shared" ca="1" si="32"/>
        <v/>
      </c>
      <c r="BI40">
        <f t="shared" ca="1" si="33"/>
        <v>0</v>
      </c>
      <c r="BJ40" t="str">
        <f t="shared" ca="1" si="34"/>
        <v/>
      </c>
      <c r="BK40">
        <f t="shared" ca="1" si="35"/>
        <v>0</v>
      </c>
      <c r="BL40" t="str">
        <f t="shared" ca="1" si="36"/>
        <v/>
      </c>
      <c r="BM40">
        <f t="shared" ca="1" si="37"/>
        <v>0</v>
      </c>
      <c r="BN40" t="str">
        <f t="shared" ca="1" si="38"/>
        <v/>
      </c>
      <c r="BO40">
        <f t="shared" ca="1" si="39"/>
        <v>0</v>
      </c>
      <c r="BP40" t="str">
        <f t="shared" ca="1" si="40"/>
        <v/>
      </c>
      <c r="BQ40">
        <f t="shared" ca="1" si="41"/>
        <v>0</v>
      </c>
      <c r="BR40" t="str">
        <f t="shared" ca="1" si="42"/>
        <v/>
      </c>
      <c r="BS40">
        <f t="shared" ca="1" si="43"/>
        <v>0</v>
      </c>
      <c r="BT40" t="str">
        <f t="shared" ca="1" si="44"/>
        <v/>
      </c>
      <c r="BU40">
        <f t="shared" ca="1" si="45"/>
        <v>0</v>
      </c>
      <c r="BV40" t="str">
        <f t="shared" ca="1" si="46"/>
        <v/>
      </c>
      <c r="BW40">
        <f t="shared" ca="1" si="47"/>
        <v>0</v>
      </c>
      <c r="BX40" t="str">
        <f t="shared" ca="1" si="48"/>
        <v/>
      </c>
      <c r="BY40">
        <f t="shared" ca="1" si="49"/>
        <v>0</v>
      </c>
      <c r="BZ40" t="str">
        <f t="shared" ca="1" si="50"/>
        <v/>
      </c>
      <c r="CA40">
        <f t="shared" ca="1" si="51"/>
        <v>0</v>
      </c>
      <c r="CB40" t="str">
        <f t="shared" ca="1" si="52"/>
        <v/>
      </c>
      <c r="CC40">
        <f t="shared" ca="1" si="53"/>
        <v>0</v>
      </c>
    </row>
    <row r="41" spans="2:81" ht="14.25" customHeight="1" x14ac:dyDescent="0.3">
      <c r="B41" s="51">
        <f t="shared" si="27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3"/>
      <c r="AY41" s="52"/>
      <c r="AZ41" s="52"/>
      <c r="BA41" s="52"/>
      <c r="BB41" s="52">
        <f t="shared" si="28"/>
        <v>0</v>
      </c>
      <c r="BC41" s="52">
        <f t="shared" si="29"/>
        <v>0</v>
      </c>
      <c r="BE41">
        <f ca="1">'Monthly Collection-2026'!CC41</f>
        <v>0</v>
      </c>
      <c r="BF41" t="str">
        <f t="shared" ca="1" si="30"/>
        <v/>
      </c>
      <c r="BG41">
        <f t="shared" ca="1" si="31"/>
        <v>0</v>
      </c>
      <c r="BH41" t="str">
        <f t="shared" ca="1" si="32"/>
        <v/>
      </c>
      <c r="BI41">
        <f t="shared" ca="1" si="33"/>
        <v>0</v>
      </c>
      <c r="BJ41" t="str">
        <f t="shared" ca="1" si="34"/>
        <v/>
      </c>
      <c r="BK41">
        <f t="shared" ca="1" si="35"/>
        <v>0</v>
      </c>
      <c r="BL41" t="str">
        <f t="shared" ca="1" si="36"/>
        <v/>
      </c>
      <c r="BM41">
        <f t="shared" ca="1" si="37"/>
        <v>0</v>
      </c>
      <c r="BN41" t="str">
        <f t="shared" ca="1" si="38"/>
        <v/>
      </c>
      <c r="BO41">
        <f t="shared" ca="1" si="39"/>
        <v>0</v>
      </c>
      <c r="BP41" t="str">
        <f t="shared" ca="1" si="40"/>
        <v/>
      </c>
      <c r="BQ41">
        <f t="shared" ca="1" si="41"/>
        <v>0</v>
      </c>
      <c r="BR41" t="str">
        <f t="shared" ca="1" si="42"/>
        <v/>
      </c>
      <c r="BS41">
        <f t="shared" ca="1" si="43"/>
        <v>0</v>
      </c>
      <c r="BT41" t="str">
        <f t="shared" ca="1" si="44"/>
        <v/>
      </c>
      <c r="BU41">
        <f t="shared" ca="1" si="45"/>
        <v>0</v>
      </c>
      <c r="BV41" t="str">
        <f t="shared" ca="1" si="46"/>
        <v/>
      </c>
      <c r="BW41">
        <f t="shared" ca="1" si="47"/>
        <v>0</v>
      </c>
      <c r="BX41" t="str">
        <f t="shared" ca="1" si="48"/>
        <v/>
      </c>
      <c r="BY41">
        <f t="shared" ca="1" si="49"/>
        <v>0</v>
      </c>
      <c r="BZ41" t="str">
        <f t="shared" ca="1" si="50"/>
        <v/>
      </c>
      <c r="CA41">
        <f t="shared" ca="1" si="51"/>
        <v>0</v>
      </c>
      <c r="CB41" t="str">
        <f t="shared" ca="1" si="52"/>
        <v/>
      </c>
      <c r="CC41">
        <f t="shared" ca="1" si="53"/>
        <v>0</v>
      </c>
    </row>
    <row r="42" spans="2:81" ht="14.25" customHeight="1" x14ac:dyDescent="0.3">
      <c r="B42" s="55">
        <f t="shared" si="27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7"/>
      <c r="AY42" s="56"/>
      <c r="AZ42" s="56"/>
      <c r="BA42" s="56"/>
      <c r="BB42" s="56">
        <f t="shared" si="28"/>
        <v>0</v>
      </c>
      <c r="BC42" s="56">
        <f t="shared" si="29"/>
        <v>0</v>
      </c>
      <c r="BE42">
        <f ca="1">'Monthly Collection-2026'!CC42</f>
        <v>0</v>
      </c>
      <c r="BF42" t="str">
        <f t="shared" ca="1" si="30"/>
        <v/>
      </c>
      <c r="BG42">
        <f t="shared" ca="1" si="31"/>
        <v>0</v>
      </c>
      <c r="BH42" t="str">
        <f t="shared" ca="1" si="32"/>
        <v/>
      </c>
      <c r="BI42">
        <f t="shared" ca="1" si="33"/>
        <v>0</v>
      </c>
      <c r="BJ42" t="str">
        <f t="shared" ca="1" si="34"/>
        <v/>
      </c>
      <c r="BK42">
        <f t="shared" ca="1" si="35"/>
        <v>0</v>
      </c>
      <c r="BL42" t="str">
        <f t="shared" ca="1" si="36"/>
        <v/>
      </c>
      <c r="BM42">
        <f t="shared" ca="1" si="37"/>
        <v>0</v>
      </c>
      <c r="BN42" t="str">
        <f t="shared" ca="1" si="38"/>
        <v/>
      </c>
      <c r="BO42">
        <f t="shared" ca="1" si="39"/>
        <v>0</v>
      </c>
      <c r="BP42" t="str">
        <f t="shared" ca="1" si="40"/>
        <v/>
      </c>
      <c r="BQ42">
        <f t="shared" ca="1" si="41"/>
        <v>0</v>
      </c>
      <c r="BR42" t="str">
        <f t="shared" ca="1" si="42"/>
        <v/>
      </c>
      <c r="BS42">
        <f t="shared" ca="1" si="43"/>
        <v>0</v>
      </c>
      <c r="BT42" t="str">
        <f t="shared" ca="1" si="44"/>
        <v/>
      </c>
      <c r="BU42">
        <f t="shared" ca="1" si="45"/>
        <v>0</v>
      </c>
      <c r="BV42" t="str">
        <f t="shared" ca="1" si="46"/>
        <v/>
      </c>
      <c r="BW42">
        <f t="shared" ca="1" si="47"/>
        <v>0</v>
      </c>
      <c r="BX42" t="str">
        <f t="shared" ca="1" si="48"/>
        <v/>
      </c>
      <c r="BY42">
        <f t="shared" ca="1" si="49"/>
        <v>0</v>
      </c>
      <c r="BZ42" t="str">
        <f t="shared" ca="1" si="50"/>
        <v/>
      </c>
      <c r="CA42">
        <f t="shared" ca="1" si="51"/>
        <v>0</v>
      </c>
      <c r="CB42" t="str">
        <f t="shared" ca="1" si="52"/>
        <v/>
      </c>
      <c r="CC42">
        <f t="shared" ca="1" si="53"/>
        <v>0</v>
      </c>
    </row>
    <row r="43" spans="2:81" ht="14.25" customHeight="1" x14ac:dyDescent="0.3">
      <c r="B43" s="51">
        <f t="shared" si="27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3"/>
      <c r="AY43" s="52"/>
      <c r="AZ43" s="52"/>
      <c r="BA43" s="52"/>
      <c r="BB43" s="52">
        <f t="shared" si="28"/>
        <v>0</v>
      </c>
      <c r="BC43" s="52">
        <f t="shared" si="29"/>
        <v>0</v>
      </c>
      <c r="BE43">
        <f ca="1">'Monthly Collection-2026'!CC43</f>
        <v>0</v>
      </c>
      <c r="BF43" t="str">
        <f t="shared" ca="1" si="30"/>
        <v/>
      </c>
      <c r="BG43">
        <f t="shared" ca="1" si="31"/>
        <v>0</v>
      </c>
      <c r="BH43" t="str">
        <f t="shared" ca="1" si="32"/>
        <v/>
      </c>
      <c r="BI43">
        <f t="shared" ca="1" si="33"/>
        <v>0</v>
      </c>
      <c r="BJ43" t="str">
        <f t="shared" ca="1" si="34"/>
        <v/>
      </c>
      <c r="BK43">
        <f t="shared" ca="1" si="35"/>
        <v>0</v>
      </c>
      <c r="BL43" t="str">
        <f t="shared" ca="1" si="36"/>
        <v/>
      </c>
      <c r="BM43">
        <f t="shared" ca="1" si="37"/>
        <v>0</v>
      </c>
      <c r="BN43" t="str">
        <f t="shared" ca="1" si="38"/>
        <v/>
      </c>
      <c r="BO43">
        <f t="shared" ca="1" si="39"/>
        <v>0</v>
      </c>
      <c r="BP43" t="str">
        <f t="shared" ca="1" si="40"/>
        <v/>
      </c>
      <c r="BQ43">
        <f t="shared" ca="1" si="41"/>
        <v>0</v>
      </c>
      <c r="BR43" t="str">
        <f t="shared" ca="1" si="42"/>
        <v/>
      </c>
      <c r="BS43">
        <f t="shared" ca="1" si="43"/>
        <v>0</v>
      </c>
      <c r="BT43" t="str">
        <f t="shared" ca="1" si="44"/>
        <v/>
      </c>
      <c r="BU43">
        <f t="shared" ca="1" si="45"/>
        <v>0</v>
      </c>
      <c r="BV43" t="str">
        <f t="shared" ca="1" si="46"/>
        <v/>
      </c>
      <c r="BW43">
        <f t="shared" ca="1" si="47"/>
        <v>0</v>
      </c>
      <c r="BX43" t="str">
        <f t="shared" ca="1" si="48"/>
        <v/>
      </c>
      <c r="BY43">
        <f t="shared" ca="1" si="49"/>
        <v>0</v>
      </c>
      <c r="BZ43" t="str">
        <f t="shared" ca="1" si="50"/>
        <v/>
      </c>
      <c r="CA43">
        <f t="shared" ca="1" si="51"/>
        <v>0</v>
      </c>
      <c r="CB43" t="str">
        <f t="shared" ca="1" si="52"/>
        <v/>
      </c>
      <c r="CC43">
        <f t="shared" ca="1" si="53"/>
        <v>0</v>
      </c>
    </row>
    <row r="44" spans="2:81" ht="14.25" customHeight="1" x14ac:dyDescent="0.3">
      <c r="B44" s="55">
        <f t="shared" si="27"/>
        <v>41</v>
      </c>
      <c r="C44" s="56" t="s">
        <v>111</v>
      </c>
      <c r="D44" s="12">
        <f>'Member Wise Deposit Summary'!D44</f>
        <v>1830621990</v>
      </c>
      <c r="E44" s="56">
        <v>2</v>
      </c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7"/>
      <c r="AY44" s="56"/>
      <c r="AZ44" s="56"/>
      <c r="BA44" s="56"/>
      <c r="BB44" s="56">
        <f t="shared" si="28"/>
        <v>0</v>
      </c>
      <c r="BC44" s="56">
        <f t="shared" si="29"/>
        <v>0</v>
      </c>
      <c r="BE44">
        <f ca="1">'Monthly Collection-2026'!CC44</f>
        <v>0</v>
      </c>
      <c r="BF44" t="str">
        <f t="shared" ca="1" si="30"/>
        <v/>
      </c>
      <c r="BG44">
        <f t="shared" ca="1" si="31"/>
        <v>0</v>
      </c>
      <c r="BH44" t="str">
        <f t="shared" ca="1" si="32"/>
        <v/>
      </c>
      <c r="BI44">
        <f t="shared" ca="1" si="33"/>
        <v>0</v>
      </c>
      <c r="BJ44" t="str">
        <f t="shared" ca="1" si="34"/>
        <v/>
      </c>
      <c r="BK44">
        <f t="shared" ca="1" si="35"/>
        <v>0</v>
      </c>
      <c r="BL44" t="str">
        <f t="shared" ca="1" si="36"/>
        <v/>
      </c>
      <c r="BM44">
        <f t="shared" ca="1" si="37"/>
        <v>0</v>
      </c>
      <c r="BN44" t="str">
        <f t="shared" ca="1" si="38"/>
        <v/>
      </c>
      <c r="BO44">
        <f t="shared" ca="1" si="39"/>
        <v>0</v>
      </c>
      <c r="BP44" t="str">
        <f t="shared" ca="1" si="40"/>
        <v/>
      </c>
      <c r="BQ44">
        <f t="shared" ca="1" si="41"/>
        <v>0</v>
      </c>
      <c r="BR44" t="str">
        <f t="shared" ca="1" si="42"/>
        <v/>
      </c>
      <c r="BS44">
        <f t="shared" ca="1" si="43"/>
        <v>0</v>
      </c>
      <c r="BT44" t="str">
        <f t="shared" ca="1" si="44"/>
        <v/>
      </c>
      <c r="BU44">
        <f t="shared" ca="1" si="45"/>
        <v>0</v>
      </c>
      <c r="BV44" t="str">
        <f t="shared" ca="1" si="46"/>
        <v/>
      </c>
      <c r="BW44">
        <f t="shared" ca="1" si="47"/>
        <v>0</v>
      </c>
      <c r="BX44" t="str">
        <f t="shared" ca="1" si="48"/>
        <v/>
      </c>
      <c r="BY44">
        <f t="shared" ca="1" si="49"/>
        <v>0</v>
      </c>
      <c r="BZ44" t="str">
        <f t="shared" ca="1" si="50"/>
        <v/>
      </c>
      <c r="CA44">
        <f t="shared" ca="1" si="51"/>
        <v>0</v>
      </c>
      <c r="CB44" t="str">
        <f t="shared" ca="1" si="52"/>
        <v/>
      </c>
      <c r="CC44">
        <f t="shared" ca="1" si="53"/>
        <v>0</v>
      </c>
    </row>
    <row r="45" spans="2:81" ht="14.25" customHeight="1" x14ac:dyDescent="0.3">
      <c r="B45" s="51">
        <f t="shared" si="27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3"/>
      <c r="AY45" s="52"/>
      <c r="AZ45" s="52"/>
      <c r="BA45" s="52"/>
      <c r="BB45" s="52">
        <f t="shared" si="28"/>
        <v>0</v>
      </c>
      <c r="BC45" s="52">
        <f t="shared" si="29"/>
        <v>0</v>
      </c>
      <c r="BE45">
        <f ca="1">'Monthly Collection-2026'!CC45</f>
        <v>0</v>
      </c>
      <c r="BF45" t="str">
        <f t="shared" ca="1" si="30"/>
        <v/>
      </c>
      <c r="BG45">
        <f t="shared" ca="1" si="31"/>
        <v>0</v>
      </c>
      <c r="BH45" t="str">
        <f t="shared" ca="1" si="32"/>
        <v/>
      </c>
      <c r="BI45">
        <f t="shared" ca="1" si="33"/>
        <v>0</v>
      </c>
      <c r="BJ45" t="str">
        <f t="shared" ca="1" si="34"/>
        <v/>
      </c>
      <c r="BK45">
        <f t="shared" ca="1" si="35"/>
        <v>0</v>
      </c>
      <c r="BL45" t="str">
        <f t="shared" ca="1" si="36"/>
        <v/>
      </c>
      <c r="BM45">
        <f t="shared" ca="1" si="37"/>
        <v>0</v>
      </c>
      <c r="BN45" t="str">
        <f t="shared" ca="1" si="38"/>
        <v/>
      </c>
      <c r="BO45">
        <f t="shared" ca="1" si="39"/>
        <v>0</v>
      </c>
      <c r="BP45" t="str">
        <f t="shared" ca="1" si="40"/>
        <v/>
      </c>
      <c r="BQ45">
        <f t="shared" ca="1" si="41"/>
        <v>0</v>
      </c>
      <c r="BR45" t="str">
        <f t="shared" ca="1" si="42"/>
        <v/>
      </c>
      <c r="BS45">
        <f t="shared" ca="1" si="43"/>
        <v>0</v>
      </c>
      <c r="BT45" t="str">
        <f t="shared" ca="1" si="44"/>
        <v/>
      </c>
      <c r="BU45">
        <f t="shared" ca="1" si="45"/>
        <v>0</v>
      </c>
      <c r="BV45" t="str">
        <f t="shared" ca="1" si="46"/>
        <v/>
      </c>
      <c r="BW45">
        <f t="shared" ca="1" si="47"/>
        <v>0</v>
      </c>
      <c r="BX45" t="str">
        <f t="shared" ca="1" si="48"/>
        <v/>
      </c>
      <c r="BY45">
        <f t="shared" ca="1" si="49"/>
        <v>0</v>
      </c>
      <c r="BZ45" t="str">
        <f t="shared" ca="1" si="50"/>
        <v/>
      </c>
      <c r="CA45">
        <f t="shared" ca="1" si="51"/>
        <v>0</v>
      </c>
      <c r="CB45" t="str">
        <f t="shared" ca="1" si="52"/>
        <v/>
      </c>
      <c r="CC45">
        <f t="shared" ca="1" si="53"/>
        <v>0</v>
      </c>
    </row>
    <row r="46" spans="2:81" ht="14.25" customHeight="1" x14ac:dyDescent="0.3">
      <c r="B46" s="55">
        <f t="shared" si="27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7"/>
      <c r="AY46" s="56"/>
      <c r="AZ46" s="56"/>
      <c r="BA46" s="56"/>
      <c r="BB46" s="56">
        <f t="shared" si="28"/>
        <v>0</v>
      </c>
      <c r="BC46" s="56">
        <f t="shared" si="29"/>
        <v>0</v>
      </c>
      <c r="BE46">
        <f ca="1">'Monthly Collection-2026'!CC46</f>
        <v>0</v>
      </c>
      <c r="BF46" t="str">
        <f t="shared" ca="1" si="30"/>
        <v/>
      </c>
      <c r="BG46">
        <f t="shared" ca="1" si="31"/>
        <v>0</v>
      </c>
      <c r="BH46" t="str">
        <f t="shared" ca="1" si="32"/>
        <v/>
      </c>
      <c r="BI46">
        <f t="shared" ca="1" si="33"/>
        <v>0</v>
      </c>
      <c r="BJ46" t="str">
        <f t="shared" ca="1" si="34"/>
        <v/>
      </c>
      <c r="BK46">
        <f t="shared" ca="1" si="35"/>
        <v>0</v>
      </c>
      <c r="BL46" t="str">
        <f t="shared" ca="1" si="36"/>
        <v/>
      </c>
      <c r="BM46">
        <f t="shared" ca="1" si="37"/>
        <v>0</v>
      </c>
      <c r="BN46" t="str">
        <f t="shared" ca="1" si="38"/>
        <v/>
      </c>
      <c r="BO46">
        <f t="shared" ca="1" si="39"/>
        <v>0</v>
      </c>
      <c r="BP46" t="str">
        <f t="shared" ca="1" si="40"/>
        <v/>
      </c>
      <c r="BQ46">
        <f t="shared" ca="1" si="41"/>
        <v>0</v>
      </c>
      <c r="BR46" t="str">
        <f t="shared" ca="1" si="42"/>
        <v/>
      </c>
      <c r="BS46">
        <f t="shared" ca="1" si="43"/>
        <v>0</v>
      </c>
      <c r="BT46" t="str">
        <f t="shared" ca="1" si="44"/>
        <v/>
      </c>
      <c r="BU46">
        <f t="shared" ca="1" si="45"/>
        <v>0</v>
      </c>
      <c r="BV46" t="str">
        <f t="shared" ca="1" si="46"/>
        <v/>
      </c>
      <c r="BW46">
        <f t="shared" ca="1" si="47"/>
        <v>0</v>
      </c>
      <c r="BX46" t="str">
        <f t="shared" ca="1" si="48"/>
        <v/>
      </c>
      <c r="BY46">
        <f t="shared" ca="1" si="49"/>
        <v>0</v>
      </c>
      <c r="BZ46" t="str">
        <f t="shared" ca="1" si="50"/>
        <v/>
      </c>
      <c r="CA46">
        <f t="shared" ca="1" si="51"/>
        <v>0</v>
      </c>
      <c r="CB46" t="str">
        <f t="shared" ca="1" si="52"/>
        <v/>
      </c>
      <c r="CC46">
        <f t="shared" ca="1" si="53"/>
        <v>0</v>
      </c>
    </row>
    <row r="47" spans="2:81" ht="14.25" customHeight="1" x14ac:dyDescent="0.3">
      <c r="B47" s="51">
        <f t="shared" si="27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3"/>
      <c r="AY47" s="52"/>
      <c r="AZ47" s="52"/>
      <c r="BA47" s="52"/>
      <c r="BB47" s="52">
        <f t="shared" si="28"/>
        <v>0</v>
      </c>
      <c r="BC47" s="52">
        <f t="shared" si="29"/>
        <v>0</v>
      </c>
      <c r="BE47">
        <f ca="1">'Monthly Collection-2026'!CC47</f>
        <v>0</v>
      </c>
      <c r="BF47" t="str">
        <f t="shared" ca="1" si="30"/>
        <v/>
      </c>
      <c r="BG47">
        <f t="shared" ca="1" si="31"/>
        <v>0</v>
      </c>
      <c r="BH47" t="str">
        <f t="shared" ca="1" si="32"/>
        <v/>
      </c>
      <c r="BI47">
        <f t="shared" ca="1" si="33"/>
        <v>0</v>
      </c>
      <c r="BJ47" t="str">
        <f t="shared" ca="1" si="34"/>
        <v/>
      </c>
      <c r="BK47">
        <f t="shared" ca="1" si="35"/>
        <v>0</v>
      </c>
      <c r="BL47" t="str">
        <f t="shared" ca="1" si="36"/>
        <v/>
      </c>
      <c r="BM47">
        <f t="shared" ca="1" si="37"/>
        <v>0</v>
      </c>
      <c r="BN47" t="str">
        <f t="shared" ca="1" si="38"/>
        <v/>
      </c>
      <c r="BO47">
        <f t="shared" ca="1" si="39"/>
        <v>0</v>
      </c>
      <c r="BP47" t="str">
        <f t="shared" ca="1" si="40"/>
        <v/>
      </c>
      <c r="BQ47">
        <f t="shared" ca="1" si="41"/>
        <v>0</v>
      </c>
      <c r="BR47" t="str">
        <f t="shared" ca="1" si="42"/>
        <v/>
      </c>
      <c r="BS47">
        <f t="shared" ca="1" si="43"/>
        <v>0</v>
      </c>
      <c r="BT47" t="str">
        <f t="shared" ca="1" si="44"/>
        <v/>
      </c>
      <c r="BU47">
        <f t="shared" ca="1" si="45"/>
        <v>0</v>
      </c>
      <c r="BV47" t="str">
        <f t="shared" ca="1" si="46"/>
        <v/>
      </c>
      <c r="BW47">
        <f t="shared" ca="1" si="47"/>
        <v>0</v>
      </c>
      <c r="BX47" t="str">
        <f t="shared" ca="1" si="48"/>
        <v/>
      </c>
      <c r="BY47">
        <f t="shared" ca="1" si="49"/>
        <v>0</v>
      </c>
      <c r="BZ47" t="str">
        <f t="shared" ca="1" si="50"/>
        <v/>
      </c>
      <c r="CA47">
        <f t="shared" ca="1" si="51"/>
        <v>0</v>
      </c>
      <c r="CB47" t="str">
        <f t="shared" ca="1" si="52"/>
        <v/>
      </c>
      <c r="CC47">
        <f t="shared" ca="1" si="53"/>
        <v>0</v>
      </c>
    </row>
    <row r="48" spans="2:81" ht="14.25" customHeight="1" x14ac:dyDescent="0.3">
      <c r="B48" s="55">
        <f t="shared" si="27"/>
        <v>45</v>
      </c>
      <c r="C48" s="56" t="s">
        <v>101</v>
      </c>
      <c r="D48" s="12">
        <f>'Member Wise Deposit Summary'!D48</f>
        <v>1840409753</v>
      </c>
      <c r="E48" s="56">
        <v>1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7"/>
      <c r="AY48" s="56"/>
      <c r="AZ48" s="56"/>
      <c r="BA48" s="56"/>
      <c r="BB48" s="56">
        <f t="shared" si="28"/>
        <v>0</v>
      </c>
      <c r="BC48" s="56">
        <f t="shared" si="29"/>
        <v>0</v>
      </c>
      <c r="BE48">
        <f ca="1">'Monthly Collection-2026'!CC48</f>
        <v>0</v>
      </c>
      <c r="BF48" t="str">
        <f t="shared" ca="1" si="30"/>
        <v/>
      </c>
      <c r="BG48">
        <f t="shared" ca="1" si="31"/>
        <v>0</v>
      </c>
      <c r="BH48" t="str">
        <f t="shared" ca="1" si="32"/>
        <v/>
      </c>
      <c r="BI48">
        <f t="shared" ca="1" si="33"/>
        <v>0</v>
      </c>
      <c r="BJ48" t="str">
        <f t="shared" ca="1" si="34"/>
        <v/>
      </c>
      <c r="BK48">
        <f t="shared" ca="1" si="35"/>
        <v>0</v>
      </c>
      <c r="BL48" t="str">
        <f t="shared" ca="1" si="36"/>
        <v/>
      </c>
      <c r="BM48">
        <f t="shared" ca="1" si="37"/>
        <v>0</v>
      </c>
      <c r="BN48" t="str">
        <f t="shared" ca="1" si="38"/>
        <v/>
      </c>
      <c r="BO48">
        <f t="shared" ca="1" si="39"/>
        <v>0</v>
      </c>
      <c r="BP48" t="str">
        <f t="shared" ca="1" si="40"/>
        <v/>
      </c>
      <c r="BQ48">
        <f t="shared" ca="1" si="41"/>
        <v>0</v>
      </c>
      <c r="BR48" t="str">
        <f t="shared" ca="1" si="42"/>
        <v/>
      </c>
      <c r="BS48">
        <f t="shared" ca="1" si="43"/>
        <v>0</v>
      </c>
      <c r="BT48" t="str">
        <f t="shared" ca="1" si="44"/>
        <v/>
      </c>
      <c r="BU48">
        <f t="shared" ca="1" si="45"/>
        <v>0</v>
      </c>
      <c r="BV48" t="str">
        <f t="shared" ca="1" si="46"/>
        <v/>
      </c>
      <c r="BW48">
        <f t="shared" ca="1" si="47"/>
        <v>0</v>
      </c>
      <c r="BX48" t="str">
        <f t="shared" ca="1" si="48"/>
        <v/>
      </c>
      <c r="BY48">
        <f t="shared" ca="1" si="49"/>
        <v>0</v>
      </c>
      <c r="BZ48" t="str">
        <f t="shared" ca="1" si="50"/>
        <v/>
      </c>
      <c r="CA48">
        <f t="shared" ca="1" si="51"/>
        <v>0</v>
      </c>
      <c r="CB48" t="str">
        <f t="shared" ca="1" si="52"/>
        <v/>
      </c>
      <c r="CC48">
        <f t="shared" ca="1" si="53"/>
        <v>0</v>
      </c>
    </row>
    <row r="49" spans="2:81" ht="14.25" customHeight="1" x14ac:dyDescent="0.3">
      <c r="B49" s="51">
        <f t="shared" si="27"/>
        <v>46</v>
      </c>
      <c r="C49" s="52" t="s">
        <v>115</v>
      </c>
      <c r="D49" s="16">
        <f>'Member Wise Deposit Summary'!D49</f>
        <v>1871081769</v>
      </c>
      <c r="E49" s="52">
        <v>1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3"/>
      <c r="AY49" s="52"/>
      <c r="AZ49" s="52"/>
      <c r="BA49" s="52"/>
      <c r="BB49" s="52">
        <f t="shared" si="28"/>
        <v>0</v>
      </c>
      <c r="BC49" s="52">
        <f t="shared" si="29"/>
        <v>0</v>
      </c>
      <c r="BE49">
        <f ca="1">'Monthly Collection-2026'!CC49</f>
        <v>0</v>
      </c>
      <c r="BF49" t="str">
        <f t="shared" ca="1" si="30"/>
        <v/>
      </c>
      <c r="BG49">
        <f t="shared" ca="1" si="31"/>
        <v>0</v>
      </c>
      <c r="BH49" t="str">
        <f t="shared" ca="1" si="32"/>
        <v/>
      </c>
      <c r="BI49">
        <f t="shared" ca="1" si="33"/>
        <v>0</v>
      </c>
      <c r="BJ49" t="str">
        <f t="shared" ca="1" si="34"/>
        <v/>
      </c>
      <c r="BK49">
        <f t="shared" ca="1" si="35"/>
        <v>0</v>
      </c>
      <c r="BL49" t="str">
        <f t="shared" ca="1" si="36"/>
        <v/>
      </c>
      <c r="BM49">
        <f t="shared" ca="1" si="37"/>
        <v>0</v>
      </c>
      <c r="BN49" t="str">
        <f t="shared" ca="1" si="38"/>
        <v/>
      </c>
      <c r="BO49">
        <f t="shared" ca="1" si="39"/>
        <v>0</v>
      </c>
      <c r="BP49" t="str">
        <f t="shared" ca="1" si="40"/>
        <v/>
      </c>
      <c r="BQ49">
        <f t="shared" ca="1" si="41"/>
        <v>0</v>
      </c>
      <c r="BR49" t="str">
        <f t="shared" ca="1" si="42"/>
        <v/>
      </c>
      <c r="BS49">
        <f t="shared" ca="1" si="43"/>
        <v>0</v>
      </c>
      <c r="BT49" t="str">
        <f t="shared" ca="1" si="44"/>
        <v/>
      </c>
      <c r="BU49">
        <f t="shared" ca="1" si="45"/>
        <v>0</v>
      </c>
      <c r="BV49" t="str">
        <f t="shared" ca="1" si="46"/>
        <v/>
      </c>
      <c r="BW49">
        <f t="shared" ca="1" si="47"/>
        <v>0</v>
      </c>
      <c r="BX49" t="str">
        <f t="shared" ca="1" si="48"/>
        <v/>
      </c>
      <c r="BY49">
        <f t="shared" ca="1" si="49"/>
        <v>0</v>
      </c>
      <c r="BZ49" t="str">
        <f t="shared" ca="1" si="50"/>
        <v/>
      </c>
      <c r="CA49">
        <f t="shared" ca="1" si="51"/>
        <v>0</v>
      </c>
      <c r="CB49" t="str">
        <f t="shared" ca="1" si="52"/>
        <v/>
      </c>
      <c r="CC49">
        <f t="shared" ca="1" si="53"/>
        <v>0</v>
      </c>
    </row>
    <row r="50" spans="2:81" ht="14.25" customHeight="1" x14ac:dyDescent="0.3">
      <c r="B50" s="55">
        <f t="shared" si="27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7"/>
      <c r="AY50" s="56"/>
      <c r="AZ50" s="56"/>
      <c r="BA50" s="56"/>
      <c r="BB50" s="56">
        <f t="shared" si="28"/>
        <v>0</v>
      </c>
      <c r="BC50" s="56">
        <f t="shared" si="29"/>
        <v>0</v>
      </c>
      <c r="BE50">
        <f ca="1">'Monthly Collection-2026'!CC50</f>
        <v>0</v>
      </c>
      <c r="BF50" t="str">
        <f t="shared" ca="1" si="30"/>
        <v/>
      </c>
      <c r="BG50">
        <f t="shared" ca="1" si="31"/>
        <v>0</v>
      </c>
      <c r="BH50" t="str">
        <f t="shared" ca="1" si="32"/>
        <v/>
      </c>
      <c r="BI50">
        <f t="shared" ca="1" si="33"/>
        <v>0</v>
      </c>
      <c r="BJ50" t="str">
        <f t="shared" ca="1" si="34"/>
        <v/>
      </c>
      <c r="BK50">
        <f t="shared" ca="1" si="35"/>
        <v>0</v>
      </c>
      <c r="BL50" t="str">
        <f t="shared" ca="1" si="36"/>
        <v/>
      </c>
      <c r="BM50">
        <f t="shared" ca="1" si="37"/>
        <v>0</v>
      </c>
      <c r="BN50" t="str">
        <f t="shared" ca="1" si="38"/>
        <v/>
      </c>
      <c r="BO50">
        <f t="shared" ca="1" si="39"/>
        <v>0</v>
      </c>
      <c r="BP50" t="str">
        <f t="shared" ca="1" si="40"/>
        <v/>
      </c>
      <c r="BQ50">
        <f t="shared" ca="1" si="41"/>
        <v>0</v>
      </c>
      <c r="BR50" t="str">
        <f t="shared" ca="1" si="42"/>
        <v/>
      </c>
      <c r="BS50">
        <f t="shared" ca="1" si="43"/>
        <v>0</v>
      </c>
      <c r="BT50" t="str">
        <f t="shared" ca="1" si="44"/>
        <v/>
      </c>
      <c r="BU50">
        <f t="shared" ca="1" si="45"/>
        <v>0</v>
      </c>
      <c r="BV50" t="str">
        <f t="shared" ca="1" si="46"/>
        <v/>
      </c>
      <c r="BW50">
        <f t="shared" ca="1" si="47"/>
        <v>0</v>
      </c>
      <c r="BX50" t="str">
        <f t="shared" ca="1" si="48"/>
        <v/>
      </c>
      <c r="BY50">
        <f t="shared" ca="1" si="49"/>
        <v>0</v>
      </c>
      <c r="BZ50" t="str">
        <f t="shared" ca="1" si="50"/>
        <v/>
      </c>
      <c r="CA50">
        <f t="shared" ca="1" si="51"/>
        <v>0</v>
      </c>
      <c r="CB50" t="str">
        <f t="shared" ca="1" si="52"/>
        <v/>
      </c>
      <c r="CC50">
        <f t="shared" ca="1" si="53"/>
        <v>0</v>
      </c>
    </row>
    <row r="51" spans="2:81" ht="14.25" customHeight="1" x14ac:dyDescent="0.3">
      <c r="B51" s="51">
        <f t="shared" si="27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3"/>
      <c r="AY51" s="52"/>
      <c r="AZ51" s="52"/>
      <c r="BA51" s="52"/>
      <c r="BB51" s="52">
        <f t="shared" si="28"/>
        <v>0</v>
      </c>
      <c r="BC51" s="52">
        <f t="shared" si="29"/>
        <v>0</v>
      </c>
      <c r="BE51">
        <f ca="1">'Monthly Collection-2026'!CC51</f>
        <v>0</v>
      </c>
      <c r="BF51" t="str">
        <f t="shared" ca="1" si="30"/>
        <v/>
      </c>
      <c r="BG51">
        <f t="shared" ca="1" si="31"/>
        <v>0</v>
      </c>
      <c r="BH51" t="str">
        <f t="shared" ca="1" si="32"/>
        <v/>
      </c>
      <c r="BI51">
        <f t="shared" ca="1" si="33"/>
        <v>0</v>
      </c>
      <c r="BJ51" t="str">
        <f t="shared" ca="1" si="34"/>
        <v/>
      </c>
      <c r="BK51">
        <f t="shared" ca="1" si="35"/>
        <v>0</v>
      </c>
      <c r="BL51" t="str">
        <f t="shared" ca="1" si="36"/>
        <v/>
      </c>
      <c r="BM51">
        <f t="shared" ca="1" si="37"/>
        <v>0</v>
      </c>
      <c r="BN51" t="str">
        <f t="shared" ca="1" si="38"/>
        <v/>
      </c>
      <c r="BO51">
        <f t="shared" ca="1" si="39"/>
        <v>0</v>
      </c>
      <c r="BP51" t="str">
        <f t="shared" ca="1" si="40"/>
        <v/>
      </c>
      <c r="BQ51">
        <f t="shared" ca="1" si="41"/>
        <v>0</v>
      </c>
      <c r="BR51" t="str">
        <f t="shared" ca="1" si="42"/>
        <v/>
      </c>
      <c r="BS51">
        <f t="shared" ca="1" si="43"/>
        <v>0</v>
      </c>
      <c r="BT51" t="str">
        <f t="shared" ca="1" si="44"/>
        <v/>
      </c>
      <c r="BU51">
        <f t="shared" ca="1" si="45"/>
        <v>0</v>
      </c>
      <c r="BV51" t="str">
        <f t="shared" ca="1" si="46"/>
        <v/>
      </c>
      <c r="BW51">
        <f t="shared" ca="1" si="47"/>
        <v>0</v>
      </c>
      <c r="BX51" t="str">
        <f t="shared" ca="1" si="48"/>
        <v/>
      </c>
      <c r="BY51">
        <f t="shared" ca="1" si="49"/>
        <v>0</v>
      </c>
      <c r="BZ51" t="str">
        <f t="shared" ca="1" si="50"/>
        <v/>
      </c>
      <c r="CA51">
        <f t="shared" ca="1" si="51"/>
        <v>0</v>
      </c>
      <c r="CB51" t="str">
        <f t="shared" ca="1" si="52"/>
        <v/>
      </c>
      <c r="CC51">
        <f t="shared" ca="1" si="53"/>
        <v>0</v>
      </c>
    </row>
    <row r="52" spans="2:81" ht="14.25" customHeight="1" x14ac:dyDescent="0.3">
      <c r="B52" s="55">
        <f t="shared" si="27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7"/>
      <c r="AY52" s="56"/>
      <c r="AZ52" s="56"/>
      <c r="BA52" s="56"/>
      <c r="BB52" s="56">
        <f t="shared" si="28"/>
        <v>0</v>
      </c>
      <c r="BC52" s="56">
        <f t="shared" si="29"/>
        <v>0</v>
      </c>
      <c r="BE52">
        <f ca="1">'Monthly Collection-2026'!CC52</f>
        <v>0</v>
      </c>
      <c r="BF52" t="str">
        <f t="shared" ca="1" si="30"/>
        <v/>
      </c>
      <c r="BG52">
        <f t="shared" ca="1" si="31"/>
        <v>0</v>
      </c>
      <c r="BH52" t="str">
        <f t="shared" ca="1" si="32"/>
        <v/>
      </c>
      <c r="BI52">
        <f t="shared" ca="1" si="33"/>
        <v>0</v>
      </c>
      <c r="BJ52" t="str">
        <f t="shared" ca="1" si="34"/>
        <v/>
      </c>
      <c r="BK52">
        <f t="shared" ca="1" si="35"/>
        <v>0</v>
      </c>
      <c r="BL52" t="str">
        <f t="shared" ca="1" si="36"/>
        <v/>
      </c>
      <c r="BM52">
        <f t="shared" ca="1" si="37"/>
        <v>0</v>
      </c>
      <c r="BN52" t="str">
        <f t="shared" ca="1" si="38"/>
        <v/>
      </c>
      <c r="BO52">
        <f t="shared" ca="1" si="39"/>
        <v>0</v>
      </c>
      <c r="BP52" t="str">
        <f t="shared" ca="1" si="40"/>
        <v/>
      </c>
      <c r="BQ52">
        <f t="shared" ca="1" si="41"/>
        <v>0</v>
      </c>
      <c r="BR52" t="str">
        <f t="shared" ca="1" si="42"/>
        <v/>
      </c>
      <c r="BS52">
        <f t="shared" ca="1" si="43"/>
        <v>0</v>
      </c>
      <c r="BT52" t="str">
        <f t="shared" ca="1" si="44"/>
        <v/>
      </c>
      <c r="BU52">
        <f t="shared" ca="1" si="45"/>
        <v>0</v>
      </c>
      <c r="BV52" t="str">
        <f t="shared" ca="1" si="46"/>
        <v/>
      </c>
      <c r="BW52">
        <f t="shared" ca="1" si="47"/>
        <v>0</v>
      </c>
      <c r="BX52" t="str">
        <f t="shared" ca="1" si="48"/>
        <v/>
      </c>
      <c r="BY52">
        <f t="shared" ca="1" si="49"/>
        <v>0</v>
      </c>
      <c r="BZ52" t="str">
        <f t="shared" ca="1" si="50"/>
        <v/>
      </c>
      <c r="CA52">
        <f t="shared" ca="1" si="51"/>
        <v>0</v>
      </c>
      <c r="CB52" t="str">
        <f t="shared" ca="1" si="52"/>
        <v/>
      </c>
      <c r="CC52">
        <f t="shared" ca="1" si="53"/>
        <v>0</v>
      </c>
    </row>
    <row r="53" spans="2:81" ht="14.25" customHeight="1" x14ac:dyDescent="0.3">
      <c r="B53" s="51">
        <f t="shared" si="27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3"/>
      <c r="AY53" s="52"/>
      <c r="AZ53" s="52"/>
      <c r="BA53" s="52"/>
      <c r="BB53" s="52">
        <f t="shared" si="28"/>
        <v>0</v>
      </c>
      <c r="BC53" s="52">
        <f t="shared" si="29"/>
        <v>0</v>
      </c>
      <c r="BE53">
        <f ca="1">'Monthly Collection-2026'!CC53</f>
        <v>0</v>
      </c>
      <c r="BF53" t="str">
        <f t="shared" ca="1" si="30"/>
        <v/>
      </c>
      <c r="BG53">
        <f t="shared" ca="1" si="31"/>
        <v>0</v>
      </c>
      <c r="BH53" t="str">
        <f t="shared" ca="1" si="32"/>
        <v/>
      </c>
      <c r="BI53">
        <f t="shared" ca="1" si="33"/>
        <v>0</v>
      </c>
      <c r="BJ53" t="str">
        <f t="shared" ca="1" si="34"/>
        <v/>
      </c>
      <c r="BK53">
        <f t="shared" ca="1" si="35"/>
        <v>0</v>
      </c>
      <c r="BL53" t="str">
        <f t="shared" ca="1" si="36"/>
        <v/>
      </c>
      <c r="BM53">
        <f t="shared" ca="1" si="37"/>
        <v>0</v>
      </c>
      <c r="BN53" t="str">
        <f t="shared" ca="1" si="38"/>
        <v/>
      </c>
      <c r="BO53">
        <f t="shared" ca="1" si="39"/>
        <v>0</v>
      </c>
      <c r="BP53" t="str">
        <f t="shared" ca="1" si="40"/>
        <v/>
      </c>
      <c r="BQ53">
        <f t="shared" ca="1" si="41"/>
        <v>0</v>
      </c>
      <c r="BR53" t="str">
        <f t="shared" ca="1" si="42"/>
        <v/>
      </c>
      <c r="BS53">
        <f t="shared" ca="1" si="43"/>
        <v>0</v>
      </c>
      <c r="BT53" t="str">
        <f t="shared" ca="1" si="44"/>
        <v/>
      </c>
      <c r="BU53">
        <f t="shared" ca="1" si="45"/>
        <v>0</v>
      </c>
      <c r="BV53" t="str">
        <f t="shared" ca="1" si="46"/>
        <v/>
      </c>
      <c r="BW53">
        <f t="shared" ca="1" si="47"/>
        <v>0</v>
      </c>
      <c r="BX53" t="str">
        <f t="shared" ca="1" si="48"/>
        <v/>
      </c>
      <c r="BY53">
        <f t="shared" ca="1" si="49"/>
        <v>0</v>
      </c>
      <c r="BZ53" t="str">
        <f t="shared" ca="1" si="50"/>
        <v/>
      </c>
      <c r="CA53">
        <f t="shared" ca="1" si="51"/>
        <v>0</v>
      </c>
      <c r="CB53" t="str">
        <f t="shared" ca="1" si="52"/>
        <v/>
      </c>
      <c r="CC53">
        <f t="shared" ca="1" si="53"/>
        <v>0</v>
      </c>
    </row>
    <row r="54" spans="2:81" ht="14.25" customHeight="1" x14ac:dyDescent="0.3">
      <c r="B54" s="55">
        <f t="shared" si="27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7"/>
      <c r="AY54" s="56"/>
      <c r="AZ54" s="56"/>
      <c r="BA54" s="56"/>
      <c r="BB54" s="56">
        <f t="shared" si="28"/>
        <v>0</v>
      </c>
      <c r="BC54" s="56">
        <f t="shared" si="29"/>
        <v>0</v>
      </c>
      <c r="BE54">
        <f ca="1">'Monthly Collection-2026'!CC54</f>
        <v>0</v>
      </c>
      <c r="BF54" t="str">
        <f t="shared" ca="1" si="30"/>
        <v/>
      </c>
      <c r="BG54">
        <f t="shared" ca="1" si="31"/>
        <v>0</v>
      </c>
      <c r="BH54" t="str">
        <f t="shared" ca="1" si="32"/>
        <v/>
      </c>
      <c r="BI54">
        <f t="shared" ca="1" si="33"/>
        <v>0</v>
      </c>
      <c r="BJ54" t="str">
        <f t="shared" ca="1" si="34"/>
        <v/>
      </c>
      <c r="BK54">
        <f t="shared" ca="1" si="35"/>
        <v>0</v>
      </c>
      <c r="BL54" t="str">
        <f t="shared" ca="1" si="36"/>
        <v/>
      </c>
      <c r="BM54">
        <f t="shared" ca="1" si="37"/>
        <v>0</v>
      </c>
      <c r="BN54" t="str">
        <f t="shared" ca="1" si="38"/>
        <v/>
      </c>
      <c r="BO54">
        <f t="shared" ca="1" si="39"/>
        <v>0</v>
      </c>
      <c r="BP54" t="str">
        <f t="shared" ca="1" si="40"/>
        <v/>
      </c>
      <c r="BQ54">
        <f t="shared" ca="1" si="41"/>
        <v>0</v>
      </c>
      <c r="BR54" t="str">
        <f t="shared" ca="1" si="42"/>
        <v/>
      </c>
      <c r="BS54">
        <f t="shared" ca="1" si="43"/>
        <v>0</v>
      </c>
      <c r="BT54" t="str">
        <f t="shared" ca="1" si="44"/>
        <v/>
      </c>
      <c r="BU54">
        <f t="shared" ca="1" si="45"/>
        <v>0</v>
      </c>
      <c r="BV54" t="str">
        <f t="shared" ca="1" si="46"/>
        <v/>
      </c>
      <c r="BW54">
        <f t="shared" ca="1" si="47"/>
        <v>0</v>
      </c>
      <c r="BX54" t="str">
        <f t="shared" ca="1" si="48"/>
        <v/>
      </c>
      <c r="BY54">
        <f t="shared" ca="1" si="49"/>
        <v>0</v>
      </c>
      <c r="BZ54" t="str">
        <f t="shared" ca="1" si="50"/>
        <v/>
      </c>
      <c r="CA54">
        <f t="shared" ca="1" si="51"/>
        <v>0</v>
      </c>
      <c r="CB54" t="str">
        <f t="shared" ca="1" si="52"/>
        <v/>
      </c>
      <c r="CC54">
        <f t="shared" ca="1" si="53"/>
        <v>0</v>
      </c>
    </row>
    <row r="55" spans="2:81" ht="14.25" customHeight="1" x14ac:dyDescent="0.3">
      <c r="B55" s="51">
        <f t="shared" si="27"/>
        <v>52</v>
      </c>
      <c r="C55" s="52" t="s">
        <v>121</v>
      </c>
      <c r="D55" s="16">
        <f>'Member Wise Deposit Summary'!D55</f>
        <v>1833903155</v>
      </c>
      <c r="E55" s="52">
        <v>1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3"/>
      <c r="AY55" s="52"/>
      <c r="AZ55" s="52"/>
      <c r="BA55" s="52"/>
      <c r="BB55" s="52">
        <f t="shared" si="28"/>
        <v>0</v>
      </c>
      <c r="BC55" s="52">
        <f t="shared" si="29"/>
        <v>0</v>
      </c>
      <c r="BE55">
        <f ca="1">'Monthly Collection-2026'!CC55</f>
        <v>0</v>
      </c>
      <c r="BF55" t="str">
        <f t="shared" ca="1" si="30"/>
        <v/>
      </c>
      <c r="BG55">
        <f t="shared" ca="1" si="31"/>
        <v>0</v>
      </c>
      <c r="BH55" t="str">
        <f t="shared" ca="1" si="32"/>
        <v/>
      </c>
      <c r="BI55">
        <f t="shared" ca="1" si="33"/>
        <v>0</v>
      </c>
      <c r="BJ55" t="str">
        <f t="shared" ca="1" si="34"/>
        <v/>
      </c>
      <c r="BK55">
        <f t="shared" ca="1" si="35"/>
        <v>0</v>
      </c>
      <c r="BL55" t="str">
        <f t="shared" ca="1" si="36"/>
        <v/>
      </c>
      <c r="BM55">
        <f t="shared" ca="1" si="37"/>
        <v>0</v>
      </c>
      <c r="BN55" t="str">
        <f t="shared" ca="1" si="38"/>
        <v/>
      </c>
      <c r="BO55">
        <f t="shared" ca="1" si="39"/>
        <v>0</v>
      </c>
      <c r="BP55" t="str">
        <f t="shared" ca="1" si="40"/>
        <v/>
      </c>
      <c r="BQ55">
        <f t="shared" ca="1" si="41"/>
        <v>0</v>
      </c>
      <c r="BR55" t="str">
        <f t="shared" ca="1" si="42"/>
        <v/>
      </c>
      <c r="BS55">
        <f t="shared" ca="1" si="43"/>
        <v>0</v>
      </c>
      <c r="BT55" t="str">
        <f t="shared" ca="1" si="44"/>
        <v/>
      </c>
      <c r="BU55">
        <f t="shared" ca="1" si="45"/>
        <v>0</v>
      </c>
      <c r="BV55" t="str">
        <f t="shared" ca="1" si="46"/>
        <v/>
      </c>
      <c r="BW55">
        <f t="shared" ca="1" si="47"/>
        <v>0</v>
      </c>
      <c r="BX55" t="str">
        <f t="shared" ca="1" si="48"/>
        <v/>
      </c>
      <c r="BY55">
        <f t="shared" ca="1" si="49"/>
        <v>0</v>
      </c>
      <c r="BZ55" t="str">
        <f t="shared" ca="1" si="50"/>
        <v/>
      </c>
      <c r="CA55">
        <f t="shared" ca="1" si="51"/>
        <v>0</v>
      </c>
      <c r="CB55" t="str">
        <f t="shared" ca="1" si="52"/>
        <v/>
      </c>
      <c r="CC55">
        <f t="shared" ca="1" si="53"/>
        <v>0</v>
      </c>
    </row>
    <row r="56" spans="2:81" ht="14.25" customHeight="1" x14ac:dyDescent="0.3">
      <c r="B56" s="55">
        <f t="shared" si="27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7"/>
      <c r="AY56" s="56"/>
      <c r="AZ56" s="56"/>
      <c r="BA56" s="56"/>
      <c r="BB56" s="56">
        <f t="shared" si="28"/>
        <v>0</v>
      </c>
      <c r="BC56" s="56">
        <f t="shared" si="29"/>
        <v>0</v>
      </c>
      <c r="BE56">
        <f ca="1">'Monthly Collection-2026'!CC56</f>
        <v>0</v>
      </c>
      <c r="BF56" t="str">
        <f t="shared" ca="1" si="30"/>
        <v/>
      </c>
      <c r="BG56">
        <f t="shared" ca="1" si="31"/>
        <v>0</v>
      </c>
      <c r="BH56" t="str">
        <f t="shared" ca="1" si="32"/>
        <v/>
      </c>
      <c r="BI56">
        <f t="shared" ca="1" si="33"/>
        <v>0</v>
      </c>
      <c r="BJ56" t="str">
        <f t="shared" ca="1" si="34"/>
        <v/>
      </c>
      <c r="BK56">
        <f t="shared" ca="1" si="35"/>
        <v>0</v>
      </c>
      <c r="BL56" t="str">
        <f t="shared" ca="1" si="36"/>
        <v/>
      </c>
      <c r="BM56">
        <f t="shared" ca="1" si="37"/>
        <v>0</v>
      </c>
      <c r="BN56" t="str">
        <f t="shared" ca="1" si="38"/>
        <v/>
      </c>
      <c r="BO56">
        <f t="shared" ca="1" si="39"/>
        <v>0</v>
      </c>
      <c r="BP56" t="str">
        <f t="shared" ca="1" si="40"/>
        <v/>
      </c>
      <c r="BQ56">
        <f t="shared" ca="1" si="41"/>
        <v>0</v>
      </c>
      <c r="BR56" t="str">
        <f t="shared" ca="1" si="42"/>
        <v/>
      </c>
      <c r="BS56">
        <f t="shared" ca="1" si="43"/>
        <v>0</v>
      </c>
      <c r="BT56" t="str">
        <f t="shared" ca="1" si="44"/>
        <v/>
      </c>
      <c r="BU56">
        <f t="shared" ca="1" si="45"/>
        <v>0</v>
      </c>
      <c r="BV56" t="str">
        <f t="shared" ca="1" si="46"/>
        <v/>
      </c>
      <c r="BW56">
        <f t="shared" ca="1" si="47"/>
        <v>0</v>
      </c>
      <c r="BX56" t="str">
        <f t="shared" ca="1" si="48"/>
        <v/>
      </c>
      <c r="BY56">
        <f t="shared" ca="1" si="49"/>
        <v>0</v>
      </c>
      <c r="BZ56" t="str">
        <f t="shared" ca="1" si="50"/>
        <v/>
      </c>
      <c r="CA56">
        <f t="shared" ca="1" si="51"/>
        <v>0</v>
      </c>
      <c r="CB56" t="str">
        <f t="shared" ca="1" si="52"/>
        <v/>
      </c>
      <c r="CC56">
        <f t="shared" ca="1" si="53"/>
        <v>0</v>
      </c>
    </row>
    <row r="57" spans="2:81" ht="14.25" customHeight="1" x14ac:dyDescent="0.3">
      <c r="B57" s="51">
        <f t="shared" si="27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3"/>
      <c r="AY57" s="52"/>
      <c r="AZ57" s="52"/>
      <c r="BA57" s="52"/>
      <c r="BB57" s="52">
        <f t="shared" si="28"/>
        <v>0</v>
      </c>
      <c r="BC57" s="52">
        <f t="shared" si="29"/>
        <v>0</v>
      </c>
      <c r="BE57">
        <f ca="1">'Monthly Collection-2026'!CC57</f>
        <v>0</v>
      </c>
      <c r="BF57" t="str">
        <f t="shared" ca="1" si="30"/>
        <v/>
      </c>
      <c r="BG57">
        <f t="shared" ca="1" si="31"/>
        <v>0</v>
      </c>
      <c r="BH57" t="str">
        <f t="shared" ca="1" si="32"/>
        <v/>
      </c>
      <c r="BI57">
        <f t="shared" ca="1" si="33"/>
        <v>0</v>
      </c>
      <c r="BJ57" t="str">
        <f t="shared" ca="1" si="34"/>
        <v/>
      </c>
      <c r="BK57">
        <f t="shared" ca="1" si="35"/>
        <v>0</v>
      </c>
      <c r="BL57" t="str">
        <f t="shared" ca="1" si="36"/>
        <v/>
      </c>
      <c r="BM57">
        <f t="shared" ca="1" si="37"/>
        <v>0</v>
      </c>
      <c r="BN57" t="str">
        <f t="shared" ca="1" si="38"/>
        <v/>
      </c>
      <c r="BO57">
        <f t="shared" ca="1" si="39"/>
        <v>0</v>
      </c>
      <c r="BP57" t="str">
        <f t="shared" ca="1" si="40"/>
        <v/>
      </c>
      <c r="BQ57">
        <f t="shared" ca="1" si="41"/>
        <v>0</v>
      </c>
      <c r="BR57" t="str">
        <f t="shared" ca="1" si="42"/>
        <v/>
      </c>
      <c r="BS57">
        <f t="shared" ca="1" si="43"/>
        <v>0</v>
      </c>
      <c r="BT57" t="str">
        <f t="shared" ca="1" si="44"/>
        <v/>
      </c>
      <c r="BU57">
        <f t="shared" ca="1" si="45"/>
        <v>0</v>
      </c>
      <c r="BV57" t="str">
        <f t="shared" ca="1" si="46"/>
        <v/>
      </c>
      <c r="BW57">
        <f t="shared" ca="1" si="47"/>
        <v>0</v>
      </c>
      <c r="BX57" t="str">
        <f t="shared" ca="1" si="48"/>
        <v/>
      </c>
      <c r="BY57">
        <f t="shared" ca="1" si="49"/>
        <v>0</v>
      </c>
      <c r="BZ57" t="str">
        <f t="shared" ca="1" si="50"/>
        <v/>
      </c>
      <c r="CA57">
        <f t="shared" ca="1" si="51"/>
        <v>0</v>
      </c>
      <c r="CB57" t="str">
        <f t="shared" ca="1" si="52"/>
        <v/>
      </c>
      <c r="CC57">
        <f t="shared" ca="1" si="53"/>
        <v>0</v>
      </c>
    </row>
    <row r="58" spans="2:81" ht="14.25" customHeight="1" x14ac:dyDescent="0.3">
      <c r="B58" s="55">
        <f t="shared" si="27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7"/>
      <c r="AY58" s="56"/>
      <c r="AZ58" s="56"/>
      <c r="BA58" s="56"/>
      <c r="BB58" s="56">
        <f t="shared" si="28"/>
        <v>0</v>
      </c>
      <c r="BC58" s="56">
        <f t="shared" si="29"/>
        <v>0</v>
      </c>
      <c r="BE58">
        <f ca="1">'Monthly Collection-2026'!CC58</f>
        <v>0</v>
      </c>
      <c r="BF58" t="str">
        <f t="shared" ca="1" si="30"/>
        <v/>
      </c>
      <c r="BG58">
        <f t="shared" ca="1" si="31"/>
        <v>0</v>
      </c>
      <c r="BH58" t="str">
        <f t="shared" ca="1" si="32"/>
        <v/>
      </c>
      <c r="BI58">
        <f t="shared" ca="1" si="33"/>
        <v>0</v>
      </c>
      <c r="BJ58" t="str">
        <f t="shared" ca="1" si="34"/>
        <v/>
      </c>
      <c r="BK58">
        <f t="shared" ca="1" si="35"/>
        <v>0</v>
      </c>
      <c r="BL58" t="str">
        <f t="shared" ca="1" si="36"/>
        <v/>
      </c>
      <c r="BM58">
        <f t="shared" ca="1" si="37"/>
        <v>0</v>
      </c>
      <c r="BN58" t="str">
        <f t="shared" ca="1" si="38"/>
        <v/>
      </c>
      <c r="BO58">
        <f t="shared" ca="1" si="39"/>
        <v>0</v>
      </c>
      <c r="BP58" t="str">
        <f t="shared" ca="1" si="40"/>
        <v/>
      </c>
      <c r="BQ58">
        <f t="shared" ca="1" si="41"/>
        <v>0</v>
      </c>
      <c r="BR58" t="str">
        <f t="shared" ca="1" si="42"/>
        <v/>
      </c>
      <c r="BS58">
        <f t="shared" ca="1" si="43"/>
        <v>0</v>
      </c>
      <c r="BT58" t="str">
        <f t="shared" ca="1" si="44"/>
        <v/>
      </c>
      <c r="BU58">
        <f t="shared" ca="1" si="45"/>
        <v>0</v>
      </c>
      <c r="BV58" t="str">
        <f t="shared" ca="1" si="46"/>
        <v/>
      </c>
      <c r="BW58">
        <f t="shared" ca="1" si="47"/>
        <v>0</v>
      </c>
      <c r="BX58" t="str">
        <f t="shared" ca="1" si="48"/>
        <v/>
      </c>
      <c r="BY58">
        <f t="shared" ca="1" si="49"/>
        <v>0</v>
      </c>
      <c r="BZ58" t="str">
        <f t="shared" ca="1" si="50"/>
        <v/>
      </c>
      <c r="CA58">
        <f t="shared" ca="1" si="51"/>
        <v>0</v>
      </c>
      <c r="CB58" t="str">
        <f t="shared" ca="1" si="52"/>
        <v/>
      </c>
      <c r="CC58">
        <f t="shared" ca="1" si="53"/>
        <v>0</v>
      </c>
    </row>
    <row r="59" spans="2:81" ht="14.25" customHeight="1" x14ac:dyDescent="0.3">
      <c r="B59" s="51">
        <f t="shared" si="27"/>
        <v>56</v>
      </c>
      <c r="C59" s="52" t="s">
        <v>125</v>
      </c>
      <c r="D59" s="16" t="str">
        <f>'Member Wise Deposit Summary'!D59</f>
        <v>01585430658</v>
      </c>
      <c r="E59" s="52">
        <v>1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3"/>
      <c r="AY59" s="52"/>
      <c r="AZ59" s="52"/>
      <c r="BA59" s="52"/>
      <c r="BB59" s="52">
        <f t="shared" si="28"/>
        <v>0</v>
      </c>
      <c r="BC59" s="52">
        <f t="shared" si="29"/>
        <v>0</v>
      </c>
      <c r="BE59">
        <f ca="1">'Monthly Collection-2026'!CC59</f>
        <v>0</v>
      </c>
      <c r="BF59" t="str">
        <f t="shared" ca="1" si="30"/>
        <v/>
      </c>
      <c r="BG59">
        <f t="shared" ca="1" si="31"/>
        <v>0</v>
      </c>
      <c r="BH59" t="str">
        <f t="shared" ca="1" si="32"/>
        <v/>
      </c>
      <c r="BI59">
        <f t="shared" ca="1" si="33"/>
        <v>0</v>
      </c>
      <c r="BJ59" t="str">
        <f t="shared" ca="1" si="34"/>
        <v/>
      </c>
      <c r="BK59">
        <f t="shared" ca="1" si="35"/>
        <v>0</v>
      </c>
      <c r="BL59" t="str">
        <f t="shared" ca="1" si="36"/>
        <v/>
      </c>
      <c r="BM59">
        <f t="shared" ca="1" si="37"/>
        <v>0</v>
      </c>
      <c r="BN59" t="str">
        <f t="shared" ca="1" si="38"/>
        <v/>
      </c>
      <c r="BO59">
        <f t="shared" ca="1" si="39"/>
        <v>0</v>
      </c>
      <c r="BP59" t="str">
        <f t="shared" ca="1" si="40"/>
        <v/>
      </c>
      <c r="BQ59">
        <f t="shared" ca="1" si="41"/>
        <v>0</v>
      </c>
      <c r="BR59" t="str">
        <f t="shared" ca="1" si="42"/>
        <v/>
      </c>
      <c r="BS59">
        <f t="shared" ca="1" si="43"/>
        <v>0</v>
      </c>
      <c r="BT59" t="str">
        <f t="shared" ca="1" si="44"/>
        <v/>
      </c>
      <c r="BU59">
        <f t="shared" ca="1" si="45"/>
        <v>0</v>
      </c>
      <c r="BV59" t="str">
        <f t="shared" ca="1" si="46"/>
        <v/>
      </c>
      <c r="BW59">
        <f t="shared" ca="1" si="47"/>
        <v>0</v>
      </c>
      <c r="BX59" t="str">
        <f t="shared" ca="1" si="48"/>
        <v/>
      </c>
      <c r="BY59">
        <f t="shared" ca="1" si="49"/>
        <v>0</v>
      </c>
      <c r="BZ59" t="str">
        <f t="shared" ca="1" si="50"/>
        <v/>
      </c>
      <c r="CA59">
        <f t="shared" ca="1" si="51"/>
        <v>0</v>
      </c>
      <c r="CB59" t="str">
        <f t="shared" ca="1" si="52"/>
        <v/>
      </c>
      <c r="CC59">
        <f t="shared" ca="1" si="53"/>
        <v>0</v>
      </c>
    </row>
    <row r="60" spans="2:81" ht="14.25" customHeight="1" x14ac:dyDescent="0.3">
      <c r="B60" s="55">
        <f t="shared" si="27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7"/>
      <c r="AY60" s="56"/>
      <c r="AZ60" s="56"/>
      <c r="BA60" s="56"/>
      <c r="BB60" s="56">
        <f t="shared" si="28"/>
        <v>0</v>
      </c>
      <c r="BC60" s="56">
        <f t="shared" si="29"/>
        <v>0</v>
      </c>
      <c r="BE60">
        <f ca="1">'Monthly Collection-2026'!CC60</f>
        <v>0</v>
      </c>
      <c r="BF60" t="str">
        <f t="shared" ca="1" si="30"/>
        <v/>
      </c>
      <c r="BG60">
        <f t="shared" ca="1" si="31"/>
        <v>0</v>
      </c>
      <c r="BH60" t="str">
        <f t="shared" ca="1" si="32"/>
        <v/>
      </c>
      <c r="BI60">
        <f t="shared" ca="1" si="33"/>
        <v>0</v>
      </c>
      <c r="BJ60" t="str">
        <f t="shared" ca="1" si="34"/>
        <v/>
      </c>
      <c r="BK60">
        <f t="shared" ca="1" si="35"/>
        <v>0</v>
      </c>
      <c r="BL60" t="str">
        <f t="shared" ca="1" si="36"/>
        <v/>
      </c>
      <c r="BM60">
        <f t="shared" ca="1" si="37"/>
        <v>0</v>
      </c>
      <c r="BN60" t="str">
        <f t="shared" ca="1" si="38"/>
        <v/>
      </c>
      <c r="BO60">
        <f t="shared" ca="1" si="39"/>
        <v>0</v>
      </c>
      <c r="BP60" t="str">
        <f t="shared" ca="1" si="40"/>
        <v/>
      </c>
      <c r="BQ60">
        <f t="shared" ca="1" si="41"/>
        <v>0</v>
      </c>
      <c r="BR60" t="str">
        <f t="shared" ca="1" si="42"/>
        <v/>
      </c>
      <c r="BS60">
        <f t="shared" ca="1" si="43"/>
        <v>0</v>
      </c>
      <c r="BT60" t="str">
        <f t="shared" ca="1" si="44"/>
        <v/>
      </c>
      <c r="BU60">
        <f t="shared" ca="1" si="45"/>
        <v>0</v>
      </c>
      <c r="BV60" t="str">
        <f t="shared" ca="1" si="46"/>
        <v/>
      </c>
      <c r="BW60">
        <f t="shared" ca="1" si="47"/>
        <v>0</v>
      </c>
      <c r="BX60" t="str">
        <f t="shared" ca="1" si="48"/>
        <v/>
      </c>
      <c r="BY60">
        <f t="shared" ca="1" si="49"/>
        <v>0</v>
      </c>
      <c r="BZ60" t="str">
        <f t="shared" ca="1" si="50"/>
        <v/>
      </c>
      <c r="CA60">
        <f t="shared" ca="1" si="51"/>
        <v>0</v>
      </c>
      <c r="CB60" t="str">
        <f t="shared" ca="1" si="52"/>
        <v/>
      </c>
      <c r="CC60">
        <f t="shared" ca="1" si="53"/>
        <v>0</v>
      </c>
    </row>
    <row r="61" spans="2:81" ht="14.25" customHeight="1" x14ac:dyDescent="0.3">
      <c r="B61" s="51">
        <f t="shared" si="27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3"/>
      <c r="AY61" s="52"/>
      <c r="AZ61" s="52"/>
      <c r="BA61" s="52"/>
      <c r="BB61" s="52">
        <f t="shared" si="28"/>
        <v>0</v>
      </c>
      <c r="BC61" s="52">
        <f t="shared" si="29"/>
        <v>0</v>
      </c>
      <c r="BE61">
        <f ca="1">'Monthly Collection-2026'!CC61</f>
        <v>0</v>
      </c>
      <c r="BF61" t="str">
        <f t="shared" ca="1" si="30"/>
        <v/>
      </c>
      <c r="BG61">
        <f t="shared" ca="1" si="31"/>
        <v>0</v>
      </c>
      <c r="BH61" t="str">
        <f t="shared" ca="1" si="32"/>
        <v/>
      </c>
      <c r="BI61">
        <f t="shared" ca="1" si="33"/>
        <v>0</v>
      </c>
      <c r="BJ61" t="str">
        <f t="shared" ca="1" si="34"/>
        <v/>
      </c>
      <c r="BK61">
        <f t="shared" ca="1" si="35"/>
        <v>0</v>
      </c>
      <c r="BL61" t="str">
        <f t="shared" ca="1" si="36"/>
        <v/>
      </c>
      <c r="BM61">
        <f t="shared" ca="1" si="37"/>
        <v>0</v>
      </c>
      <c r="BN61" t="str">
        <f t="shared" ca="1" si="38"/>
        <v/>
      </c>
      <c r="BO61">
        <f t="shared" ca="1" si="39"/>
        <v>0</v>
      </c>
      <c r="BP61" t="str">
        <f t="shared" ca="1" si="40"/>
        <v/>
      </c>
      <c r="BQ61">
        <f t="shared" ca="1" si="41"/>
        <v>0</v>
      </c>
      <c r="BR61" t="str">
        <f t="shared" ca="1" si="42"/>
        <v/>
      </c>
      <c r="BS61">
        <f t="shared" ca="1" si="43"/>
        <v>0</v>
      </c>
      <c r="BT61" t="str">
        <f t="shared" ca="1" si="44"/>
        <v/>
      </c>
      <c r="BU61">
        <f t="shared" ca="1" si="45"/>
        <v>0</v>
      </c>
      <c r="BV61" t="str">
        <f t="shared" ca="1" si="46"/>
        <v/>
      </c>
      <c r="BW61">
        <f t="shared" ca="1" si="47"/>
        <v>0</v>
      </c>
      <c r="BX61" t="str">
        <f t="shared" ca="1" si="48"/>
        <v/>
      </c>
      <c r="BY61">
        <f t="shared" ca="1" si="49"/>
        <v>0</v>
      </c>
      <c r="BZ61" t="str">
        <f t="shared" ca="1" si="50"/>
        <v/>
      </c>
      <c r="CA61">
        <f t="shared" ca="1" si="51"/>
        <v>0</v>
      </c>
      <c r="CB61" t="str">
        <f t="shared" ca="1" si="52"/>
        <v/>
      </c>
      <c r="CC61">
        <f t="shared" ca="1" si="53"/>
        <v>0</v>
      </c>
    </row>
    <row r="62" spans="2:81" ht="14.25" customHeight="1" x14ac:dyDescent="0.3">
      <c r="B62" s="55">
        <f t="shared" si="27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7"/>
      <c r="AY62" s="56"/>
      <c r="AZ62" s="56"/>
      <c r="BA62" s="56"/>
      <c r="BB62" s="56">
        <f t="shared" si="28"/>
        <v>0</v>
      </c>
      <c r="BC62" s="56">
        <f t="shared" si="29"/>
        <v>0</v>
      </c>
      <c r="BE62">
        <f ca="1">'Monthly Collection-2026'!CC62</f>
        <v>0</v>
      </c>
      <c r="BF62" t="str">
        <f t="shared" ca="1" si="30"/>
        <v/>
      </c>
      <c r="BG62">
        <f t="shared" ca="1" si="31"/>
        <v>0</v>
      </c>
      <c r="BH62" t="str">
        <f t="shared" ca="1" si="32"/>
        <v/>
      </c>
      <c r="BI62">
        <f t="shared" ca="1" si="33"/>
        <v>0</v>
      </c>
      <c r="BJ62" t="str">
        <f t="shared" ca="1" si="34"/>
        <v/>
      </c>
      <c r="BK62">
        <f t="shared" ca="1" si="35"/>
        <v>0</v>
      </c>
      <c r="BL62" t="str">
        <f t="shared" ca="1" si="36"/>
        <v/>
      </c>
      <c r="BM62">
        <f t="shared" ca="1" si="37"/>
        <v>0</v>
      </c>
      <c r="BN62" t="str">
        <f t="shared" ca="1" si="38"/>
        <v/>
      </c>
      <c r="BO62">
        <f t="shared" ca="1" si="39"/>
        <v>0</v>
      </c>
      <c r="BP62" t="str">
        <f t="shared" ca="1" si="40"/>
        <v/>
      </c>
      <c r="BQ62">
        <f t="shared" ca="1" si="41"/>
        <v>0</v>
      </c>
      <c r="BR62" t="str">
        <f t="shared" ca="1" si="42"/>
        <v/>
      </c>
      <c r="BS62">
        <f t="shared" ca="1" si="43"/>
        <v>0</v>
      </c>
      <c r="BT62" t="str">
        <f t="shared" ca="1" si="44"/>
        <v/>
      </c>
      <c r="BU62">
        <f t="shared" ca="1" si="45"/>
        <v>0</v>
      </c>
      <c r="BV62" t="str">
        <f t="shared" ca="1" si="46"/>
        <v/>
      </c>
      <c r="BW62">
        <f t="shared" ca="1" si="47"/>
        <v>0</v>
      </c>
      <c r="BX62" t="str">
        <f t="shared" ca="1" si="48"/>
        <v/>
      </c>
      <c r="BY62">
        <f t="shared" ca="1" si="49"/>
        <v>0</v>
      </c>
      <c r="BZ62" t="str">
        <f t="shared" ca="1" si="50"/>
        <v/>
      </c>
      <c r="CA62">
        <f t="shared" ca="1" si="51"/>
        <v>0</v>
      </c>
      <c r="CB62" t="str">
        <f t="shared" ca="1" si="52"/>
        <v/>
      </c>
      <c r="CC62">
        <f t="shared" ca="1" si="53"/>
        <v>0</v>
      </c>
    </row>
    <row r="63" spans="2:81" ht="14.25" customHeight="1" x14ac:dyDescent="0.3">
      <c r="B63" s="51">
        <f t="shared" si="27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3"/>
      <c r="AY63" s="52"/>
      <c r="AZ63" s="52"/>
      <c r="BA63" s="52"/>
      <c r="BB63" s="52">
        <f t="shared" si="28"/>
        <v>0</v>
      </c>
      <c r="BC63" s="52">
        <f t="shared" si="29"/>
        <v>0</v>
      </c>
      <c r="BE63">
        <f ca="1">'Monthly Collection-2026'!CC63</f>
        <v>0</v>
      </c>
      <c r="BF63" t="str">
        <f t="shared" ca="1" si="30"/>
        <v/>
      </c>
      <c r="BG63">
        <f t="shared" ca="1" si="31"/>
        <v>0</v>
      </c>
      <c r="BH63" t="str">
        <f t="shared" ca="1" si="32"/>
        <v/>
      </c>
      <c r="BI63">
        <f t="shared" ca="1" si="33"/>
        <v>0</v>
      </c>
      <c r="BJ63" t="str">
        <f t="shared" ca="1" si="34"/>
        <v/>
      </c>
      <c r="BK63">
        <f t="shared" ca="1" si="35"/>
        <v>0</v>
      </c>
      <c r="BL63" t="str">
        <f t="shared" ca="1" si="36"/>
        <v/>
      </c>
      <c r="BM63">
        <f t="shared" ca="1" si="37"/>
        <v>0</v>
      </c>
      <c r="BN63" t="str">
        <f t="shared" ca="1" si="38"/>
        <v/>
      </c>
      <c r="BO63">
        <f t="shared" ca="1" si="39"/>
        <v>0</v>
      </c>
      <c r="BP63" t="str">
        <f t="shared" ca="1" si="40"/>
        <v/>
      </c>
      <c r="BQ63">
        <f t="shared" ca="1" si="41"/>
        <v>0</v>
      </c>
      <c r="BR63" t="str">
        <f t="shared" ca="1" si="42"/>
        <v/>
      </c>
      <c r="BS63">
        <f t="shared" ca="1" si="43"/>
        <v>0</v>
      </c>
      <c r="BT63" t="str">
        <f t="shared" ca="1" si="44"/>
        <v/>
      </c>
      <c r="BU63">
        <f t="shared" ca="1" si="45"/>
        <v>0</v>
      </c>
      <c r="BV63" t="str">
        <f t="shared" ca="1" si="46"/>
        <v/>
      </c>
      <c r="BW63">
        <f t="shared" ca="1" si="47"/>
        <v>0</v>
      </c>
      <c r="BX63" t="str">
        <f t="shared" ca="1" si="48"/>
        <v/>
      </c>
      <c r="BY63">
        <f t="shared" ca="1" si="49"/>
        <v>0</v>
      </c>
      <c r="BZ63" t="str">
        <f t="shared" ca="1" si="50"/>
        <v/>
      </c>
      <c r="CA63">
        <f t="shared" ca="1" si="51"/>
        <v>0</v>
      </c>
      <c r="CB63" t="str">
        <f t="shared" ca="1" si="52"/>
        <v/>
      </c>
      <c r="CC63">
        <f t="shared" ca="1" si="53"/>
        <v>0</v>
      </c>
    </row>
    <row r="64" spans="2:81" ht="14.25" customHeight="1" x14ac:dyDescent="0.3">
      <c r="B64" s="55">
        <f t="shared" si="27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7"/>
      <c r="AY64" s="56"/>
      <c r="AZ64" s="56"/>
      <c r="BA64" s="56"/>
      <c r="BB64" s="56">
        <f t="shared" si="28"/>
        <v>0</v>
      </c>
      <c r="BC64" s="56">
        <f t="shared" si="29"/>
        <v>0</v>
      </c>
      <c r="BE64">
        <f ca="1">'Monthly Collection-2026'!CC64</f>
        <v>0</v>
      </c>
      <c r="BF64" t="str">
        <f t="shared" ca="1" si="30"/>
        <v/>
      </c>
      <c r="BG64">
        <f t="shared" ca="1" si="31"/>
        <v>0</v>
      </c>
      <c r="BH64" t="str">
        <f t="shared" ca="1" si="32"/>
        <v/>
      </c>
      <c r="BI64">
        <f t="shared" ca="1" si="33"/>
        <v>0</v>
      </c>
      <c r="BJ64" t="str">
        <f t="shared" ca="1" si="34"/>
        <v/>
      </c>
      <c r="BK64">
        <f t="shared" ca="1" si="35"/>
        <v>0</v>
      </c>
      <c r="BL64" t="str">
        <f t="shared" ca="1" si="36"/>
        <v/>
      </c>
      <c r="BM64">
        <f t="shared" ca="1" si="37"/>
        <v>0</v>
      </c>
      <c r="BN64" t="str">
        <f t="shared" ca="1" si="38"/>
        <v/>
      </c>
      <c r="BO64">
        <f t="shared" ca="1" si="39"/>
        <v>0</v>
      </c>
      <c r="BP64" t="str">
        <f t="shared" ca="1" si="40"/>
        <v/>
      </c>
      <c r="BQ64">
        <f t="shared" ca="1" si="41"/>
        <v>0</v>
      </c>
      <c r="BR64" t="str">
        <f t="shared" ca="1" si="42"/>
        <v/>
      </c>
      <c r="BS64">
        <f t="shared" ca="1" si="43"/>
        <v>0</v>
      </c>
      <c r="BT64" t="str">
        <f t="shared" ca="1" si="44"/>
        <v/>
      </c>
      <c r="BU64">
        <f t="shared" ca="1" si="45"/>
        <v>0</v>
      </c>
      <c r="BV64" t="str">
        <f t="shared" ca="1" si="46"/>
        <v/>
      </c>
      <c r="BW64">
        <f t="shared" ca="1" si="47"/>
        <v>0</v>
      </c>
      <c r="BX64" t="str">
        <f t="shared" ca="1" si="48"/>
        <v/>
      </c>
      <c r="BY64">
        <f t="shared" ca="1" si="49"/>
        <v>0</v>
      </c>
      <c r="BZ64" t="str">
        <f t="shared" ca="1" si="50"/>
        <v/>
      </c>
      <c r="CA64">
        <f t="shared" ca="1" si="51"/>
        <v>0</v>
      </c>
      <c r="CB64" t="str">
        <f t="shared" ca="1" si="52"/>
        <v/>
      </c>
      <c r="CC64">
        <f t="shared" ca="1" si="53"/>
        <v>0</v>
      </c>
    </row>
    <row r="65" spans="2:81" ht="14.25" customHeight="1" x14ac:dyDescent="0.3">
      <c r="B65" s="51">
        <f t="shared" si="27"/>
        <v>62</v>
      </c>
      <c r="C65" s="52" t="s">
        <v>92</v>
      </c>
      <c r="D65" s="16">
        <f>'Member Wise Deposit Summary'!D65</f>
        <v>1885316318</v>
      </c>
      <c r="E65" s="52">
        <v>1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3"/>
      <c r="AY65" s="52"/>
      <c r="AZ65" s="52"/>
      <c r="BA65" s="52"/>
      <c r="BB65" s="52">
        <f t="shared" si="28"/>
        <v>0</v>
      </c>
      <c r="BC65" s="52">
        <f t="shared" si="29"/>
        <v>0</v>
      </c>
      <c r="BE65">
        <f ca="1">'Monthly Collection-2026'!CC65</f>
        <v>0</v>
      </c>
      <c r="BF65" t="str">
        <f t="shared" ca="1" si="30"/>
        <v/>
      </c>
      <c r="BG65">
        <f t="shared" ca="1" si="31"/>
        <v>0</v>
      </c>
      <c r="BH65" t="str">
        <f t="shared" ca="1" si="32"/>
        <v/>
      </c>
      <c r="BI65">
        <f t="shared" ca="1" si="33"/>
        <v>0</v>
      </c>
      <c r="BJ65" t="str">
        <f t="shared" ca="1" si="34"/>
        <v/>
      </c>
      <c r="BK65">
        <f t="shared" ca="1" si="35"/>
        <v>0</v>
      </c>
      <c r="BL65" t="str">
        <f t="shared" ca="1" si="36"/>
        <v/>
      </c>
      <c r="BM65">
        <f t="shared" ca="1" si="37"/>
        <v>0</v>
      </c>
      <c r="BN65" t="str">
        <f t="shared" ca="1" si="38"/>
        <v/>
      </c>
      <c r="BO65">
        <f t="shared" ca="1" si="39"/>
        <v>0</v>
      </c>
      <c r="BP65" t="str">
        <f t="shared" ca="1" si="40"/>
        <v/>
      </c>
      <c r="BQ65">
        <f t="shared" ca="1" si="41"/>
        <v>0</v>
      </c>
      <c r="BR65" t="str">
        <f t="shared" ca="1" si="42"/>
        <v/>
      </c>
      <c r="BS65">
        <f t="shared" ca="1" si="43"/>
        <v>0</v>
      </c>
      <c r="BT65" t="str">
        <f t="shared" ca="1" si="44"/>
        <v/>
      </c>
      <c r="BU65">
        <f t="shared" ca="1" si="45"/>
        <v>0</v>
      </c>
      <c r="BV65" t="str">
        <f t="shared" ca="1" si="46"/>
        <v/>
      </c>
      <c r="BW65">
        <f t="shared" ca="1" si="47"/>
        <v>0</v>
      </c>
      <c r="BX65" t="str">
        <f t="shared" ca="1" si="48"/>
        <v/>
      </c>
      <c r="BY65">
        <f t="shared" ca="1" si="49"/>
        <v>0</v>
      </c>
      <c r="BZ65" t="str">
        <f t="shared" ca="1" si="50"/>
        <v/>
      </c>
      <c r="CA65">
        <f t="shared" ca="1" si="51"/>
        <v>0</v>
      </c>
      <c r="CB65" t="str">
        <f t="shared" ca="1" si="52"/>
        <v/>
      </c>
      <c r="CC65">
        <f t="shared" ca="1" si="53"/>
        <v>0</v>
      </c>
    </row>
    <row r="66" spans="2:81" ht="14.25" customHeight="1" x14ac:dyDescent="0.3">
      <c r="B66" s="55">
        <f t="shared" si="27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7"/>
      <c r="AY66" s="56"/>
      <c r="AZ66" s="56"/>
      <c r="BA66" s="56"/>
      <c r="BB66" s="56">
        <f t="shared" si="28"/>
        <v>0</v>
      </c>
      <c r="BC66" s="56">
        <f t="shared" si="29"/>
        <v>0</v>
      </c>
      <c r="BE66">
        <f ca="1">'Monthly Collection-2026'!CC66</f>
        <v>0</v>
      </c>
      <c r="BF66" t="str">
        <f t="shared" ca="1" si="30"/>
        <v/>
      </c>
      <c r="BG66">
        <f t="shared" ca="1" si="31"/>
        <v>0</v>
      </c>
      <c r="BH66" t="str">
        <f t="shared" ca="1" si="32"/>
        <v/>
      </c>
      <c r="BI66">
        <f t="shared" ca="1" si="33"/>
        <v>0</v>
      </c>
      <c r="BJ66" t="str">
        <f t="shared" ca="1" si="34"/>
        <v/>
      </c>
      <c r="BK66">
        <f t="shared" ca="1" si="35"/>
        <v>0</v>
      </c>
      <c r="BL66" t="str">
        <f t="shared" ca="1" si="36"/>
        <v/>
      </c>
      <c r="BM66">
        <f t="shared" ca="1" si="37"/>
        <v>0</v>
      </c>
      <c r="BN66" t="str">
        <f t="shared" ca="1" si="38"/>
        <v/>
      </c>
      <c r="BO66">
        <f t="shared" ca="1" si="39"/>
        <v>0</v>
      </c>
      <c r="BP66" t="str">
        <f t="shared" ca="1" si="40"/>
        <v/>
      </c>
      <c r="BQ66">
        <f t="shared" ca="1" si="41"/>
        <v>0</v>
      </c>
      <c r="BR66" t="str">
        <f t="shared" ca="1" si="42"/>
        <v/>
      </c>
      <c r="BS66">
        <f t="shared" ca="1" si="43"/>
        <v>0</v>
      </c>
      <c r="BT66" t="str">
        <f t="shared" ca="1" si="44"/>
        <v/>
      </c>
      <c r="BU66">
        <f t="shared" ca="1" si="45"/>
        <v>0</v>
      </c>
      <c r="BV66" t="str">
        <f t="shared" ca="1" si="46"/>
        <v/>
      </c>
      <c r="BW66">
        <f t="shared" ca="1" si="47"/>
        <v>0</v>
      </c>
      <c r="BX66" t="str">
        <f t="shared" ca="1" si="48"/>
        <v/>
      </c>
      <c r="BY66">
        <f t="shared" ca="1" si="49"/>
        <v>0</v>
      </c>
      <c r="BZ66" t="str">
        <f t="shared" ca="1" si="50"/>
        <v/>
      </c>
      <c r="CA66">
        <f t="shared" ca="1" si="51"/>
        <v>0</v>
      </c>
      <c r="CB66" t="str">
        <f t="shared" ca="1" si="52"/>
        <v/>
      </c>
      <c r="CC66">
        <f t="shared" ca="1" si="53"/>
        <v>0</v>
      </c>
    </row>
    <row r="67" spans="2:81" ht="14.25" customHeight="1" x14ac:dyDescent="0.3">
      <c r="B67" s="51">
        <f t="shared" si="27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3"/>
      <c r="AY67" s="52"/>
      <c r="AZ67" s="52"/>
      <c r="BA67" s="52"/>
      <c r="BB67" s="52">
        <f t="shared" si="28"/>
        <v>0</v>
      </c>
      <c r="BC67" s="52">
        <f t="shared" si="29"/>
        <v>0</v>
      </c>
      <c r="BE67">
        <f ca="1">'Monthly Collection-2026'!CC67</f>
        <v>0</v>
      </c>
      <c r="BF67" t="str">
        <f t="shared" ca="1" si="30"/>
        <v/>
      </c>
      <c r="BG67">
        <f t="shared" ca="1" si="31"/>
        <v>0</v>
      </c>
      <c r="BH67" t="str">
        <f t="shared" ca="1" si="32"/>
        <v/>
      </c>
      <c r="BI67">
        <f t="shared" ca="1" si="33"/>
        <v>0</v>
      </c>
      <c r="BJ67" t="str">
        <f t="shared" ca="1" si="34"/>
        <v/>
      </c>
      <c r="BK67">
        <f t="shared" ca="1" si="35"/>
        <v>0</v>
      </c>
      <c r="BL67" t="str">
        <f t="shared" ca="1" si="36"/>
        <v/>
      </c>
      <c r="BM67">
        <f t="shared" ca="1" si="37"/>
        <v>0</v>
      </c>
      <c r="BN67" t="str">
        <f t="shared" ca="1" si="38"/>
        <v/>
      </c>
      <c r="BO67">
        <f t="shared" ca="1" si="39"/>
        <v>0</v>
      </c>
      <c r="BP67" t="str">
        <f t="shared" ca="1" si="40"/>
        <v/>
      </c>
      <c r="BQ67">
        <f t="shared" ca="1" si="41"/>
        <v>0</v>
      </c>
      <c r="BR67" t="str">
        <f t="shared" ca="1" si="42"/>
        <v/>
      </c>
      <c r="BS67">
        <f t="shared" ca="1" si="43"/>
        <v>0</v>
      </c>
      <c r="BT67" t="str">
        <f t="shared" ca="1" si="44"/>
        <v/>
      </c>
      <c r="BU67">
        <f t="shared" ca="1" si="45"/>
        <v>0</v>
      </c>
      <c r="BV67" t="str">
        <f t="shared" ca="1" si="46"/>
        <v/>
      </c>
      <c r="BW67">
        <f t="shared" ca="1" si="47"/>
        <v>0</v>
      </c>
      <c r="BX67" t="str">
        <f t="shared" ca="1" si="48"/>
        <v/>
      </c>
      <c r="BY67">
        <f t="shared" ca="1" si="49"/>
        <v>0</v>
      </c>
      <c r="BZ67" t="str">
        <f t="shared" ca="1" si="50"/>
        <v/>
      </c>
      <c r="CA67">
        <f t="shared" ca="1" si="51"/>
        <v>0</v>
      </c>
      <c r="CB67" t="str">
        <f t="shared" ca="1" si="52"/>
        <v/>
      </c>
      <c r="CC67">
        <f t="shared" ca="1" si="53"/>
        <v>0</v>
      </c>
    </row>
    <row r="68" spans="2:81" ht="14.25" customHeight="1" x14ac:dyDescent="0.3">
      <c r="B68" s="55">
        <f t="shared" ref="B68:B80" si="54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7"/>
      <c r="AY68" s="56"/>
      <c r="AZ68" s="56"/>
      <c r="BA68" s="56"/>
      <c r="BB68" s="56">
        <f t="shared" ref="BB68:BB80" si="55">F68+G68+H68+J68+K68+L68+N68+O68+P68+R68+S68+T68+V68+W68+X68+Z68+AA68+AB68+AD68+AE68+AF68+AH68+AI68+AJ68+AL68+AM68+AN68+AP68+AQ68+AR68+AT68+AU68+AV68+AX68+AY68+AZ68</f>
        <v>0</v>
      </c>
      <c r="BC68" s="56">
        <f t="shared" ref="BC68:BC80" si="56">I68+M68+Q68+U68+Y68+AC68+AG68+AK68+AO68+AS68+AW68+BA68</f>
        <v>0</v>
      </c>
      <c r="BE68">
        <f ca="1">'Monthly Collection-2026'!CC68</f>
        <v>0</v>
      </c>
      <c r="BF68" t="str">
        <f t="shared" ref="BF68:BF80" ca="1" si="57">IF(N(F68)&gt;=$E68*1000,"",IF(AND($E68&gt;0,BE68&gt;=$E68*1000),"G",IF(F$2&lt;=TODAY(),"R","")))</f>
        <v/>
      </c>
      <c r="BG68">
        <f t="shared" ref="BG68:BG80" ca="1" si="58">BE68-IF(BF68="G",$E68*1000,0)+N(G68)</f>
        <v>0</v>
      </c>
      <c r="BH68" t="str">
        <f t="shared" ref="BH68:BH80" ca="1" si="59">IF(N(J68)&gt;=$E68*1000,"",IF(AND($E68&gt;0,BG68&gt;=$E68*1000),"G",IF(J$2&lt;=TODAY(),"R","")))</f>
        <v/>
      </c>
      <c r="BI68">
        <f t="shared" ref="BI68:BI80" ca="1" si="60">BG68-IF(BH68="G",$E68*1000,0)+N(K68)</f>
        <v>0</v>
      </c>
      <c r="BJ68" t="str">
        <f t="shared" ref="BJ68:BJ80" ca="1" si="61">IF(N(N68)&gt;=$E68*1000,"",IF(AND($E68&gt;0,BI68&gt;=$E68*1000),"G",IF(N$2&lt;=TODAY(),"R","")))</f>
        <v/>
      </c>
      <c r="BK68">
        <f t="shared" ref="BK68:BK80" ca="1" si="62">BI68-IF(BJ68="G",$E68*1000,0)+N(O68)</f>
        <v>0</v>
      </c>
      <c r="BL68" t="str">
        <f t="shared" ref="BL68:BL80" ca="1" si="63">IF(N(R68)&gt;=$E68*1000,"",IF(AND($E68&gt;0,BK68&gt;=$E68*1000),"G",IF(R$2&lt;=TODAY(),"R","")))</f>
        <v/>
      </c>
      <c r="BM68">
        <f t="shared" ref="BM68:BM80" ca="1" si="64">BK68-IF(BL68="G",$E68*1000,0)+N(S68)</f>
        <v>0</v>
      </c>
      <c r="BN68" t="str">
        <f t="shared" ref="BN68:BN80" ca="1" si="65">IF(N(V68)&gt;=$E68*1000,"",IF(AND($E68&gt;0,BM68&gt;=$E68*1000),"G",IF(V$2&lt;=TODAY(),"R","")))</f>
        <v/>
      </c>
      <c r="BO68">
        <f t="shared" ref="BO68:BO80" ca="1" si="66">BM68-IF(BN68="G",$E68*1000,0)+N(W68)</f>
        <v>0</v>
      </c>
      <c r="BP68" t="str">
        <f t="shared" ref="BP68:BP80" ca="1" si="67">IF(N(Z68)&gt;=$E68*1000,"",IF(AND($E68&gt;0,BO68&gt;=$E68*1000),"G",IF(Z$2&lt;=TODAY(),"R","")))</f>
        <v/>
      </c>
      <c r="BQ68">
        <f t="shared" ref="BQ68:BQ80" ca="1" si="68">BO68-IF(BP68="G",$E68*1000,0)+N(AA68)</f>
        <v>0</v>
      </c>
      <c r="BR68" t="str">
        <f t="shared" ref="BR68:BR80" ca="1" si="69">IF(N(AD68)&gt;=$E68*1000,"",IF(AND($E68&gt;0,BQ68&gt;=$E68*1000),"G",IF(AD$2&lt;=TODAY(),"R","")))</f>
        <v/>
      </c>
      <c r="BS68">
        <f t="shared" ref="BS68:BS80" ca="1" si="70">BQ68-IF(BR68="G",$E68*1000,0)+N(AE68)</f>
        <v>0</v>
      </c>
      <c r="BT68" t="str">
        <f t="shared" ref="BT68:BT80" ca="1" si="71">IF(N(AH68)&gt;=$E68*1000,"",IF(AND($E68&gt;0,BS68&gt;=$E68*1000),"G",IF(AH$2&lt;=TODAY(),"R","")))</f>
        <v/>
      </c>
      <c r="BU68">
        <f t="shared" ref="BU68:BU80" ca="1" si="72">BS68-IF(BT68="G",$E68*1000,0)+N(AI68)</f>
        <v>0</v>
      </c>
      <c r="BV68" t="str">
        <f t="shared" ref="BV68:BV80" ca="1" si="73">IF(N(AL68)&gt;=$E68*1000,"",IF(AND($E68&gt;0,BU68&gt;=$E68*1000),"G",IF(AL$2&lt;=TODAY(),"R","")))</f>
        <v/>
      </c>
      <c r="BW68">
        <f t="shared" ref="BW68:BW80" ca="1" si="74">BU68-IF(BV68="G",$E68*1000,0)+N(AM68)</f>
        <v>0</v>
      </c>
      <c r="BX68" t="str">
        <f t="shared" ref="BX68:BX80" ca="1" si="75">IF(N(AP68)&gt;=$E68*1000,"",IF(AND($E68&gt;0,BW68&gt;=$E68*1000),"G",IF(AP$2&lt;=TODAY(),"R","")))</f>
        <v/>
      </c>
      <c r="BY68">
        <f t="shared" ref="BY68:BY80" ca="1" si="76">BW68-IF(BX68="G",$E68*1000,0)+N(AQ68)</f>
        <v>0</v>
      </c>
      <c r="BZ68" t="str">
        <f t="shared" ref="BZ68:BZ80" ca="1" si="77">IF(N(AT68)&gt;=$E68*1000,"",IF(AND($E68&gt;0,BY68&gt;=$E68*1000),"G",IF(AT$2&lt;=TODAY(),"R","")))</f>
        <v/>
      </c>
      <c r="CA68">
        <f t="shared" ref="CA68:CA80" ca="1" si="78">BY68-IF(BZ68="G",$E68*1000,0)+N(AU68)</f>
        <v>0</v>
      </c>
      <c r="CB68" t="str">
        <f t="shared" ref="CB68:CB80" ca="1" si="79">IF(N(AX68)&gt;=$E68*1000,"",IF(AND($E68&gt;0,CA68&gt;=$E68*1000),"G",IF(AX$2&lt;=TODAY(),"R","")))</f>
        <v/>
      </c>
      <c r="CC68">
        <f t="shared" ref="CC68:CC80" ca="1" si="80">CA68-IF(CB68="G",$E68*1000,0)+N(AY68)</f>
        <v>0</v>
      </c>
    </row>
    <row r="69" spans="2:81" ht="14.25" customHeight="1" x14ac:dyDescent="0.3">
      <c r="B69" s="51">
        <f t="shared" si="54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3"/>
      <c r="AY69" s="52"/>
      <c r="AZ69" s="52"/>
      <c r="BA69" s="52"/>
      <c r="BB69" s="52">
        <f t="shared" si="55"/>
        <v>0</v>
      </c>
      <c r="BC69" s="52">
        <f t="shared" si="56"/>
        <v>0</v>
      </c>
      <c r="BE69">
        <f ca="1">'Monthly Collection-2026'!CC69</f>
        <v>0</v>
      </c>
      <c r="BF69" t="str">
        <f t="shared" ca="1" si="57"/>
        <v/>
      </c>
      <c r="BG69">
        <f t="shared" ca="1" si="58"/>
        <v>0</v>
      </c>
      <c r="BH69" t="str">
        <f t="shared" ca="1" si="59"/>
        <v/>
      </c>
      <c r="BI69">
        <f t="shared" ca="1" si="60"/>
        <v>0</v>
      </c>
      <c r="BJ69" t="str">
        <f t="shared" ca="1" si="61"/>
        <v/>
      </c>
      <c r="BK69">
        <f t="shared" ca="1" si="62"/>
        <v>0</v>
      </c>
      <c r="BL69" t="str">
        <f t="shared" ca="1" si="63"/>
        <v/>
      </c>
      <c r="BM69">
        <f t="shared" ca="1" si="64"/>
        <v>0</v>
      </c>
      <c r="BN69" t="str">
        <f t="shared" ca="1" si="65"/>
        <v/>
      </c>
      <c r="BO69">
        <f t="shared" ca="1" si="66"/>
        <v>0</v>
      </c>
      <c r="BP69" t="str">
        <f t="shared" ca="1" si="67"/>
        <v/>
      </c>
      <c r="BQ69">
        <f t="shared" ca="1" si="68"/>
        <v>0</v>
      </c>
      <c r="BR69" t="str">
        <f t="shared" ca="1" si="69"/>
        <v/>
      </c>
      <c r="BS69">
        <f t="shared" ca="1" si="70"/>
        <v>0</v>
      </c>
      <c r="BT69" t="str">
        <f t="shared" ca="1" si="71"/>
        <v/>
      </c>
      <c r="BU69">
        <f t="shared" ca="1" si="72"/>
        <v>0</v>
      </c>
      <c r="BV69" t="str">
        <f t="shared" ca="1" si="73"/>
        <v/>
      </c>
      <c r="BW69">
        <f t="shared" ca="1" si="74"/>
        <v>0</v>
      </c>
      <c r="BX69" t="str">
        <f t="shared" ca="1" si="75"/>
        <v/>
      </c>
      <c r="BY69">
        <f t="shared" ca="1" si="76"/>
        <v>0</v>
      </c>
      <c r="BZ69" t="str">
        <f t="shared" ca="1" si="77"/>
        <v/>
      </c>
      <c r="CA69">
        <f t="shared" ca="1" si="78"/>
        <v>0</v>
      </c>
      <c r="CB69" t="str">
        <f t="shared" ca="1" si="79"/>
        <v/>
      </c>
      <c r="CC69">
        <f t="shared" ca="1" si="80"/>
        <v>0</v>
      </c>
    </row>
    <row r="70" spans="2:81" ht="14.25" customHeight="1" x14ac:dyDescent="0.3">
      <c r="B70" s="55">
        <f t="shared" si="54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7"/>
      <c r="AY70" s="56"/>
      <c r="AZ70" s="56"/>
      <c r="BA70" s="56"/>
      <c r="BB70" s="56">
        <f t="shared" si="55"/>
        <v>0</v>
      </c>
      <c r="BC70" s="56">
        <f t="shared" si="56"/>
        <v>0</v>
      </c>
      <c r="BE70">
        <f ca="1">'Monthly Collection-2026'!CC70</f>
        <v>0</v>
      </c>
      <c r="BF70" t="str">
        <f t="shared" ca="1" si="57"/>
        <v/>
      </c>
      <c r="BG70">
        <f t="shared" ca="1" si="58"/>
        <v>0</v>
      </c>
      <c r="BH70" t="str">
        <f t="shared" ca="1" si="59"/>
        <v/>
      </c>
      <c r="BI70">
        <f t="shared" ca="1" si="60"/>
        <v>0</v>
      </c>
      <c r="BJ70" t="str">
        <f t="shared" ca="1" si="61"/>
        <v/>
      </c>
      <c r="BK70">
        <f t="shared" ca="1" si="62"/>
        <v>0</v>
      </c>
      <c r="BL70" t="str">
        <f t="shared" ca="1" si="63"/>
        <v/>
      </c>
      <c r="BM70">
        <f t="shared" ca="1" si="64"/>
        <v>0</v>
      </c>
      <c r="BN70" t="str">
        <f t="shared" ca="1" si="65"/>
        <v/>
      </c>
      <c r="BO70">
        <f t="shared" ca="1" si="66"/>
        <v>0</v>
      </c>
      <c r="BP70" t="str">
        <f t="shared" ca="1" si="67"/>
        <v/>
      </c>
      <c r="BQ70">
        <f t="shared" ca="1" si="68"/>
        <v>0</v>
      </c>
      <c r="BR70" t="str">
        <f t="shared" ca="1" si="69"/>
        <v/>
      </c>
      <c r="BS70">
        <f t="shared" ca="1" si="70"/>
        <v>0</v>
      </c>
      <c r="BT70" t="str">
        <f t="shared" ca="1" si="71"/>
        <v/>
      </c>
      <c r="BU70">
        <f t="shared" ca="1" si="72"/>
        <v>0</v>
      </c>
      <c r="BV70" t="str">
        <f t="shared" ca="1" si="73"/>
        <v/>
      </c>
      <c r="BW70">
        <f t="shared" ca="1" si="74"/>
        <v>0</v>
      </c>
      <c r="BX70" t="str">
        <f t="shared" ca="1" si="75"/>
        <v/>
      </c>
      <c r="BY70">
        <f t="shared" ca="1" si="76"/>
        <v>0</v>
      </c>
      <c r="BZ70" t="str">
        <f t="shared" ca="1" si="77"/>
        <v/>
      </c>
      <c r="CA70">
        <f t="shared" ca="1" si="78"/>
        <v>0</v>
      </c>
      <c r="CB70" t="str">
        <f t="shared" ca="1" si="79"/>
        <v/>
      </c>
      <c r="CC70">
        <f t="shared" ca="1" si="80"/>
        <v>0</v>
      </c>
    </row>
    <row r="71" spans="2:81" ht="14.25" customHeight="1" x14ac:dyDescent="0.3">
      <c r="B71" s="51">
        <f t="shared" si="54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3"/>
      <c r="AY71" s="52"/>
      <c r="AZ71" s="52"/>
      <c r="BA71" s="52"/>
      <c r="BB71" s="52">
        <f t="shared" si="55"/>
        <v>0</v>
      </c>
      <c r="BC71" s="52">
        <f t="shared" si="56"/>
        <v>0</v>
      </c>
      <c r="BE71">
        <f ca="1">'Monthly Collection-2026'!CC71</f>
        <v>0</v>
      </c>
      <c r="BF71" t="str">
        <f t="shared" ca="1" si="57"/>
        <v/>
      </c>
      <c r="BG71">
        <f t="shared" ca="1" si="58"/>
        <v>0</v>
      </c>
      <c r="BH71" t="str">
        <f t="shared" ca="1" si="59"/>
        <v/>
      </c>
      <c r="BI71">
        <f t="shared" ca="1" si="60"/>
        <v>0</v>
      </c>
      <c r="BJ71" t="str">
        <f t="shared" ca="1" si="61"/>
        <v/>
      </c>
      <c r="BK71">
        <f t="shared" ca="1" si="62"/>
        <v>0</v>
      </c>
      <c r="BL71" t="str">
        <f t="shared" ca="1" si="63"/>
        <v/>
      </c>
      <c r="BM71">
        <f t="shared" ca="1" si="64"/>
        <v>0</v>
      </c>
      <c r="BN71" t="str">
        <f t="shared" ca="1" si="65"/>
        <v/>
      </c>
      <c r="BO71">
        <f t="shared" ca="1" si="66"/>
        <v>0</v>
      </c>
      <c r="BP71" t="str">
        <f t="shared" ca="1" si="67"/>
        <v/>
      </c>
      <c r="BQ71">
        <f t="shared" ca="1" si="68"/>
        <v>0</v>
      </c>
      <c r="BR71" t="str">
        <f t="shared" ca="1" si="69"/>
        <v/>
      </c>
      <c r="BS71">
        <f t="shared" ca="1" si="70"/>
        <v>0</v>
      </c>
      <c r="BT71" t="str">
        <f t="shared" ca="1" si="71"/>
        <v/>
      </c>
      <c r="BU71">
        <f t="shared" ca="1" si="72"/>
        <v>0</v>
      </c>
      <c r="BV71" t="str">
        <f t="shared" ca="1" si="73"/>
        <v/>
      </c>
      <c r="BW71">
        <f t="shared" ca="1" si="74"/>
        <v>0</v>
      </c>
      <c r="BX71" t="str">
        <f t="shared" ca="1" si="75"/>
        <v/>
      </c>
      <c r="BY71">
        <f t="shared" ca="1" si="76"/>
        <v>0</v>
      </c>
      <c r="BZ71" t="str">
        <f t="shared" ca="1" si="77"/>
        <v/>
      </c>
      <c r="CA71">
        <f t="shared" ca="1" si="78"/>
        <v>0</v>
      </c>
      <c r="CB71" t="str">
        <f t="shared" ca="1" si="79"/>
        <v/>
      </c>
      <c r="CC71">
        <f t="shared" ca="1" si="80"/>
        <v>0</v>
      </c>
    </row>
    <row r="72" spans="2:81" ht="14.25" customHeight="1" x14ac:dyDescent="0.3">
      <c r="B72" s="55">
        <f t="shared" si="54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7"/>
      <c r="AY72" s="56"/>
      <c r="AZ72" s="56"/>
      <c r="BA72" s="56"/>
      <c r="BB72" s="56">
        <f t="shared" si="55"/>
        <v>0</v>
      </c>
      <c r="BC72" s="56">
        <f t="shared" si="56"/>
        <v>0</v>
      </c>
      <c r="BE72">
        <f ca="1">'Monthly Collection-2026'!CC72</f>
        <v>0</v>
      </c>
      <c r="BF72" t="str">
        <f t="shared" ca="1" si="57"/>
        <v/>
      </c>
      <c r="BG72">
        <f t="shared" ca="1" si="58"/>
        <v>0</v>
      </c>
      <c r="BH72" t="str">
        <f t="shared" ca="1" si="59"/>
        <v/>
      </c>
      <c r="BI72">
        <f t="shared" ca="1" si="60"/>
        <v>0</v>
      </c>
      <c r="BJ72" t="str">
        <f t="shared" ca="1" si="61"/>
        <v/>
      </c>
      <c r="BK72">
        <f t="shared" ca="1" si="62"/>
        <v>0</v>
      </c>
      <c r="BL72" t="str">
        <f t="shared" ca="1" si="63"/>
        <v/>
      </c>
      <c r="BM72">
        <f t="shared" ca="1" si="64"/>
        <v>0</v>
      </c>
      <c r="BN72" t="str">
        <f t="shared" ca="1" si="65"/>
        <v/>
      </c>
      <c r="BO72">
        <f t="shared" ca="1" si="66"/>
        <v>0</v>
      </c>
      <c r="BP72" t="str">
        <f t="shared" ca="1" si="67"/>
        <v/>
      </c>
      <c r="BQ72">
        <f t="shared" ca="1" si="68"/>
        <v>0</v>
      </c>
      <c r="BR72" t="str">
        <f t="shared" ca="1" si="69"/>
        <v/>
      </c>
      <c r="BS72">
        <f t="shared" ca="1" si="70"/>
        <v>0</v>
      </c>
      <c r="BT72" t="str">
        <f t="shared" ca="1" si="71"/>
        <v/>
      </c>
      <c r="BU72">
        <f t="shared" ca="1" si="72"/>
        <v>0</v>
      </c>
      <c r="BV72" t="str">
        <f t="shared" ca="1" si="73"/>
        <v/>
      </c>
      <c r="BW72">
        <f t="shared" ca="1" si="74"/>
        <v>0</v>
      </c>
      <c r="BX72" t="str">
        <f t="shared" ca="1" si="75"/>
        <v/>
      </c>
      <c r="BY72">
        <f t="shared" ca="1" si="76"/>
        <v>0</v>
      </c>
      <c r="BZ72" t="str">
        <f t="shared" ca="1" si="77"/>
        <v/>
      </c>
      <c r="CA72">
        <f t="shared" ca="1" si="78"/>
        <v>0</v>
      </c>
      <c r="CB72" t="str">
        <f t="shared" ca="1" si="79"/>
        <v/>
      </c>
      <c r="CC72">
        <f t="shared" ca="1" si="80"/>
        <v>0</v>
      </c>
    </row>
    <row r="73" spans="2:81" ht="14.25" customHeight="1" x14ac:dyDescent="0.3">
      <c r="B73" s="51">
        <f t="shared" si="54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3"/>
      <c r="AY73" s="52"/>
      <c r="AZ73" s="52"/>
      <c r="BA73" s="52"/>
      <c r="BB73" s="52">
        <f t="shared" si="55"/>
        <v>0</v>
      </c>
      <c r="BC73" s="52">
        <f t="shared" si="56"/>
        <v>0</v>
      </c>
      <c r="BE73">
        <f ca="1">'Monthly Collection-2026'!CC73</f>
        <v>0</v>
      </c>
      <c r="BF73" t="str">
        <f t="shared" ca="1" si="57"/>
        <v/>
      </c>
      <c r="BG73">
        <f t="shared" ca="1" si="58"/>
        <v>0</v>
      </c>
      <c r="BH73" t="str">
        <f t="shared" ca="1" si="59"/>
        <v/>
      </c>
      <c r="BI73">
        <f t="shared" ca="1" si="60"/>
        <v>0</v>
      </c>
      <c r="BJ73" t="str">
        <f t="shared" ca="1" si="61"/>
        <v/>
      </c>
      <c r="BK73">
        <f t="shared" ca="1" si="62"/>
        <v>0</v>
      </c>
      <c r="BL73" t="str">
        <f t="shared" ca="1" si="63"/>
        <v/>
      </c>
      <c r="BM73">
        <f t="shared" ca="1" si="64"/>
        <v>0</v>
      </c>
      <c r="BN73" t="str">
        <f t="shared" ca="1" si="65"/>
        <v/>
      </c>
      <c r="BO73">
        <f t="shared" ca="1" si="66"/>
        <v>0</v>
      </c>
      <c r="BP73" t="str">
        <f t="shared" ca="1" si="67"/>
        <v/>
      </c>
      <c r="BQ73">
        <f t="shared" ca="1" si="68"/>
        <v>0</v>
      </c>
      <c r="BR73" t="str">
        <f t="shared" ca="1" si="69"/>
        <v/>
      </c>
      <c r="BS73">
        <f t="shared" ca="1" si="70"/>
        <v>0</v>
      </c>
      <c r="BT73" t="str">
        <f t="shared" ca="1" si="71"/>
        <v/>
      </c>
      <c r="BU73">
        <f t="shared" ca="1" si="72"/>
        <v>0</v>
      </c>
      <c r="BV73" t="str">
        <f t="shared" ca="1" si="73"/>
        <v/>
      </c>
      <c r="BW73">
        <f t="shared" ca="1" si="74"/>
        <v>0</v>
      </c>
      <c r="BX73" t="str">
        <f t="shared" ca="1" si="75"/>
        <v/>
      </c>
      <c r="BY73">
        <f t="shared" ca="1" si="76"/>
        <v>0</v>
      </c>
      <c r="BZ73" t="str">
        <f t="shared" ca="1" si="77"/>
        <v/>
      </c>
      <c r="CA73">
        <f t="shared" ca="1" si="78"/>
        <v>0</v>
      </c>
      <c r="CB73" t="str">
        <f t="shared" ca="1" si="79"/>
        <v/>
      </c>
      <c r="CC73">
        <f t="shared" ca="1" si="80"/>
        <v>0</v>
      </c>
    </row>
    <row r="74" spans="2:81" ht="14.25" customHeight="1" x14ac:dyDescent="0.3">
      <c r="B74" s="55">
        <f t="shared" si="54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7"/>
      <c r="AY74" s="56"/>
      <c r="AZ74" s="56"/>
      <c r="BA74" s="56"/>
      <c r="BB74" s="56">
        <f t="shared" si="55"/>
        <v>0</v>
      </c>
      <c r="BC74" s="56">
        <f t="shared" si="56"/>
        <v>0</v>
      </c>
      <c r="BE74">
        <f ca="1">'Monthly Collection-2026'!CC74</f>
        <v>0</v>
      </c>
      <c r="BF74" t="str">
        <f t="shared" ca="1" si="57"/>
        <v/>
      </c>
      <c r="BG74">
        <f t="shared" ca="1" si="58"/>
        <v>0</v>
      </c>
      <c r="BH74" t="str">
        <f t="shared" ca="1" si="59"/>
        <v/>
      </c>
      <c r="BI74">
        <f t="shared" ca="1" si="60"/>
        <v>0</v>
      </c>
      <c r="BJ74" t="str">
        <f t="shared" ca="1" si="61"/>
        <v/>
      </c>
      <c r="BK74">
        <f t="shared" ca="1" si="62"/>
        <v>0</v>
      </c>
      <c r="BL74" t="str">
        <f t="shared" ca="1" si="63"/>
        <v/>
      </c>
      <c r="BM74">
        <f t="shared" ca="1" si="64"/>
        <v>0</v>
      </c>
      <c r="BN74" t="str">
        <f t="shared" ca="1" si="65"/>
        <v/>
      </c>
      <c r="BO74">
        <f t="shared" ca="1" si="66"/>
        <v>0</v>
      </c>
      <c r="BP74" t="str">
        <f t="shared" ca="1" si="67"/>
        <v/>
      </c>
      <c r="BQ74">
        <f t="shared" ca="1" si="68"/>
        <v>0</v>
      </c>
      <c r="BR74" t="str">
        <f t="shared" ca="1" si="69"/>
        <v/>
      </c>
      <c r="BS74">
        <f t="shared" ca="1" si="70"/>
        <v>0</v>
      </c>
      <c r="BT74" t="str">
        <f t="shared" ca="1" si="71"/>
        <v/>
      </c>
      <c r="BU74">
        <f t="shared" ca="1" si="72"/>
        <v>0</v>
      </c>
      <c r="BV74" t="str">
        <f t="shared" ca="1" si="73"/>
        <v/>
      </c>
      <c r="BW74">
        <f t="shared" ca="1" si="74"/>
        <v>0</v>
      </c>
      <c r="BX74" t="str">
        <f t="shared" ca="1" si="75"/>
        <v/>
      </c>
      <c r="BY74">
        <f t="shared" ca="1" si="76"/>
        <v>0</v>
      </c>
      <c r="BZ74" t="str">
        <f t="shared" ca="1" si="77"/>
        <v/>
      </c>
      <c r="CA74">
        <f t="shared" ca="1" si="78"/>
        <v>0</v>
      </c>
      <c r="CB74" t="str">
        <f t="shared" ca="1" si="79"/>
        <v/>
      </c>
      <c r="CC74">
        <f t="shared" ca="1" si="80"/>
        <v>0</v>
      </c>
    </row>
    <row r="75" spans="2:81" ht="14.25" customHeight="1" x14ac:dyDescent="0.3">
      <c r="B75" s="51">
        <f t="shared" si="54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3"/>
      <c r="AY75" s="52"/>
      <c r="AZ75" s="52"/>
      <c r="BA75" s="52"/>
      <c r="BB75" s="52">
        <f t="shared" si="55"/>
        <v>0</v>
      </c>
      <c r="BC75" s="52">
        <f t="shared" si="56"/>
        <v>0</v>
      </c>
      <c r="BE75">
        <f ca="1">'Monthly Collection-2026'!CC75</f>
        <v>0</v>
      </c>
      <c r="BF75" t="str">
        <f t="shared" ca="1" si="57"/>
        <v/>
      </c>
      <c r="BG75">
        <f t="shared" ca="1" si="58"/>
        <v>0</v>
      </c>
      <c r="BH75" t="str">
        <f t="shared" ca="1" si="59"/>
        <v/>
      </c>
      <c r="BI75">
        <f t="shared" ca="1" si="60"/>
        <v>0</v>
      </c>
      <c r="BJ75" t="str">
        <f t="shared" ca="1" si="61"/>
        <v/>
      </c>
      <c r="BK75">
        <f t="shared" ca="1" si="62"/>
        <v>0</v>
      </c>
      <c r="BL75" t="str">
        <f t="shared" ca="1" si="63"/>
        <v/>
      </c>
      <c r="BM75">
        <f t="shared" ca="1" si="64"/>
        <v>0</v>
      </c>
      <c r="BN75" t="str">
        <f t="shared" ca="1" si="65"/>
        <v/>
      </c>
      <c r="BO75">
        <f t="shared" ca="1" si="66"/>
        <v>0</v>
      </c>
      <c r="BP75" t="str">
        <f t="shared" ca="1" si="67"/>
        <v/>
      </c>
      <c r="BQ75">
        <f t="shared" ca="1" si="68"/>
        <v>0</v>
      </c>
      <c r="BR75" t="str">
        <f t="shared" ca="1" si="69"/>
        <v/>
      </c>
      <c r="BS75">
        <f t="shared" ca="1" si="70"/>
        <v>0</v>
      </c>
      <c r="BT75" t="str">
        <f t="shared" ca="1" si="71"/>
        <v/>
      </c>
      <c r="BU75">
        <f t="shared" ca="1" si="72"/>
        <v>0</v>
      </c>
      <c r="BV75" t="str">
        <f t="shared" ca="1" si="73"/>
        <v/>
      </c>
      <c r="BW75">
        <f t="shared" ca="1" si="74"/>
        <v>0</v>
      </c>
      <c r="BX75" t="str">
        <f t="shared" ca="1" si="75"/>
        <v/>
      </c>
      <c r="BY75">
        <f t="shared" ca="1" si="76"/>
        <v>0</v>
      </c>
      <c r="BZ75" t="str">
        <f t="shared" ca="1" si="77"/>
        <v/>
      </c>
      <c r="CA75">
        <f t="shared" ca="1" si="78"/>
        <v>0</v>
      </c>
      <c r="CB75" t="str">
        <f t="shared" ca="1" si="79"/>
        <v/>
      </c>
      <c r="CC75">
        <f t="shared" ca="1" si="80"/>
        <v>0</v>
      </c>
    </row>
    <row r="76" spans="2:81" ht="14.25" customHeight="1" x14ac:dyDescent="0.3">
      <c r="B76" s="55">
        <f t="shared" si="54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7"/>
      <c r="AY76" s="56"/>
      <c r="AZ76" s="56"/>
      <c r="BA76" s="56"/>
      <c r="BB76" s="56">
        <f t="shared" si="55"/>
        <v>0</v>
      </c>
      <c r="BC76" s="56">
        <f t="shared" si="56"/>
        <v>0</v>
      </c>
      <c r="BE76">
        <f ca="1">'Monthly Collection-2026'!CC76</f>
        <v>0</v>
      </c>
      <c r="BF76" t="str">
        <f t="shared" ca="1" si="57"/>
        <v/>
      </c>
      <c r="BG76">
        <f t="shared" ca="1" si="58"/>
        <v>0</v>
      </c>
      <c r="BH76" t="str">
        <f t="shared" ca="1" si="59"/>
        <v/>
      </c>
      <c r="BI76">
        <f t="shared" ca="1" si="60"/>
        <v>0</v>
      </c>
      <c r="BJ76" t="str">
        <f t="shared" ca="1" si="61"/>
        <v/>
      </c>
      <c r="BK76">
        <f t="shared" ca="1" si="62"/>
        <v>0</v>
      </c>
      <c r="BL76" t="str">
        <f t="shared" ca="1" si="63"/>
        <v/>
      </c>
      <c r="BM76">
        <f t="shared" ca="1" si="64"/>
        <v>0</v>
      </c>
      <c r="BN76" t="str">
        <f t="shared" ca="1" si="65"/>
        <v/>
      </c>
      <c r="BO76">
        <f t="shared" ca="1" si="66"/>
        <v>0</v>
      </c>
      <c r="BP76" t="str">
        <f t="shared" ca="1" si="67"/>
        <v/>
      </c>
      <c r="BQ76">
        <f t="shared" ca="1" si="68"/>
        <v>0</v>
      </c>
      <c r="BR76" t="str">
        <f t="shared" ca="1" si="69"/>
        <v/>
      </c>
      <c r="BS76">
        <f t="shared" ca="1" si="70"/>
        <v>0</v>
      </c>
      <c r="BT76" t="str">
        <f t="shared" ca="1" si="71"/>
        <v/>
      </c>
      <c r="BU76">
        <f t="shared" ca="1" si="72"/>
        <v>0</v>
      </c>
      <c r="BV76" t="str">
        <f t="shared" ca="1" si="73"/>
        <v/>
      </c>
      <c r="BW76">
        <f t="shared" ca="1" si="74"/>
        <v>0</v>
      </c>
      <c r="BX76" t="str">
        <f t="shared" ca="1" si="75"/>
        <v/>
      </c>
      <c r="BY76">
        <f t="shared" ca="1" si="76"/>
        <v>0</v>
      </c>
      <c r="BZ76" t="str">
        <f t="shared" ca="1" si="77"/>
        <v/>
      </c>
      <c r="CA76">
        <f t="shared" ca="1" si="78"/>
        <v>0</v>
      </c>
      <c r="CB76" t="str">
        <f t="shared" ca="1" si="79"/>
        <v/>
      </c>
      <c r="CC76">
        <f t="shared" ca="1" si="80"/>
        <v>0</v>
      </c>
    </row>
    <row r="77" spans="2:81" ht="14.25" customHeight="1" x14ac:dyDescent="0.3">
      <c r="B77" s="51">
        <f t="shared" si="54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3"/>
      <c r="AY77" s="52"/>
      <c r="AZ77" s="52"/>
      <c r="BA77" s="52"/>
      <c r="BB77" s="52">
        <f t="shared" si="55"/>
        <v>0</v>
      </c>
      <c r="BC77" s="52">
        <f t="shared" si="56"/>
        <v>0</v>
      </c>
      <c r="BE77">
        <f ca="1">'Monthly Collection-2026'!CC77</f>
        <v>0</v>
      </c>
      <c r="BF77" t="str">
        <f t="shared" ca="1" si="57"/>
        <v/>
      </c>
      <c r="BG77">
        <f t="shared" ca="1" si="58"/>
        <v>0</v>
      </c>
      <c r="BH77" t="str">
        <f t="shared" ca="1" si="59"/>
        <v/>
      </c>
      <c r="BI77">
        <f t="shared" ca="1" si="60"/>
        <v>0</v>
      </c>
      <c r="BJ77" t="str">
        <f t="shared" ca="1" si="61"/>
        <v/>
      </c>
      <c r="BK77">
        <f t="shared" ca="1" si="62"/>
        <v>0</v>
      </c>
      <c r="BL77" t="str">
        <f t="shared" ca="1" si="63"/>
        <v/>
      </c>
      <c r="BM77">
        <f t="shared" ca="1" si="64"/>
        <v>0</v>
      </c>
      <c r="BN77" t="str">
        <f t="shared" ca="1" si="65"/>
        <v/>
      </c>
      <c r="BO77">
        <f t="shared" ca="1" si="66"/>
        <v>0</v>
      </c>
      <c r="BP77" t="str">
        <f t="shared" ca="1" si="67"/>
        <v/>
      </c>
      <c r="BQ77">
        <f t="shared" ca="1" si="68"/>
        <v>0</v>
      </c>
      <c r="BR77" t="str">
        <f t="shared" ca="1" si="69"/>
        <v/>
      </c>
      <c r="BS77">
        <f t="shared" ca="1" si="70"/>
        <v>0</v>
      </c>
      <c r="BT77" t="str">
        <f t="shared" ca="1" si="71"/>
        <v/>
      </c>
      <c r="BU77">
        <f t="shared" ca="1" si="72"/>
        <v>0</v>
      </c>
      <c r="BV77" t="str">
        <f t="shared" ca="1" si="73"/>
        <v/>
      </c>
      <c r="BW77">
        <f t="shared" ca="1" si="74"/>
        <v>0</v>
      </c>
      <c r="BX77" t="str">
        <f t="shared" ca="1" si="75"/>
        <v/>
      </c>
      <c r="BY77">
        <f t="shared" ca="1" si="76"/>
        <v>0</v>
      </c>
      <c r="BZ77" t="str">
        <f t="shared" ca="1" si="77"/>
        <v/>
      </c>
      <c r="CA77">
        <f t="shared" ca="1" si="78"/>
        <v>0</v>
      </c>
      <c r="CB77" t="str">
        <f t="shared" ca="1" si="79"/>
        <v/>
      </c>
      <c r="CC77">
        <f t="shared" ca="1" si="80"/>
        <v>0</v>
      </c>
    </row>
    <row r="78" spans="2:81" ht="14.25" customHeight="1" x14ac:dyDescent="0.3">
      <c r="B78" s="55">
        <f t="shared" si="54"/>
        <v>75</v>
      </c>
      <c r="C78" s="56" t="s">
        <v>146</v>
      </c>
      <c r="D78" s="12">
        <f>'Member Wise Deposit Summary'!D78</f>
        <v>1608600387</v>
      </c>
      <c r="E78" s="56">
        <v>1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7"/>
      <c r="AY78" s="56"/>
      <c r="AZ78" s="56"/>
      <c r="BA78" s="56"/>
      <c r="BB78" s="56">
        <f t="shared" si="55"/>
        <v>0</v>
      </c>
      <c r="BC78" s="56">
        <f t="shared" si="56"/>
        <v>0</v>
      </c>
      <c r="BE78">
        <f ca="1">'Monthly Collection-2026'!CC78</f>
        <v>0</v>
      </c>
      <c r="BF78" t="str">
        <f t="shared" ca="1" si="57"/>
        <v/>
      </c>
      <c r="BG78">
        <f t="shared" ca="1" si="58"/>
        <v>0</v>
      </c>
      <c r="BH78" t="str">
        <f t="shared" ca="1" si="59"/>
        <v/>
      </c>
      <c r="BI78">
        <f t="shared" ca="1" si="60"/>
        <v>0</v>
      </c>
      <c r="BJ78" t="str">
        <f t="shared" ca="1" si="61"/>
        <v/>
      </c>
      <c r="BK78">
        <f t="shared" ca="1" si="62"/>
        <v>0</v>
      </c>
      <c r="BL78" t="str">
        <f t="shared" ca="1" si="63"/>
        <v/>
      </c>
      <c r="BM78">
        <f t="shared" ca="1" si="64"/>
        <v>0</v>
      </c>
      <c r="BN78" t="str">
        <f t="shared" ca="1" si="65"/>
        <v/>
      </c>
      <c r="BO78">
        <f t="shared" ca="1" si="66"/>
        <v>0</v>
      </c>
      <c r="BP78" t="str">
        <f t="shared" ca="1" si="67"/>
        <v/>
      </c>
      <c r="BQ78">
        <f t="shared" ca="1" si="68"/>
        <v>0</v>
      </c>
      <c r="BR78" t="str">
        <f t="shared" ca="1" si="69"/>
        <v/>
      </c>
      <c r="BS78">
        <f t="shared" ca="1" si="70"/>
        <v>0</v>
      </c>
      <c r="BT78" t="str">
        <f t="shared" ca="1" si="71"/>
        <v/>
      </c>
      <c r="BU78">
        <f t="shared" ca="1" si="72"/>
        <v>0</v>
      </c>
      <c r="BV78" t="str">
        <f t="shared" ca="1" si="73"/>
        <v/>
      </c>
      <c r="BW78">
        <f t="shared" ca="1" si="74"/>
        <v>0</v>
      </c>
      <c r="BX78" t="str">
        <f t="shared" ca="1" si="75"/>
        <v/>
      </c>
      <c r="BY78">
        <f t="shared" ca="1" si="76"/>
        <v>0</v>
      </c>
      <c r="BZ78" t="str">
        <f t="shared" ca="1" si="77"/>
        <v/>
      </c>
      <c r="CA78">
        <f t="shared" ca="1" si="78"/>
        <v>0</v>
      </c>
      <c r="CB78" t="str">
        <f t="shared" ca="1" si="79"/>
        <v/>
      </c>
      <c r="CC78">
        <f t="shared" ca="1" si="80"/>
        <v>0</v>
      </c>
    </row>
    <row r="79" spans="2:81" ht="14.25" customHeight="1" x14ac:dyDescent="0.3">
      <c r="B79" s="51">
        <f t="shared" si="54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3"/>
      <c r="AY79" s="52"/>
      <c r="AZ79" s="52"/>
      <c r="BA79" s="52"/>
      <c r="BB79" s="52">
        <f t="shared" si="55"/>
        <v>0</v>
      </c>
      <c r="BC79" s="52">
        <f t="shared" si="56"/>
        <v>0</v>
      </c>
      <c r="BE79">
        <f ca="1">'Monthly Collection-2026'!CC79</f>
        <v>0</v>
      </c>
      <c r="BF79" t="str">
        <f t="shared" ca="1" si="57"/>
        <v/>
      </c>
      <c r="BG79">
        <f t="shared" ca="1" si="58"/>
        <v>0</v>
      </c>
      <c r="BH79" t="str">
        <f t="shared" ca="1" si="59"/>
        <v/>
      </c>
      <c r="BI79">
        <f t="shared" ca="1" si="60"/>
        <v>0</v>
      </c>
      <c r="BJ79" t="str">
        <f t="shared" ca="1" si="61"/>
        <v/>
      </c>
      <c r="BK79">
        <f t="shared" ca="1" si="62"/>
        <v>0</v>
      </c>
      <c r="BL79" t="str">
        <f t="shared" ca="1" si="63"/>
        <v/>
      </c>
      <c r="BM79">
        <f t="shared" ca="1" si="64"/>
        <v>0</v>
      </c>
      <c r="BN79" t="str">
        <f t="shared" ca="1" si="65"/>
        <v/>
      </c>
      <c r="BO79">
        <f t="shared" ca="1" si="66"/>
        <v>0</v>
      </c>
      <c r="BP79" t="str">
        <f t="shared" ca="1" si="67"/>
        <v/>
      </c>
      <c r="BQ79">
        <f t="shared" ca="1" si="68"/>
        <v>0</v>
      </c>
      <c r="BR79" t="str">
        <f t="shared" ca="1" si="69"/>
        <v/>
      </c>
      <c r="BS79">
        <f t="shared" ca="1" si="70"/>
        <v>0</v>
      </c>
      <c r="BT79" t="str">
        <f t="shared" ca="1" si="71"/>
        <v/>
      </c>
      <c r="BU79">
        <f t="shared" ca="1" si="72"/>
        <v>0</v>
      </c>
      <c r="BV79" t="str">
        <f t="shared" ca="1" si="73"/>
        <v/>
      </c>
      <c r="BW79">
        <f t="shared" ca="1" si="74"/>
        <v>0</v>
      </c>
      <c r="BX79" t="str">
        <f t="shared" ca="1" si="75"/>
        <v/>
      </c>
      <c r="BY79">
        <f t="shared" ca="1" si="76"/>
        <v>0</v>
      </c>
      <c r="BZ79" t="str">
        <f t="shared" ca="1" si="77"/>
        <v/>
      </c>
      <c r="CA79">
        <f t="shared" ca="1" si="78"/>
        <v>0</v>
      </c>
      <c r="CB79" t="str">
        <f t="shared" ca="1" si="79"/>
        <v/>
      </c>
      <c r="CC79">
        <f t="shared" ca="1" si="80"/>
        <v>0</v>
      </c>
    </row>
    <row r="80" spans="2:81" ht="15" customHeight="1" x14ac:dyDescent="0.3">
      <c r="B80" s="59">
        <f t="shared" si="54"/>
        <v>77</v>
      </c>
      <c r="C80" s="60" t="s">
        <v>148</v>
      </c>
      <c r="D80" s="12">
        <f>'Member Wise Deposit Summary'!D80</f>
        <v>1812676040</v>
      </c>
      <c r="E80" s="60">
        <v>1</v>
      </c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1"/>
      <c r="AY80" s="60"/>
      <c r="AZ80" s="60"/>
      <c r="BA80" s="60"/>
      <c r="BB80" s="60">
        <f t="shared" si="55"/>
        <v>0</v>
      </c>
      <c r="BC80" s="60">
        <f t="shared" si="56"/>
        <v>0</v>
      </c>
      <c r="BE80">
        <f ca="1">'Monthly Collection-2026'!CC80</f>
        <v>0</v>
      </c>
      <c r="BF80" t="str">
        <f t="shared" ca="1" si="57"/>
        <v/>
      </c>
      <c r="BG80">
        <f t="shared" ca="1" si="58"/>
        <v>0</v>
      </c>
      <c r="BH80" t="str">
        <f t="shared" ca="1" si="59"/>
        <v/>
      </c>
      <c r="BI80">
        <f t="shared" ca="1" si="60"/>
        <v>0</v>
      </c>
      <c r="BJ80" t="str">
        <f t="shared" ca="1" si="61"/>
        <v/>
      </c>
      <c r="BK80">
        <f t="shared" ca="1" si="62"/>
        <v>0</v>
      </c>
      <c r="BL80" t="str">
        <f t="shared" ca="1" si="63"/>
        <v/>
      </c>
      <c r="BM80">
        <f t="shared" ca="1" si="64"/>
        <v>0</v>
      </c>
      <c r="BN80" t="str">
        <f t="shared" ca="1" si="65"/>
        <v/>
      </c>
      <c r="BO80">
        <f t="shared" ca="1" si="66"/>
        <v>0</v>
      </c>
      <c r="BP80" t="str">
        <f t="shared" ca="1" si="67"/>
        <v/>
      </c>
      <c r="BQ80">
        <f t="shared" ca="1" si="68"/>
        <v>0</v>
      </c>
      <c r="BR80" t="str">
        <f t="shared" ca="1" si="69"/>
        <v/>
      </c>
      <c r="BS80">
        <f t="shared" ca="1" si="70"/>
        <v>0</v>
      </c>
      <c r="BT80" t="str">
        <f t="shared" ca="1" si="71"/>
        <v/>
      </c>
      <c r="BU80">
        <f t="shared" ca="1" si="72"/>
        <v>0</v>
      </c>
      <c r="BV80" t="str">
        <f t="shared" ca="1" si="73"/>
        <v/>
      </c>
      <c r="BW80">
        <f t="shared" ca="1" si="74"/>
        <v>0</v>
      </c>
      <c r="BX80" t="str">
        <f t="shared" ca="1" si="75"/>
        <v/>
      </c>
      <c r="BY80">
        <f t="shared" ca="1" si="76"/>
        <v>0</v>
      </c>
      <c r="BZ80" t="str">
        <f t="shared" ca="1" si="77"/>
        <v/>
      </c>
      <c r="CA80">
        <f t="shared" ca="1" si="78"/>
        <v>0</v>
      </c>
      <c r="CB80" t="str">
        <f t="shared" ca="1" si="79"/>
        <v/>
      </c>
      <c r="CC80">
        <f t="shared" ca="1" si="80"/>
        <v>0</v>
      </c>
    </row>
    <row r="81" spans="2:55" ht="15" customHeight="1" x14ac:dyDescent="0.3">
      <c r="B81" s="299" t="s">
        <v>68</v>
      </c>
      <c r="C81" s="299"/>
      <c r="D81" s="299"/>
      <c r="E81" s="299"/>
      <c r="F81" s="66">
        <f t="shared" ref="F81:AK81" si="81">SUM(F4:F80)</f>
        <v>0</v>
      </c>
      <c r="G81" s="66">
        <f t="shared" si="81"/>
        <v>0</v>
      </c>
      <c r="H81" s="66">
        <f t="shared" si="81"/>
        <v>0</v>
      </c>
      <c r="I81" s="66">
        <f t="shared" si="81"/>
        <v>0</v>
      </c>
      <c r="J81" s="66">
        <f t="shared" si="81"/>
        <v>0</v>
      </c>
      <c r="K81" s="66">
        <f t="shared" si="81"/>
        <v>0</v>
      </c>
      <c r="L81" s="66">
        <f t="shared" si="81"/>
        <v>0</v>
      </c>
      <c r="M81" s="66">
        <f t="shared" si="81"/>
        <v>0</v>
      </c>
      <c r="N81" s="66">
        <f t="shared" si="81"/>
        <v>0</v>
      </c>
      <c r="O81" s="66">
        <f t="shared" si="81"/>
        <v>0</v>
      </c>
      <c r="P81" s="66">
        <f t="shared" si="81"/>
        <v>0</v>
      </c>
      <c r="Q81" s="66">
        <f t="shared" si="81"/>
        <v>0</v>
      </c>
      <c r="R81" s="66">
        <f t="shared" si="81"/>
        <v>0</v>
      </c>
      <c r="S81" s="66">
        <f t="shared" si="81"/>
        <v>0</v>
      </c>
      <c r="T81" s="66">
        <f t="shared" si="81"/>
        <v>0</v>
      </c>
      <c r="U81" s="66">
        <f t="shared" si="81"/>
        <v>0</v>
      </c>
      <c r="V81" s="66">
        <f t="shared" si="81"/>
        <v>0</v>
      </c>
      <c r="W81" s="66">
        <f t="shared" si="81"/>
        <v>0</v>
      </c>
      <c r="X81" s="66">
        <f t="shared" si="81"/>
        <v>0</v>
      </c>
      <c r="Y81" s="66">
        <f t="shared" si="81"/>
        <v>0</v>
      </c>
      <c r="Z81" s="66">
        <f t="shared" si="81"/>
        <v>0</v>
      </c>
      <c r="AA81" s="66">
        <f t="shared" si="81"/>
        <v>0</v>
      </c>
      <c r="AB81" s="66">
        <f t="shared" si="81"/>
        <v>0</v>
      </c>
      <c r="AC81" s="66">
        <f t="shared" si="81"/>
        <v>0</v>
      </c>
      <c r="AD81" s="66">
        <f t="shared" si="81"/>
        <v>0</v>
      </c>
      <c r="AE81" s="66">
        <f t="shared" si="81"/>
        <v>0</v>
      </c>
      <c r="AF81" s="66">
        <f t="shared" si="81"/>
        <v>0</v>
      </c>
      <c r="AG81" s="66">
        <f t="shared" si="81"/>
        <v>0</v>
      </c>
      <c r="AH81" s="66">
        <f t="shared" si="81"/>
        <v>0</v>
      </c>
      <c r="AI81" s="66">
        <f t="shared" si="81"/>
        <v>0</v>
      </c>
      <c r="AJ81" s="66">
        <f t="shared" si="81"/>
        <v>0</v>
      </c>
      <c r="AK81" s="66">
        <f t="shared" si="81"/>
        <v>0</v>
      </c>
      <c r="AL81" s="66">
        <f t="shared" ref="AL81:BC81" si="82">SUM(AL4:AL80)</f>
        <v>0</v>
      </c>
      <c r="AM81" s="66">
        <f t="shared" si="82"/>
        <v>0</v>
      </c>
      <c r="AN81" s="66">
        <f t="shared" si="82"/>
        <v>0</v>
      </c>
      <c r="AO81" s="66">
        <f t="shared" si="82"/>
        <v>0</v>
      </c>
      <c r="AP81" s="66">
        <f t="shared" si="82"/>
        <v>0</v>
      </c>
      <c r="AQ81" s="66">
        <f t="shared" si="82"/>
        <v>0</v>
      </c>
      <c r="AR81" s="66">
        <f t="shared" si="82"/>
        <v>0</v>
      </c>
      <c r="AS81" s="66">
        <f t="shared" si="82"/>
        <v>0</v>
      </c>
      <c r="AT81" s="66">
        <f t="shared" si="82"/>
        <v>0</v>
      </c>
      <c r="AU81" s="66">
        <f t="shared" si="82"/>
        <v>0</v>
      </c>
      <c r="AV81" s="66">
        <f t="shared" si="82"/>
        <v>0</v>
      </c>
      <c r="AW81" s="66">
        <f t="shared" si="82"/>
        <v>0</v>
      </c>
      <c r="AX81" s="66">
        <f t="shared" si="82"/>
        <v>0</v>
      </c>
      <c r="AY81" s="66">
        <f t="shared" si="82"/>
        <v>0</v>
      </c>
      <c r="AZ81" s="66">
        <f t="shared" si="82"/>
        <v>0</v>
      </c>
      <c r="BA81" s="66">
        <f t="shared" si="82"/>
        <v>0</v>
      </c>
      <c r="BB81" s="66">
        <f t="shared" si="82"/>
        <v>0</v>
      </c>
      <c r="BC81" s="67">
        <f t="shared" si="82"/>
        <v>0</v>
      </c>
    </row>
  </sheetData>
  <mergeCells count="19">
    <mergeCell ref="B81:E81"/>
    <mergeCell ref="AD2:AG2"/>
    <mergeCell ref="AH2:AK2"/>
    <mergeCell ref="AL2:AO2"/>
    <mergeCell ref="AP2:AS2"/>
    <mergeCell ref="J2:M2"/>
    <mergeCell ref="N2:Q2"/>
    <mergeCell ref="R2:U2"/>
    <mergeCell ref="V2:Y2"/>
    <mergeCell ref="Z2:AC2"/>
    <mergeCell ref="B2:B3"/>
    <mergeCell ref="C2:C3"/>
    <mergeCell ref="D2:D3"/>
    <mergeCell ref="E2:E3"/>
    <mergeCell ref="F2:I2"/>
    <mergeCell ref="AX2:BA2"/>
    <mergeCell ref="BB2:BB3"/>
    <mergeCell ref="BC2:BC3"/>
    <mergeCell ref="AT2:AW2"/>
  </mergeCells>
  <conditionalFormatting sqref="F4:F80">
    <cfRule type="expression" dxfId="164" priority="100">
      <formula>$BF4="R"</formula>
    </cfRule>
    <cfRule type="expression" dxfId="163" priority="101">
      <formula>$BF4="G"</formula>
    </cfRule>
  </conditionalFormatting>
  <conditionalFormatting sqref="J4:J80">
    <cfRule type="expression" dxfId="162" priority="102">
      <formula>$BH4="R"</formula>
    </cfRule>
    <cfRule type="expression" dxfId="161" priority="103">
      <formula>$BH4="G"</formula>
    </cfRule>
  </conditionalFormatting>
  <conditionalFormatting sqref="N4:N80">
    <cfRule type="expression" dxfId="160" priority="104">
      <formula>$BJ4="R"</formula>
    </cfRule>
    <cfRule type="expression" dxfId="159" priority="105">
      <formula>$BJ4="G"</formula>
    </cfRule>
  </conditionalFormatting>
  <conditionalFormatting sqref="R4:R80">
    <cfRule type="expression" dxfId="158" priority="106">
      <formula>$BL4="R"</formula>
    </cfRule>
    <cfRule type="expression" dxfId="157" priority="107">
      <formula>$BL4="G"</formula>
    </cfRule>
  </conditionalFormatting>
  <conditionalFormatting sqref="V4:V80">
    <cfRule type="expression" dxfId="156" priority="108">
      <formula>$BN4="R"</formula>
    </cfRule>
    <cfRule type="expression" dxfId="155" priority="109">
      <formula>$BN4="G"</formula>
    </cfRule>
  </conditionalFormatting>
  <conditionalFormatting sqref="Z4:Z80">
    <cfRule type="expression" dxfId="154" priority="110">
      <formula>$BP4="R"</formula>
    </cfRule>
    <cfRule type="expression" dxfId="153" priority="111">
      <formula>$BP4="G"</formula>
    </cfRule>
  </conditionalFormatting>
  <conditionalFormatting sqref="AD4:AD80">
    <cfRule type="expression" dxfId="152" priority="112">
      <formula>$BR4="R"</formula>
    </cfRule>
    <cfRule type="expression" dxfId="151" priority="113">
      <formula>$BR4="G"</formula>
    </cfRule>
  </conditionalFormatting>
  <conditionalFormatting sqref="AH4:AH80">
    <cfRule type="expression" dxfId="150" priority="114">
      <formula>$BT4="R"</formula>
    </cfRule>
    <cfRule type="expression" dxfId="149" priority="115">
      <formula>$BT4="G"</formula>
    </cfRule>
  </conditionalFormatting>
  <conditionalFormatting sqref="AL4:AL80">
    <cfRule type="expression" dxfId="148" priority="116">
      <formula>$BV4="R"</formula>
    </cfRule>
    <cfRule type="expression" dxfId="147" priority="117">
      <formula>$BV4="G"</formula>
    </cfRule>
  </conditionalFormatting>
  <conditionalFormatting sqref="AP4:AP80">
    <cfRule type="expression" dxfId="146" priority="118">
      <formula>$BX4="R"</formula>
    </cfRule>
    <cfRule type="expression" dxfId="145" priority="119">
      <formula>$BX4="G"</formula>
    </cfRule>
  </conditionalFormatting>
  <conditionalFormatting sqref="AT4:AT80">
    <cfRule type="expression" dxfId="144" priority="120">
      <formula>$BZ4="R"</formula>
    </cfRule>
    <cfRule type="expression" dxfId="143" priority="121">
      <formula>$BZ4="G"</formula>
    </cfRule>
  </conditionalFormatting>
  <conditionalFormatting sqref="AX4:AX80">
    <cfRule type="expression" dxfId="142" priority="122">
      <formula>$CB4="R"</formula>
    </cfRule>
    <cfRule type="expression" dxfId="141" priority="123">
      <formula>$CB4="G"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D81"/>
  <sheetViews>
    <sheetView showGridLines="0" topLeftCell="A61" zoomScaleNormal="100" workbookViewId="0">
      <selection activeCell="D77" sqref="D77"/>
    </sheetView>
  </sheetViews>
  <sheetFormatPr defaultColWidth="8.88671875" defaultRowHeight="14.4" outlineLevelCol="1" x14ac:dyDescent="0.3"/>
  <cols>
    <col min="1" max="1" width="15" style="3" customWidth="1"/>
    <col min="2" max="2" width="11.6640625" style="3" customWidth="1"/>
    <col min="3" max="3" width="27.88671875" style="3" customWidth="1"/>
    <col min="4" max="4" width="15.109375" style="3" customWidth="1"/>
    <col min="5" max="5" width="7.88671875" style="3" customWidth="1"/>
    <col min="6" max="6" width="10.77734375" style="3" customWidth="1"/>
    <col min="7" max="7" width="8.33203125" style="3" customWidth="1"/>
    <col min="8" max="8" width="10.109375" style="3" customWidth="1"/>
    <col min="9" max="9" width="8.77734375" style="3" customWidth="1"/>
    <col min="10" max="10" width="10.77734375" style="3" customWidth="1"/>
    <col min="11" max="11" width="8.33203125" style="3" customWidth="1"/>
    <col min="12" max="12" width="10.109375" style="3" customWidth="1"/>
    <col min="13" max="13" width="8.77734375" style="3" customWidth="1"/>
    <col min="14" max="14" width="10.77734375" style="3" customWidth="1"/>
    <col min="15" max="15" width="8.33203125" style="3" customWidth="1"/>
    <col min="16" max="16" width="10.109375" style="3" customWidth="1"/>
    <col min="17" max="17" width="8.77734375" style="3" customWidth="1"/>
    <col min="18" max="18" width="10.77734375" style="3" customWidth="1"/>
    <col min="19" max="19" width="8.33203125" style="3" customWidth="1"/>
    <col min="20" max="20" width="10.109375" style="3" customWidth="1"/>
    <col min="21" max="21" width="8.77734375" style="3" customWidth="1"/>
    <col min="22" max="22" width="10.77734375" style="3" customWidth="1"/>
    <col min="23" max="23" width="8.33203125" style="3" customWidth="1"/>
    <col min="24" max="24" width="10.109375" style="3" customWidth="1"/>
    <col min="25" max="25" width="8.77734375" style="3" customWidth="1"/>
    <col min="26" max="26" width="10.77734375" style="3" customWidth="1"/>
    <col min="27" max="27" width="8.33203125" style="3" customWidth="1"/>
    <col min="28" max="28" width="10.109375" style="3" customWidth="1"/>
    <col min="29" max="29" width="8.77734375" style="3" customWidth="1"/>
    <col min="30" max="30" width="10.77734375" style="3" customWidth="1"/>
    <col min="31" max="31" width="8.33203125" style="3" customWidth="1"/>
    <col min="32" max="32" width="10.109375" style="3" customWidth="1"/>
    <col min="33" max="33" width="8.77734375" style="3" customWidth="1"/>
    <col min="34" max="34" width="10.77734375" style="3" customWidth="1"/>
    <col min="35" max="35" width="8.33203125" style="3" customWidth="1"/>
    <col min="36" max="36" width="10.109375" style="3" customWidth="1"/>
    <col min="37" max="37" width="8.77734375" style="3" customWidth="1"/>
    <col min="38" max="38" width="10.77734375" style="3" customWidth="1"/>
    <col min="39" max="39" width="8.33203125" style="3" customWidth="1"/>
    <col min="40" max="40" width="10.109375" style="3" customWidth="1"/>
    <col min="41" max="41" width="8.77734375" style="3" customWidth="1"/>
    <col min="42" max="42" width="10.77734375" style="3" customWidth="1"/>
    <col min="43" max="43" width="8.33203125" style="3" customWidth="1"/>
    <col min="44" max="44" width="10.109375" style="3" customWidth="1"/>
    <col min="45" max="45" width="8.77734375" style="3" customWidth="1"/>
    <col min="46" max="46" width="10.77734375" style="3" customWidth="1"/>
    <col min="47" max="47" width="8.33203125" style="3" customWidth="1"/>
    <col min="48" max="48" width="10.109375" style="3" customWidth="1"/>
    <col min="49" max="49" width="8.77734375" style="3" customWidth="1"/>
    <col min="50" max="50" width="10.77734375" style="3" customWidth="1"/>
    <col min="51" max="51" width="8.33203125" style="3" customWidth="1"/>
    <col min="52" max="52" width="10.109375" style="3" customWidth="1"/>
    <col min="53" max="53" width="8.77734375" style="3" customWidth="1"/>
    <col min="54" max="54" width="7.33203125" style="3" customWidth="1"/>
    <col min="55" max="55" width="5.21875" style="3" customWidth="1"/>
    <col min="56" max="56" width="8.88671875" style="3"/>
    <col min="57" max="81" width="9.44140625" style="3" hidden="1" customWidth="1" outlineLevel="1"/>
    <col min="82" max="82" width="8.88671875" style="3" collapsed="1"/>
    <col min="83" max="16384" width="8.88671875" style="3"/>
  </cols>
  <sheetData>
    <row r="1" spans="1:81" ht="19.5" customHeight="1" x14ac:dyDescent="0.3">
      <c r="A1" s="4" t="str">
        <f>HYPERLINK("#DASHBOARD!A1","⬅ Dashboard")</f>
        <v>⬅ Dashboard</v>
      </c>
      <c r="BE1" t="s">
        <v>355</v>
      </c>
    </row>
    <row r="2" spans="1:81" s="45" customFormat="1" ht="14.25" customHeight="1" x14ac:dyDescent="0.3">
      <c r="B2" s="301" t="s">
        <v>69</v>
      </c>
      <c r="C2" s="302" t="s">
        <v>36</v>
      </c>
      <c r="D2" s="302" t="s">
        <v>37</v>
      </c>
      <c r="E2" s="302" t="s">
        <v>38</v>
      </c>
      <c r="F2" s="296">
        <v>46753</v>
      </c>
      <c r="G2" s="296"/>
      <c r="H2" s="296"/>
      <c r="I2" s="296"/>
      <c r="J2" s="300">
        <f>EDATE($F2,1)</f>
        <v>46784</v>
      </c>
      <c r="K2" s="300"/>
      <c r="L2" s="300"/>
      <c r="M2" s="300"/>
      <c r="N2" s="296">
        <f>EDATE($F2,2)</f>
        <v>46813</v>
      </c>
      <c r="O2" s="296"/>
      <c r="P2" s="296"/>
      <c r="Q2" s="296"/>
      <c r="R2" s="300">
        <f>EDATE($F2,3)</f>
        <v>46844</v>
      </c>
      <c r="S2" s="300"/>
      <c r="T2" s="300"/>
      <c r="U2" s="300"/>
      <c r="V2" s="296">
        <f>EDATE($F2,4)</f>
        <v>46874</v>
      </c>
      <c r="W2" s="296"/>
      <c r="X2" s="296"/>
      <c r="Y2" s="296"/>
      <c r="Z2" s="300">
        <f>EDATE($F2,5)</f>
        <v>46905</v>
      </c>
      <c r="AA2" s="300"/>
      <c r="AB2" s="300"/>
      <c r="AC2" s="300"/>
      <c r="AD2" s="296">
        <f>EDATE($F2,6)</f>
        <v>46935</v>
      </c>
      <c r="AE2" s="296"/>
      <c r="AF2" s="296"/>
      <c r="AG2" s="296"/>
      <c r="AH2" s="300">
        <f>EDATE($F2,7)</f>
        <v>46966</v>
      </c>
      <c r="AI2" s="300"/>
      <c r="AJ2" s="300"/>
      <c r="AK2" s="300"/>
      <c r="AL2" s="296">
        <f>EDATE($F2,8)</f>
        <v>46997</v>
      </c>
      <c r="AM2" s="296"/>
      <c r="AN2" s="296"/>
      <c r="AO2" s="296"/>
      <c r="AP2" s="300">
        <f>EDATE($F2,9)</f>
        <v>47027</v>
      </c>
      <c r="AQ2" s="300"/>
      <c r="AR2" s="300"/>
      <c r="AS2" s="300"/>
      <c r="AT2" s="296">
        <f>EDATE($F2,10)</f>
        <v>47058</v>
      </c>
      <c r="AU2" s="296"/>
      <c r="AV2" s="296"/>
      <c r="AW2" s="296"/>
      <c r="AX2" s="300">
        <f>EDATE($F2,11)</f>
        <v>47088</v>
      </c>
      <c r="AY2" s="300"/>
      <c r="AZ2" s="300"/>
      <c r="BA2" s="300"/>
      <c r="BB2" s="297" t="s">
        <v>70</v>
      </c>
      <c r="BC2" s="298" t="s">
        <v>41</v>
      </c>
      <c r="BF2" s="236">
        <f>F$2</f>
        <v>46753</v>
      </c>
      <c r="BH2" s="236">
        <f>J$2</f>
        <v>46784</v>
      </c>
      <c r="BJ2" s="236">
        <f>N$2</f>
        <v>46813</v>
      </c>
      <c r="BL2" s="236">
        <f>R$2</f>
        <v>46844</v>
      </c>
      <c r="BN2" s="236">
        <f>V$2</f>
        <v>46874</v>
      </c>
      <c r="BP2" s="236">
        <f>Z$2</f>
        <v>46905</v>
      </c>
      <c r="BR2" s="236">
        <f>AD$2</f>
        <v>46935</v>
      </c>
      <c r="BT2" s="236">
        <f>AH$2</f>
        <v>46966</v>
      </c>
      <c r="BV2" s="236">
        <f>AL$2</f>
        <v>46997</v>
      </c>
      <c r="BX2" s="236">
        <f>AP$2</f>
        <v>47027</v>
      </c>
      <c r="BZ2" s="236">
        <f>AT$2</f>
        <v>47058</v>
      </c>
      <c r="CB2" s="236">
        <f>AX$2</f>
        <v>47088</v>
      </c>
    </row>
    <row r="3" spans="1:81" s="46" customFormat="1" ht="29.25" customHeight="1" x14ac:dyDescent="0.3">
      <c r="B3" s="301"/>
      <c r="C3" s="302"/>
      <c r="D3" s="302"/>
      <c r="E3" s="302"/>
      <c r="F3" s="22" t="s">
        <v>44</v>
      </c>
      <c r="G3" s="22" t="s">
        <v>19</v>
      </c>
      <c r="H3" s="22" t="s">
        <v>45</v>
      </c>
      <c r="I3" s="22" t="s">
        <v>20</v>
      </c>
      <c r="J3" s="22" t="s">
        <v>44</v>
      </c>
      <c r="K3" s="22" t="s">
        <v>19</v>
      </c>
      <c r="L3" s="22" t="s">
        <v>45</v>
      </c>
      <c r="M3" s="22" t="s">
        <v>20</v>
      </c>
      <c r="N3" s="22" t="s">
        <v>44</v>
      </c>
      <c r="O3" s="22" t="s">
        <v>19</v>
      </c>
      <c r="P3" s="22" t="s">
        <v>45</v>
      </c>
      <c r="Q3" s="22" t="s">
        <v>20</v>
      </c>
      <c r="R3" s="22" t="s">
        <v>44</v>
      </c>
      <c r="S3" s="22" t="s">
        <v>19</v>
      </c>
      <c r="T3" s="22" t="s">
        <v>45</v>
      </c>
      <c r="U3" s="22" t="s">
        <v>20</v>
      </c>
      <c r="V3" s="22" t="s">
        <v>44</v>
      </c>
      <c r="W3" s="22" t="s">
        <v>19</v>
      </c>
      <c r="X3" s="22" t="s">
        <v>45</v>
      </c>
      <c r="Y3" s="22" t="s">
        <v>20</v>
      </c>
      <c r="Z3" s="22" t="s">
        <v>44</v>
      </c>
      <c r="AA3" s="22" t="s">
        <v>19</v>
      </c>
      <c r="AB3" s="22" t="s">
        <v>45</v>
      </c>
      <c r="AC3" s="22" t="s">
        <v>20</v>
      </c>
      <c r="AD3" s="22" t="s">
        <v>44</v>
      </c>
      <c r="AE3" s="22" t="s">
        <v>19</v>
      </c>
      <c r="AF3" s="22" t="s">
        <v>45</v>
      </c>
      <c r="AG3" s="22" t="s">
        <v>20</v>
      </c>
      <c r="AH3" s="22" t="s">
        <v>44</v>
      </c>
      <c r="AI3" s="22" t="s">
        <v>19</v>
      </c>
      <c r="AJ3" s="22" t="s">
        <v>45</v>
      </c>
      <c r="AK3" s="22" t="s">
        <v>20</v>
      </c>
      <c r="AL3" s="22" t="s">
        <v>44</v>
      </c>
      <c r="AM3" s="22" t="s">
        <v>19</v>
      </c>
      <c r="AN3" s="22" t="s">
        <v>45</v>
      </c>
      <c r="AO3" s="22" t="s">
        <v>20</v>
      </c>
      <c r="AP3" s="22" t="s">
        <v>44</v>
      </c>
      <c r="AQ3" s="22" t="s">
        <v>19</v>
      </c>
      <c r="AR3" s="22" t="s">
        <v>45</v>
      </c>
      <c r="AS3" s="22" t="s">
        <v>20</v>
      </c>
      <c r="AT3" s="22" t="s">
        <v>44</v>
      </c>
      <c r="AU3" s="22" t="s">
        <v>19</v>
      </c>
      <c r="AV3" s="22" t="s">
        <v>45</v>
      </c>
      <c r="AW3" s="22" t="s">
        <v>20</v>
      </c>
      <c r="AX3" s="22" t="s">
        <v>44</v>
      </c>
      <c r="AY3" s="22" t="s">
        <v>19</v>
      </c>
      <c r="AZ3" s="22" t="s">
        <v>45</v>
      </c>
      <c r="BA3" s="22" t="s">
        <v>20</v>
      </c>
      <c r="BB3" s="297"/>
      <c r="BC3" s="298"/>
      <c r="BE3" s="22" t="s">
        <v>356</v>
      </c>
      <c r="BF3" s="22" t="s">
        <v>339</v>
      </c>
      <c r="BG3" s="22" t="s">
        <v>357</v>
      </c>
      <c r="BH3" s="22" t="s">
        <v>339</v>
      </c>
      <c r="BI3" s="22" t="s">
        <v>357</v>
      </c>
      <c r="BJ3" s="22" t="s">
        <v>339</v>
      </c>
      <c r="BK3" s="22" t="s">
        <v>357</v>
      </c>
      <c r="BL3" s="22" t="s">
        <v>339</v>
      </c>
      <c r="BM3" s="22" t="s">
        <v>357</v>
      </c>
      <c r="BN3" s="22" t="s">
        <v>339</v>
      </c>
      <c r="BO3" s="22" t="s">
        <v>357</v>
      </c>
      <c r="BP3" s="22" t="s">
        <v>339</v>
      </c>
      <c r="BQ3" s="22" t="s">
        <v>357</v>
      </c>
      <c r="BR3" s="22" t="s">
        <v>339</v>
      </c>
      <c r="BS3" s="22" t="s">
        <v>357</v>
      </c>
      <c r="BT3" s="22" t="s">
        <v>339</v>
      </c>
      <c r="BU3" s="22" t="s">
        <v>357</v>
      </c>
      <c r="BV3" s="22" t="s">
        <v>339</v>
      </c>
      <c r="BW3" s="22" t="s">
        <v>357</v>
      </c>
      <c r="BX3" s="22" t="s">
        <v>339</v>
      </c>
      <c r="BY3" s="22" t="s">
        <v>357</v>
      </c>
      <c r="BZ3" s="22" t="s">
        <v>339</v>
      </c>
      <c r="CA3" s="22" t="s">
        <v>357</v>
      </c>
      <c r="CB3" s="22" t="s">
        <v>339</v>
      </c>
      <c r="CC3" s="22" t="s">
        <v>357</v>
      </c>
    </row>
    <row r="4" spans="1:81" ht="14.25" customHeight="1" x14ac:dyDescent="0.3">
      <c r="B4" s="47">
        <f t="shared" ref="B4:B35" si="0">ROW()-3</f>
        <v>1</v>
      </c>
      <c r="C4" s="48" t="s">
        <v>71</v>
      </c>
      <c r="D4" s="12">
        <f>'Member Wise Deposit Summary'!D4</f>
        <v>1814824030</v>
      </c>
      <c r="E4" s="48">
        <v>3</v>
      </c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9"/>
      <c r="AY4" s="48"/>
      <c r="AZ4" s="48"/>
      <c r="BA4" s="48"/>
      <c r="BB4" s="48">
        <f t="shared" ref="BB4:BB35" si="1">F4+G4+H4+J4+K4+L4+N4+O4+P4+R4+S4+T4+V4+W4+X4+Z4+AA4+AB4+AD4+AE4+AF4+AH4+AI4+AJ4+AL4+AM4+AN4+AP4+AQ4+AR4+AT4+AU4+AV4+AX4+AY4+AZ4</f>
        <v>0</v>
      </c>
      <c r="BC4" s="48">
        <f t="shared" ref="BC4:BC35" si="2">I4+M4+Q4+U4+Y4+AC4+AG4+AK4+AO4+AS4+AW4+BA4</f>
        <v>0</v>
      </c>
      <c r="BE4">
        <f ca="1">'Monthly Collection-2027'!CC4</f>
        <v>0</v>
      </c>
      <c r="BF4" t="str">
        <f t="shared" ref="BF4:BF35" ca="1" si="3">IF(N(F4)&gt;=$E4*1000,"",IF(AND($E4&gt;0,BE4&gt;=$E4*1000),"G",IF(F$2&lt;=TODAY(),"R","")))</f>
        <v/>
      </c>
      <c r="BG4">
        <f t="shared" ref="BG4:BG35" ca="1" si="4">BE4-IF(BF4="G",$E4*1000,0)+N(G4)</f>
        <v>0</v>
      </c>
      <c r="BH4" t="str">
        <f t="shared" ref="BH4:BH35" ca="1" si="5">IF(N(J4)&gt;=$E4*1000,"",IF(AND($E4&gt;0,BG4&gt;=$E4*1000),"G",IF(J$2&lt;=TODAY(),"R","")))</f>
        <v/>
      </c>
      <c r="BI4">
        <f t="shared" ref="BI4:BI35" ca="1" si="6">BG4-IF(BH4="G",$E4*1000,0)+N(K4)</f>
        <v>0</v>
      </c>
      <c r="BJ4" t="str">
        <f t="shared" ref="BJ4:BJ35" ca="1" si="7">IF(N(N4)&gt;=$E4*1000,"",IF(AND($E4&gt;0,BI4&gt;=$E4*1000),"G",IF(N$2&lt;=TODAY(),"R","")))</f>
        <v/>
      </c>
      <c r="BK4">
        <f t="shared" ref="BK4:BK35" ca="1" si="8">BI4-IF(BJ4="G",$E4*1000,0)+N(O4)</f>
        <v>0</v>
      </c>
      <c r="BL4" t="str">
        <f t="shared" ref="BL4:BL35" ca="1" si="9">IF(N(R4)&gt;=$E4*1000,"",IF(AND($E4&gt;0,BK4&gt;=$E4*1000),"G",IF(R$2&lt;=TODAY(),"R","")))</f>
        <v/>
      </c>
      <c r="BM4">
        <f t="shared" ref="BM4:BM35" ca="1" si="10">BK4-IF(BL4="G",$E4*1000,0)+N(S4)</f>
        <v>0</v>
      </c>
      <c r="BN4" t="str">
        <f t="shared" ref="BN4:BN35" ca="1" si="11">IF(N(V4)&gt;=$E4*1000,"",IF(AND($E4&gt;0,BM4&gt;=$E4*1000),"G",IF(V$2&lt;=TODAY(),"R","")))</f>
        <v/>
      </c>
      <c r="BO4">
        <f t="shared" ref="BO4:BO35" ca="1" si="12">BM4-IF(BN4="G",$E4*1000,0)+N(W4)</f>
        <v>0</v>
      </c>
      <c r="BP4" t="str">
        <f t="shared" ref="BP4:BP35" ca="1" si="13">IF(N(Z4)&gt;=$E4*1000,"",IF(AND($E4&gt;0,BO4&gt;=$E4*1000),"G",IF(Z$2&lt;=TODAY(),"R","")))</f>
        <v/>
      </c>
      <c r="BQ4">
        <f t="shared" ref="BQ4:BQ35" ca="1" si="14">BO4-IF(BP4="G",$E4*1000,0)+N(AA4)</f>
        <v>0</v>
      </c>
      <c r="BR4" t="str">
        <f t="shared" ref="BR4:BR35" ca="1" si="15">IF(N(AD4)&gt;=$E4*1000,"",IF(AND($E4&gt;0,BQ4&gt;=$E4*1000),"G",IF(AD$2&lt;=TODAY(),"R","")))</f>
        <v/>
      </c>
      <c r="BS4">
        <f t="shared" ref="BS4:BS35" ca="1" si="16">BQ4-IF(BR4="G",$E4*1000,0)+N(AE4)</f>
        <v>0</v>
      </c>
      <c r="BT4" t="str">
        <f t="shared" ref="BT4:BT35" ca="1" si="17">IF(N(AH4)&gt;=$E4*1000,"",IF(AND($E4&gt;0,BS4&gt;=$E4*1000),"G",IF(AH$2&lt;=TODAY(),"R","")))</f>
        <v/>
      </c>
      <c r="BU4">
        <f t="shared" ref="BU4:BU35" ca="1" si="18">BS4-IF(BT4="G",$E4*1000,0)+N(AI4)</f>
        <v>0</v>
      </c>
      <c r="BV4" t="str">
        <f t="shared" ref="BV4:BV35" ca="1" si="19">IF(N(AL4)&gt;=$E4*1000,"",IF(AND($E4&gt;0,BU4&gt;=$E4*1000),"G",IF(AL$2&lt;=TODAY(),"R","")))</f>
        <v/>
      </c>
      <c r="BW4">
        <f t="shared" ref="BW4:BW35" ca="1" si="20">BU4-IF(BV4="G",$E4*1000,0)+N(AM4)</f>
        <v>0</v>
      </c>
      <c r="BX4" t="str">
        <f t="shared" ref="BX4:BX35" ca="1" si="21">IF(N(AP4)&gt;=$E4*1000,"",IF(AND($E4&gt;0,BW4&gt;=$E4*1000),"G",IF(AP$2&lt;=TODAY(),"R","")))</f>
        <v/>
      </c>
      <c r="BY4">
        <f t="shared" ref="BY4:BY35" ca="1" si="22">BW4-IF(BX4="G",$E4*1000,0)+N(AQ4)</f>
        <v>0</v>
      </c>
      <c r="BZ4" t="str">
        <f t="shared" ref="BZ4:BZ35" ca="1" si="23">IF(N(AT4)&gt;=$E4*1000,"",IF(AND($E4&gt;0,BY4&gt;=$E4*1000),"G",IF(AT$2&lt;=TODAY(),"R","")))</f>
        <v/>
      </c>
      <c r="CA4">
        <f t="shared" ref="CA4:CA35" ca="1" si="24">BY4-IF(BZ4="G",$E4*1000,0)+N(AU4)</f>
        <v>0</v>
      </c>
      <c r="CB4" t="str">
        <f t="shared" ref="CB4:CB35" ca="1" si="25">IF(N(AX4)&gt;=$E4*1000,"",IF(AND($E4&gt;0,CA4&gt;=$E4*1000),"G",IF(AX$2&lt;=TODAY(),"R","")))</f>
        <v/>
      </c>
      <c r="CC4">
        <f t="shared" ref="CC4:CC35" ca="1" si="26">CA4-IF(CB4="G",$E4*1000,0)+N(AY4)</f>
        <v>0</v>
      </c>
    </row>
    <row r="5" spans="1:81" ht="14.25" customHeight="1" x14ac:dyDescent="0.3">
      <c r="B5" s="51">
        <f t="shared" si="0"/>
        <v>2</v>
      </c>
      <c r="C5" s="52" t="s">
        <v>72</v>
      </c>
      <c r="D5" s="16">
        <f>'Member Wise Deposit Summary'!D5</f>
        <v>1816724075</v>
      </c>
      <c r="E5" s="52">
        <v>2</v>
      </c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3"/>
      <c r="AY5" s="52"/>
      <c r="AZ5" s="52"/>
      <c r="BA5" s="52"/>
      <c r="BB5" s="52">
        <f t="shared" si="1"/>
        <v>0</v>
      </c>
      <c r="BC5" s="52">
        <f t="shared" si="2"/>
        <v>0</v>
      </c>
      <c r="BE5">
        <f ca="1">'Monthly Collection-2027'!CC5</f>
        <v>0</v>
      </c>
      <c r="BF5" t="str">
        <f t="shared" ca="1" si="3"/>
        <v/>
      </c>
      <c r="BG5">
        <f t="shared" ca="1" si="4"/>
        <v>0</v>
      </c>
      <c r="BH5" t="str">
        <f t="shared" ca="1" si="5"/>
        <v/>
      </c>
      <c r="BI5">
        <f t="shared" ca="1" si="6"/>
        <v>0</v>
      </c>
      <c r="BJ5" t="str">
        <f t="shared" ca="1" si="7"/>
        <v/>
      </c>
      <c r="BK5">
        <f t="shared" ca="1" si="8"/>
        <v>0</v>
      </c>
      <c r="BL5" t="str">
        <f t="shared" ca="1" si="9"/>
        <v/>
      </c>
      <c r="BM5">
        <f t="shared" ca="1" si="10"/>
        <v>0</v>
      </c>
      <c r="BN5" t="str">
        <f t="shared" ca="1" si="11"/>
        <v/>
      </c>
      <c r="BO5">
        <f t="shared" ca="1" si="12"/>
        <v>0</v>
      </c>
      <c r="BP5" t="str">
        <f t="shared" ca="1" si="13"/>
        <v/>
      </c>
      <c r="BQ5">
        <f t="shared" ca="1" si="14"/>
        <v>0</v>
      </c>
      <c r="BR5" t="str">
        <f t="shared" ca="1" si="15"/>
        <v/>
      </c>
      <c r="BS5">
        <f t="shared" ca="1" si="16"/>
        <v>0</v>
      </c>
      <c r="BT5" t="str">
        <f t="shared" ca="1" si="17"/>
        <v/>
      </c>
      <c r="BU5">
        <f t="shared" ca="1" si="18"/>
        <v>0</v>
      </c>
      <c r="BV5" t="str">
        <f t="shared" ca="1" si="19"/>
        <v/>
      </c>
      <c r="BW5">
        <f t="shared" ca="1" si="20"/>
        <v>0</v>
      </c>
      <c r="BX5" t="str">
        <f t="shared" ca="1" si="21"/>
        <v/>
      </c>
      <c r="BY5">
        <f t="shared" ca="1" si="22"/>
        <v>0</v>
      </c>
      <c r="BZ5" t="str">
        <f t="shared" ca="1" si="23"/>
        <v/>
      </c>
      <c r="CA5">
        <f t="shared" ca="1" si="24"/>
        <v>0</v>
      </c>
      <c r="CB5" t="str">
        <f t="shared" ca="1" si="25"/>
        <v/>
      </c>
      <c r="CC5">
        <f t="shared" ca="1" si="26"/>
        <v>0</v>
      </c>
    </row>
    <row r="6" spans="1:81" ht="14.25" customHeight="1" x14ac:dyDescent="0.3">
      <c r="B6" s="55">
        <f t="shared" si="0"/>
        <v>3</v>
      </c>
      <c r="C6" s="56" t="s">
        <v>73</v>
      </c>
      <c r="D6" s="12">
        <f>'Member Wise Deposit Summary'!D6</f>
        <v>1846506898</v>
      </c>
      <c r="E6" s="56">
        <v>2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7"/>
      <c r="AY6" s="56"/>
      <c r="AZ6" s="56"/>
      <c r="BA6" s="56"/>
      <c r="BB6" s="56">
        <f t="shared" si="1"/>
        <v>0</v>
      </c>
      <c r="BC6" s="56">
        <f t="shared" si="2"/>
        <v>0</v>
      </c>
      <c r="BE6">
        <f ca="1">'Monthly Collection-2027'!CC6</f>
        <v>0</v>
      </c>
      <c r="BF6" t="str">
        <f t="shared" ca="1" si="3"/>
        <v/>
      </c>
      <c r="BG6">
        <f t="shared" ca="1" si="4"/>
        <v>0</v>
      </c>
      <c r="BH6" t="str">
        <f t="shared" ca="1" si="5"/>
        <v/>
      </c>
      <c r="BI6">
        <f t="shared" ca="1" si="6"/>
        <v>0</v>
      </c>
      <c r="BJ6" t="str">
        <f t="shared" ca="1" si="7"/>
        <v/>
      </c>
      <c r="BK6">
        <f t="shared" ca="1" si="8"/>
        <v>0</v>
      </c>
      <c r="BL6" t="str">
        <f t="shared" ca="1" si="9"/>
        <v/>
      </c>
      <c r="BM6">
        <f t="shared" ca="1" si="10"/>
        <v>0</v>
      </c>
      <c r="BN6" t="str">
        <f t="shared" ca="1" si="11"/>
        <v/>
      </c>
      <c r="BO6">
        <f t="shared" ca="1" si="12"/>
        <v>0</v>
      </c>
      <c r="BP6" t="str">
        <f t="shared" ca="1" si="13"/>
        <v/>
      </c>
      <c r="BQ6">
        <f t="shared" ca="1" si="14"/>
        <v>0</v>
      </c>
      <c r="BR6" t="str">
        <f t="shared" ca="1" si="15"/>
        <v/>
      </c>
      <c r="BS6">
        <f t="shared" ca="1" si="16"/>
        <v>0</v>
      </c>
      <c r="BT6" t="str">
        <f t="shared" ca="1" si="17"/>
        <v/>
      </c>
      <c r="BU6">
        <f t="shared" ca="1" si="18"/>
        <v>0</v>
      </c>
      <c r="BV6" t="str">
        <f t="shared" ca="1" si="19"/>
        <v/>
      </c>
      <c r="BW6">
        <f t="shared" ca="1" si="20"/>
        <v>0</v>
      </c>
      <c r="BX6" t="str">
        <f t="shared" ca="1" si="21"/>
        <v/>
      </c>
      <c r="BY6">
        <f t="shared" ca="1" si="22"/>
        <v>0</v>
      </c>
      <c r="BZ6" t="str">
        <f t="shared" ca="1" si="23"/>
        <v/>
      </c>
      <c r="CA6">
        <f t="shared" ca="1" si="24"/>
        <v>0</v>
      </c>
      <c r="CB6" t="str">
        <f t="shared" ca="1" si="25"/>
        <v/>
      </c>
      <c r="CC6">
        <f t="shared" ca="1" si="26"/>
        <v>0</v>
      </c>
    </row>
    <row r="7" spans="1:81" ht="14.25" customHeight="1" x14ac:dyDescent="0.3">
      <c r="B7" s="51">
        <f t="shared" si="0"/>
        <v>4</v>
      </c>
      <c r="C7" s="52" t="s">
        <v>74</v>
      </c>
      <c r="D7" s="18">
        <f>'Member Wise Deposit Summary'!D7</f>
        <v>966551311461</v>
      </c>
      <c r="E7" s="52">
        <v>5</v>
      </c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3"/>
      <c r="AY7" s="52"/>
      <c r="AZ7" s="52"/>
      <c r="BA7" s="52"/>
      <c r="BB7" s="52">
        <f t="shared" si="1"/>
        <v>0</v>
      </c>
      <c r="BC7" s="52">
        <f t="shared" si="2"/>
        <v>0</v>
      </c>
      <c r="BE7">
        <f ca="1">'Monthly Collection-2027'!CC7</f>
        <v>0</v>
      </c>
      <c r="BF7" t="str">
        <f t="shared" ca="1" si="3"/>
        <v/>
      </c>
      <c r="BG7">
        <f t="shared" ca="1" si="4"/>
        <v>0</v>
      </c>
      <c r="BH7" t="str">
        <f t="shared" ca="1" si="5"/>
        <v/>
      </c>
      <c r="BI7">
        <f t="shared" ca="1" si="6"/>
        <v>0</v>
      </c>
      <c r="BJ7" t="str">
        <f t="shared" ca="1" si="7"/>
        <v/>
      </c>
      <c r="BK7">
        <f t="shared" ca="1" si="8"/>
        <v>0</v>
      </c>
      <c r="BL7" t="str">
        <f t="shared" ca="1" si="9"/>
        <v/>
      </c>
      <c r="BM7">
        <f t="shared" ca="1" si="10"/>
        <v>0</v>
      </c>
      <c r="BN7" t="str">
        <f t="shared" ca="1" si="11"/>
        <v/>
      </c>
      <c r="BO7">
        <f t="shared" ca="1" si="12"/>
        <v>0</v>
      </c>
      <c r="BP7" t="str">
        <f t="shared" ca="1" si="13"/>
        <v/>
      </c>
      <c r="BQ7">
        <f t="shared" ca="1" si="14"/>
        <v>0</v>
      </c>
      <c r="BR7" t="str">
        <f t="shared" ca="1" si="15"/>
        <v/>
      </c>
      <c r="BS7">
        <f t="shared" ca="1" si="16"/>
        <v>0</v>
      </c>
      <c r="BT7" t="str">
        <f t="shared" ca="1" si="17"/>
        <v/>
      </c>
      <c r="BU7">
        <f t="shared" ca="1" si="18"/>
        <v>0</v>
      </c>
      <c r="BV7" t="str">
        <f t="shared" ca="1" si="19"/>
        <v/>
      </c>
      <c r="BW7">
        <f t="shared" ca="1" si="20"/>
        <v>0</v>
      </c>
      <c r="BX7" t="str">
        <f t="shared" ca="1" si="21"/>
        <v/>
      </c>
      <c r="BY7">
        <f t="shared" ca="1" si="22"/>
        <v>0</v>
      </c>
      <c r="BZ7" t="str">
        <f t="shared" ca="1" si="23"/>
        <v/>
      </c>
      <c r="CA7">
        <f t="shared" ca="1" si="24"/>
        <v>0</v>
      </c>
      <c r="CB7" t="str">
        <f t="shared" ca="1" si="25"/>
        <v/>
      </c>
      <c r="CC7">
        <f t="shared" ca="1" si="26"/>
        <v>0</v>
      </c>
    </row>
    <row r="8" spans="1:81" ht="14.25" customHeight="1" x14ac:dyDescent="0.3">
      <c r="B8" s="55">
        <f t="shared" si="0"/>
        <v>5</v>
      </c>
      <c r="C8" s="56" t="s">
        <v>75</v>
      </c>
      <c r="D8" s="12">
        <f>'Member Wise Deposit Summary'!D8</f>
        <v>1838848678</v>
      </c>
      <c r="E8" s="56">
        <v>2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7"/>
      <c r="AY8" s="56"/>
      <c r="AZ8" s="56"/>
      <c r="BA8" s="56"/>
      <c r="BB8" s="56">
        <f t="shared" si="1"/>
        <v>0</v>
      </c>
      <c r="BC8" s="56">
        <f t="shared" si="2"/>
        <v>0</v>
      </c>
      <c r="BE8">
        <f ca="1">'Monthly Collection-2027'!CC8</f>
        <v>0</v>
      </c>
      <c r="BF8" t="str">
        <f t="shared" ca="1" si="3"/>
        <v/>
      </c>
      <c r="BG8">
        <f t="shared" ca="1" si="4"/>
        <v>0</v>
      </c>
      <c r="BH8" t="str">
        <f t="shared" ca="1" si="5"/>
        <v/>
      </c>
      <c r="BI8">
        <f t="shared" ca="1" si="6"/>
        <v>0</v>
      </c>
      <c r="BJ8" t="str">
        <f t="shared" ca="1" si="7"/>
        <v/>
      </c>
      <c r="BK8">
        <f t="shared" ca="1" si="8"/>
        <v>0</v>
      </c>
      <c r="BL8" t="str">
        <f t="shared" ca="1" si="9"/>
        <v/>
      </c>
      <c r="BM8">
        <f t="shared" ca="1" si="10"/>
        <v>0</v>
      </c>
      <c r="BN8" t="str">
        <f t="shared" ca="1" si="11"/>
        <v/>
      </c>
      <c r="BO8">
        <f t="shared" ca="1" si="12"/>
        <v>0</v>
      </c>
      <c r="BP8" t="str">
        <f t="shared" ca="1" si="13"/>
        <v/>
      </c>
      <c r="BQ8">
        <f t="shared" ca="1" si="14"/>
        <v>0</v>
      </c>
      <c r="BR8" t="str">
        <f t="shared" ca="1" si="15"/>
        <v/>
      </c>
      <c r="BS8">
        <f t="shared" ca="1" si="16"/>
        <v>0</v>
      </c>
      <c r="BT8" t="str">
        <f t="shared" ca="1" si="17"/>
        <v/>
      </c>
      <c r="BU8">
        <f t="shared" ca="1" si="18"/>
        <v>0</v>
      </c>
      <c r="BV8" t="str">
        <f t="shared" ca="1" si="19"/>
        <v/>
      </c>
      <c r="BW8">
        <f t="shared" ca="1" si="20"/>
        <v>0</v>
      </c>
      <c r="BX8" t="str">
        <f t="shared" ca="1" si="21"/>
        <v/>
      </c>
      <c r="BY8">
        <f t="shared" ca="1" si="22"/>
        <v>0</v>
      </c>
      <c r="BZ8" t="str">
        <f t="shared" ca="1" si="23"/>
        <v/>
      </c>
      <c r="CA8">
        <f t="shared" ca="1" si="24"/>
        <v>0</v>
      </c>
      <c r="CB8" t="str">
        <f t="shared" ca="1" si="25"/>
        <v/>
      </c>
      <c r="CC8">
        <f t="shared" ca="1" si="26"/>
        <v>0</v>
      </c>
    </row>
    <row r="9" spans="1:81" ht="14.25" customHeight="1" x14ac:dyDescent="0.3">
      <c r="B9" s="51">
        <f t="shared" si="0"/>
        <v>6</v>
      </c>
      <c r="C9" s="52" t="s">
        <v>76</v>
      </c>
      <c r="D9" s="18">
        <f>'Member Wise Deposit Summary'!D9</f>
        <v>966538760537</v>
      </c>
      <c r="E9" s="52">
        <v>2</v>
      </c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3"/>
      <c r="AY9" s="52"/>
      <c r="AZ9" s="52"/>
      <c r="BA9" s="52"/>
      <c r="BB9" s="52">
        <f t="shared" si="1"/>
        <v>0</v>
      </c>
      <c r="BC9" s="52">
        <f t="shared" si="2"/>
        <v>0</v>
      </c>
      <c r="BE9">
        <f ca="1">'Monthly Collection-2027'!CC9</f>
        <v>0</v>
      </c>
      <c r="BF9" t="str">
        <f t="shared" ca="1" si="3"/>
        <v/>
      </c>
      <c r="BG9">
        <f t="shared" ca="1" si="4"/>
        <v>0</v>
      </c>
      <c r="BH9" t="str">
        <f t="shared" ca="1" si="5"/>
        <v/>
      </c>
      <c r="BI9">
        <f t="shared" ca="1" si="6"/>
        <v>0</v>
      </c>
      <c r="BJ9" t="str">
        <f t="shared" ca="1" si="7"/>
        <v/>
      </c>
      <c r="BK9">
        <f t="shared" ca="1" si="8"/>
        <v>0</v>
      </c>
      <c r="BL9" t="str">
        <f t="shared" ca="1" si="9"/>
        <v/>
      </c>
      <c r="BM9">
        <f t="shared" ca="1" si="10"/>
        <v>0</v>
      </c>
      <c r="BN9" t="str">
        <f t="shared" ca="1" si="11"/>
        <v/>
      </c>
      <c r="BO9">
        <f t="shared" ca="1" si="12"/>
        <v>0</v>
      </c>
      <c r="BP9" t="str">
        <f t="shared" ca="1" si="13"/>
        <v/>
      </c>
      <c r="BQ9">
        <f t="shared" ca="1" si="14"/>
        <v>0</v>
      </c>
      <c r="BR9" t="str">
        <f t="shared" ca="1" si="15"/>
        <v/>
      </c>
      <c r="BS9">
        <f t="shared" ca="1" si="16"/>
        <v>0</v>
      </c>
      <c r="BT9" t="str">
        <f t="shared" ca="1" si="17"/>
        <v/>
      </c>
      <c r="BU9">
        <f t="shared" ca="1" si="18"/>
        <v>0</v>
      </c>
      <c r="BV9" t="str">
        <f t="shared" ca="1" si="19"/>
        <v/>
      </c>
      <c r="BW9">
        <f t="shared" ca="1" si="20"/>
        <v>0</v>
      </c>
      <c r="BX9" t="str">
        <f t="shared" ca="1" si="21"/>
        <v/>
      </c>
      <c r="BY9">
        <f t="shared" ca="1" si="22"/>
        <v>0</v>
      </c>
      <c r="BZ9" t="str">
        <f t="shared" ca="1" si="23"/>
        <v/>
      </c>
      <c r="CA9">
        <f t="shared" ca="1" si="24"/>
        <v>0</v>
      </c>
      <c r="CB9" t="str">
        <f t="shared" ca="1" si="25"/>
        <v/>
      </c>
      <c r="CC9">
        <f t="shared" ca="1" si="26"/>
        <v>0</v>
      </c>
    </row>
    <row r="10" spans="1:81" ht="14.25" customHeight="1" x14ac:dyDescent="0.3">
      <c r="B10" s="55">
        <f t="shared" si="0"/>
        <v>7</v>
      </c>
      <c r="C10" s="56" t="s">
        <v>77</v>
      </c>
      <c r="D10" s="12">
        <f>'Member Wise Deposit Summary'!D10</f>
        <v>1885946523</v>
      </c>
      <c r="E10" s="56">
        <v>2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7"/>
      <c r="AY10" s="56"/>
      <c r="AZ10" s="56"/>
      <c r="BA10" s="56"/>
      <c r="BB10" s="56">
        <f t="shared" si="1"/>
        <v>0</v>
      </c>
      <c r="BC10" s="56">
        <f t="shared" si="2"/>
        <v>0</v>
      </c>
      <c r="BE10">
        <f ca="1">'Monthly Collection-2027'!CC10</f>
        <v>0</v>
      </c>
      <c r="BF10" t="str">
        <f t="shared" ca="1" si="3"/>
        <v/>
      </c>
      <c r="BG10">
        <f t="shared" ca="1" si="4"/>
        <v>0</v>
      </c>
      <c r="BH10" t="str">
        <f t="shared" ca="1" si="5"/>
        <v/>
      </c>
      <c r="BI10">
        <f t="shared" ca="1" si="6"/>
        <v>0</v>
      </c>
      <c r="BJ10" t="str">
        <f t="shared" ca="1" si="7"/>
        <v/>
      </c>
      <c r="BK10">
        <f t="shared" ca="1" si="8"/>
        <v>0</v>
      </c>
      <c r="BL10" t="str">
        <f t="shared" ca="1" si="9"/>
        <v/>
      </c>
      <c r="BM10">
        <f t="shared" ca="1" si="10"/>
        <v>0</v>
      </c>
      <c r="BN10" t="str">
        <f t="shared" ca="1" si="11"/>
        <v/>
      </c>
      <c r="BO10">
        <f t="shared" ca="1" si="12"/>
        <v>0</v>
      </c>
      <c r="BP10" t="str">
        <f t="shared" ca="1" si="13"/>
        <v/>
      </c>
      <c r="BQ10">
        <f t="shared" ca="1" si="14"/>
        <v>0</v>
      </c>
      <c r="BR10" t="str">
        <f t="shared" ca="1" si="15"/>
        <v/>
      </c>
      <c r="BS10">
        <f t="shared" ca="1" si="16"/>
        <v>0</v>
      </c>
      <c r="BT10" t="str">
        <f t="shared" ca="1" si="17"/>
        <v/>
      </c>
      <c r="BU10">
        <f t="shared" ca="1" si="18"/>
        <v>0</v>
      </c>
      <c r="BV10" t="str">
        <f t="shared" ca="1" si="19"/>
        <v/>
      </c>
      <c r="BW10">
        <f t="shared" ca="1" si="20"/>
        <v>0</v>
      </c>
      <c r="BX10" t="str">
        <f t="shared" ca="1" si="21"/>
        <v/>
      </c>
      <c r="BY10">
        <f t="shared" ca="1" si="22"/>
        <v>0</v>
      </c>
      <c r="BZ10" t="str">
        <f t="shared" ca="1" si="23"/>
        <v/>
      </c>
      <c r="CA10">
        <f t="shared" ca="1" si="24"/>
        <v>0</v>
      </c>
      <c r="CB10" t="str">
        <f t="shared" ca="1" si="25"/>
        <v/>
      </c>
      <c r="CC10">
        <f t="shared" ca="1" si="26"/>
        <v>0</v>
      </c>
    </row>
    <row r="11" spans="1:81" ht="14.25" customHeight="1" x14ac:dyDescent="0.3">
      <c r="B11" s="51">
        <f t="shared" si="0"/>
        <v>8</v>
      </c>
      <c r="C11" s="52" t="s">
        <v>78</v>
      </c>
      <c r="D11" s="16">
        <f>'Member Wise Deposit Summary'!D11</f>
        <v>1608632799</v>
      </c>
      <c r="E11" s="52">
        <v>2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3"/>
      <c r="AY11" s="52"/>
      <c r="AZ11" s="52"/>
      <c r="BA11" s="52"/>
      <c r="BB11" s="52">
        <f t="shared" si="1"/>
        <v>0</v>
      </c>
      <c r="BC11" s="52">
        <f t="shared" si="2"/>
        <v>0</v>
      </c>
      <c r="BE11">
        <f ca="1">'Monthly Collection-2027'!CC11</f>
        <v>0</v>
      </c>
      <c r="BF11" t="str">
        <f t="shared" ca="1" si="3"/>
        <v/>
      </c>
      <c r="BG11">
        <f t="shared" ca="1" si="4"/>
        <v>0</v>
      </c>
      <c r="BH11" t="str">
        <f t="shared" ca="1" si="5"/>
        <v/>
      </c>
      <c r="BI11">
        <f t="shared" ca="1" si="6"/>
        <v>0</v>
      </c>
      <c r="BJ11" t="str">
        <f t="shared" ca="1" si="7"/>
        <v/>
      </c>
      <c r="BK11">
        <f t="shared" ca="1" si="8"/>
        <v>0</v>
      </c>
      <c r="BL11" t="str">
        <f t="shared" ca="1" si="9"/>
        <v/>
      </c>
      <c r="BM11">
        <f t="shared" ca="1" si="10"/>
        <v>0</v>
      </c>
      <c r="BN11" t="str">
        <f t="shared" ca="1" si="11"/>
        <v/>
      </c>
      <c r="BO11">
        <f t="shared" ca="1" si="12"/>
        <v>0</v>
      </c>
      <c r="BP11" t="str">
        <f t="shared" ca="1" si="13"/>
        <v/>
      </c>
      <c r="BQ11">
        <f t="shared" ca="1" si="14"/>
        <v>0</v>
      </c>
      <c r="BR11" t="str">
        <f t="shared" ca="1" si="15"/>
        <v/>
      </c>
      <c r="BS11">
        <f t="shared" ca="1" si="16"/>
        <v>0</v>
      </c>
      <c r="BT11" t="str">
        <f t="shared" ca="1" si="17"/>
        <v/>
      </c>
      <c r="BU11">
        <f t="shared" ca="1" si="18"/>
        <v>0</v>
      </c>
      <c r="BV11" t="str">
        <f t="shared" ca="1" si="19"/>
        <v/>
      </c>
      <c r="BW11">
        <f t="shared" ca="1" si="20"/>
        <v>0</v>
      </c>
      <c r="BX11" t="str">
        <f t="shared" ca="1" si="21"/>
        <v/>
      </c>
      <c r="BY11">
        <f t="shared" ca="1" si="22"/>
        <v>0</v>
      </c>
      <c r="BZ11" t="str">
        <f t="shared" ca="1" si="23"/>
        <v/>
      </c>
      <c r="CA11">
        <f t="shared" ca="1" si="24"/>
        <v>0</v>
      </c>
      <c r="CB11" t="str">
        <f t="shared" ca="1" si="25"/>
        <v/>
      </c>
      <c r="CC11">
        <f t="shared" ca="1" si="26"/>
        <v>0</v>
      </c>
    </row>
    <row r="12" spans="1:81" ht="14.25" customHeight="1" x14ac:dyDescent="0.3">
      <c r="B12" s="55">
        <f t="shared" si="0"/>
        <v>9</v>
      </c>
      <c r="C12" s="56" t="s">
        <v>79</v>
      </c>
      <c r="D12" s="12">
        <f>'Member Wise Deposit Summary'!D12</f>
        <v>1811938007</v>
      </c>
      <c r="E12" s="56">
        <v>2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7"/>
      <c r="AY12" s="56"/>
      <c r="AZ12" s="56"/>
      <c r="BA12" s="56"/>
      <c r="BB12" s="56">
        <f t="shared" si="1"/>
        <v>0</v>
      </c>
      <c r="BC12" s="56">
        <f t="shared" si="2"/>
        <v>0</v>
      </c>
      <c r="BE12">
        <f ca="1">'Monthly Collection-2027'!CC12</f>
        <v>0</v>
      </c>
      <c r="BF12" t="str">
        <f t="shared" ca="1" si="3"/>
        <v/>
      </c>
      <c r="BG12">
        <f t="shared" ca="1" si="4"/>
        <v>0</v>
      </c>
      <c r="BH12" t="str">
        <f t="shared" ca="1" si="5"/>
        <v/>
      </c>
      <c r="BI12">
        <f t="shared" ca="1" si="6"/>
        <v>0</v>
      </c>
      <c r="BJ12" t="str">
        <f t="shared" ca="1" si="7"/>
        <v/>
      </c>
      <c r="BK12">
        <f t="shared" ca="1" si="8"/>
        <v>0</v>
      </c>
      <c r="BL12" t="str">
        <f t="shared" ca="1" si="9"/>
        <v/>
      </c>
      <c r="BM12">
        <f t="shared" ca="1" si="10"/>
        <v>0</v>
      </c>
      <c r="BN12" t="str">
        <f t="shared" ca="1" si="11"/>
        <v/>
      </c>
      <c r="BO12">
        <f t="shared" ca="1" si="12"/>
        <v>0</v>
      </c>
      <c r="BP12" t="str">
        <f t="shared" ca="1" si="13"/>
        <v/>
      </c>
      <c r="BQ12">
        <f t="shared" ca="1" si="14"/>
        <v>0</v>
      </c>
      <c r="BR12" t="str">
        <f t="shared" ca="1" si="15"/>
        <v/>
      </c>
      <c r="BS12">
        <f t="shared" ca="1" si="16"/>
        <v>0</v>
      </c>
      <c r="BT12" t="str">
        <f t="shared" ca="1" si="17"/>
        <v/>
      </c>
      <c r="BU12">
        <f t="shared" ca="1" si="18"/>
        <v>0</v>
      </c>
      <c r="BV12" t="str">
        <f t="shared" ca="1" si="19"/>
        <v/>
      </c>
      <c r="BW12">
        <f t="shared" ca="1" si="20"/>
        <v>0</v>
      </c>
      <c r="BX12" t="str">
        <f t="shared" ca="1" si="21"/>
        <v/>
      </c>
      <c r="BY12">
        <f t="shared" ca="1" si="22"/>
        <v>0</v>
      </c>
      <c r="BZ12" t="str">
        <f t="shared" ca="1" si="23"/>
        <v/>
      </c>
      <c r="CA12">
        <f t="shared" ca="1" si="24"/>
        <v>0</v>
      </c>
      <c r="CB12" t="str">
        <f t="shared" ca="1" si="25"/>
        <v/>
      </c>
      <c r="CC12">
        <f t="shared" ca="1" si="26"/>
        <v>0</v>
      </c>
    </row>
    <row r="13" spans="1:81" ht="14.25" customHeight="1" x14ac:dyDescent="0.3">
      <c r="B13" s="51">
        <f t="shared" si="0"/>
        <v>10</v>
      </c>
      <c r="C13" s="52" t="s">
        <v>80</v>
      </c>
      <c r="D13" s="16">
        <f>'Member Wise Deposit Summary'!D13</f>
        <v>1812934934</v>
      </c>
      <c r="E13" s="52">
        <v>1</v>
      </c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3"/>
      <c r="AY13" s="52"/>
      <c r="AZ13" s="52"/>
      <c r="BA13" s="52"/>
      <c r="BB13" s="52">
        <f t="shared" si="1"/>
        <v>0</v>
      </c>
      <c r="BC13" s="52">
        <f t="shared" si="2"/>
        <v>0</v>
      </c>
      <c r="BE13">
        <f ca="1">'Monthly Collection-2027'!CC13</f>
        <v>0</v>
      </c>
      <c r="BF13" t="str">
        <f t="shared" ca="1" si="3"/>
        <v/>
      </c>
      <c r="BG13">
        <f t="shared" ca="1" si="4"/>
        <v>0</v>
      </c>
      <c r="BH13" t="str">
        <f t="shared" ca="1" si="5"/>
        <v/>
      </c>
      <c r="BI13">
        <f t="shared" ca="1" si="6"/>
        <v>0</v>
      </c>
      <c r="BJ13" t="str">
        <f t="shared" ca="1" si="7"/>
        <v/>
      </c>
      <c r="BK13">
        <f t="shared" ca="1" si="8"/>
        <v>0</v>
      </c>
      <c r="BL13" t="str">
        <f t="shared" ca="1" si="9"/>
        <v/>
      </c>
      <c r="BM13">
        <f t="shared" ca="1" si="10"/>
        <v>0</v>
      </c>
      <c r="BN13" t="str">
        <f t="shared" ca="1" si="11"/>
        <v/>
      </c>
      <c r="BO13">
        <f t="shared" ca="1" si="12"/>
        <v>0</v>
      </c>
      <c r="BP13" t="str">
        <f t="shared" ca="1" si="13"/>
        <v/>
      </c>
      <c r="BQ13">
        <f t="shared" ca="1" si="14"/>
        <v>0</v>
      </c>
      <c r="BR13" t="str">
        <f t="shared" ca="1" si="15"/>
        <v/>
      </c>
      <c r="BS13">
        <f t="shared" ca="1" si="16"/>
        <v>0</v>
      </c>
      <c r="BT13" t="str">
        <f t="shared" ca="1" si="17"/>
        <v/>
      </c>
      <c r="BU13">
        <f t="shared" ca="1" si="18"/>
        <v>0</v>
      </c>
      <c r="BV13" t="str">
        <f t="shared" ca="1" si="19"/>
        <v/>
      </c>
      <c r="BW13">
        <f t="shared" ca="1" si="20"/>
        <v>0</v>
      </c>
      <c r="BX13" t="str">
        <f t="shared" ca="1" si="21"/>
        <v/>
      </c>
      <c r="BY13">
        <f t="shared" ca="1" si="22"/>
        <v>0</v>
      </c>
      <c r="BZ13" t="str">
        <f t="shared" ca="1" si="23"/>
        <v/>
      </c>
      <c r="CA13">
        <f t="shared" ca="1" si="24"/>
        <v>0</v>
      </c>
      <c r="CB13" t="str">
        <f t="shared" ca="1" si="25"/>
        <v/>
      </c>
      <c r="CC13">
        <f t="shared" ca="1" si="26"/>
        <v>0</v>
      </c>
    </row>
    <row r="14" spans="1:81" ht="14.25" customHeight="1" x14ac:dyDescent="0.3">
      <c r="B14" s="55">
        <f t="shared" si="0"/>
        <v>11</v>
      </c>
      <c r="C14" s="56" t="s">
        <v>81</v>
      </c>
      <c r="D14" s="12">
        <f>'Member Wise Deposit Summary'!D14</f>
        <v>1858217297</v>
      </c>
      <c r="E14" s="56">
        <v>3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7"/>
      <c r="AY14" s="56"/>
      <c r="AZ14" s="56"/>
      <c r="BA14" s="56"/>
      <c r="BB14" s="56">
        <f t="shared" si="1"/>
        <v>0</v>
      </c>
      <c r="BC14" s="56">
        <f t="shared" si="2"/>
        <v>0</v>
      </c>
      <c r="BE14">
        <f ca="1">'Monthly Collection-2027'!CC14</f>
        <v>0</v>
      </c>
      <c r="BF14" t="str">
        <f t="shared" ca="1" si="3"/>
        <v/>
      </c>
      <c r="BG14">
        <f t="shared" ca="1" si="4"/>
        <v>0</v>
      </c>
      <c r="BH14" t="str">
        <f t="shared" ca="1" si="5"/>
        <v/>
      </c>
      <c r="BI14">
        <f t="shared" ca="1" si="6"/>
        <v>0</v>
      </c>
      <c r="BJ14" t="str">
        <f t="shared" ca="1" si="7"/>
        <v/>
      </c>
      <c r="BK14">
        <f t="shared" ca="1" si="8"/>
        <v>0</v>
      </c>
      <c r="BL14" t="str">
        <f t="shared" ca="1" si="9"/>
        <v/>
      </c>
      <c r="BM14">
        <f t="shared" ca="1" si="10"/>
        <v>0</v>
      </c>
      <c r="BN14" t="str">
        <f t="shared" ca="1" si="11"/>
        <v/>
      </c>
      <c r="BO14">
        <f t="shared" ca="1" si="12"/>
        <v>0</v>
      </c>
      <c r="BP14" t="str">
        <f t="shared" ca="1" si="13"/>
        <v/>
      </c>
      <c r="BQ14">
        <f t="shared" ca="1" si="14"/>
        <v>0</v>
      </c>
      <c r="BR14" t="str">
        <f t="shared" ca="1" si="15"/>
        <v/>
      </c>
      <c r="BS14">
        <f t="shared" ca="1" si="16"/>
        <v>0</v>
      </c>
      <c r="BT14" t="str">
        <f t="shared" ca="1" si="17"/>
        <v/>
      </c>
      <c r="BU14">
        <f t="shared" ca="1" si="18"/>
        <v>0</v>
      </c>
      <c r="BV14" t="str">
        <f t="shared" ca="1" si="19"/>
        <v/>
      </c>
      <c r="BW14">
        <f t="shared" ca="1" si="20"/>
        <v>0</v>
      </c>
      <c r="BX14" t="str">
        <f t="shared" ca="1" si="21"/>
        <v/>
      </c>
      <c r="BY14">
        <f t="shared" ca="1" si="22"/>
        <v>0</v>
      </c>
      <c r="BZ14" t="str">
        <f t="shared" ca="1" si="23"/>
        <v/>
      </c>
      <c r="CA14">
        <f t="shared" ca="1" si="24"/>
        <v>0</v>
      </c>
      <c r="CB14" t="str">
        <f t="shared" ca="1" si="25"/>
        <v/>
      </c>
      <c r="CC14">
        <f t="shared" ca="1" si="26"/>
        <v>0</v>
      </c>
    </row>
    <row r="15" spans="1:81" ht="14.25" customHeight="1" x14ac:dyDescent="0.3">
      <c r="B15" s="51">
        <f t="shared" si="0"/>
        <v>12</v>
      </c>
      <c r="C15" s="52" t="s">
        <v>82</v>
      </c>
      <c r="D15" s="16" t="str">
        <f>'Member Wise Deposit Summary'!D15</f>
        <v>01813143128</v>
      </c>
      <c r="E15" s="52">
        <v>1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3"/>
      <c r="AY15" s="52"/>
      <c r="AZ15" s="52"/>
      <c r="BA15" s="52"/>
      <c r="BB15" s="52">
        <f t="shared" si="1"/>
        <v>0</v>
      </c>
      <c r="BC15" s="52">
        <f t="shared" si="2"/>
        <v>0</v>
      </c>
      <c r="BE15">
        <f ca="1">'Monthly Collection-2027'!CC15</f>
        <v>0</v>
      </c>
      <c r="BF15" t="str">
        <f t="shared" ca="1" si="3"/>
        <v/>
      </c>
      <c r="BG15">
        <f t="shared" ca="1" si="4"/>
        <v>0</v>
      </c>
      <c r="BH15" t="str">
        <f t="shared" ca="1" si="5"/>
        <v/>
      </c>
      <c r="BI15">
        <f t="shared" ca="1" si="6"/>
        <v>0</v>
      </c>
      <c r="BJ15" t="str">
        <f t="shared" ca="1" si="7"/>
        <v/>
      </c>
      <c r="BK15">
        <f t="shared" ca="1" si="8"/>
        <v>0</v>
      </c>
      <c r="BL15" t="str">
        <f t="shared" ca="1" si="9"/>
        <v/>
      </c>
      <c r="BM15">
        <f t="shared" ca="1" si="10"/>
        <v>0</v>
      </c>
      <c r="BN15" t="str">
        <f t="shared" ca="1" si="11"/>
        <v/>
      </c>
      <c r="BO15">
        <f t="shared" ca="1" si="12"/>
        <v>0</v>
      </c>
      <c r="BP15" t="str">
        <f t="shared" ca="1" si="13"/>
        <v/>
      </c>
      <c r="BQ15">
        <f t="shared" ca="1" si="14"/>
        <v>0</v>
      </c>
      <c r="BR15" t="str">
        <f t="shared" ca="1" si="15"/>
        <v/>
      </c>
      <c r="BS15">
        <f t="shared" ca="1" si="16"/>
        <v>0</v>
      </c>
      <c r="BT15" t="str">
        <f t="shared" ca="1" si="17"/>
        <v/>
      </c>
      <c r="BU15">
        <f t="shared" ca="1" si="18"/>
        <v>0</v>
      </c>
      <c r="BV15" t="str">
        <f t="shared" ca="1" si="19"/>
        <v/>
      </c>
      <c r="BW15">
        <f t="shared" ca="1" si="20"/>
        <v>0</v>
      </c>
      <c r="BX15" t="str">
        <f t="shared" ca="1" si="21"/>
        <v/>
      </c>
      <c r="BY15">
        <f t="shared" ca="1" si="22"/>
        <v>0</v>
      </c>
      <c r="BZ15" t="str">
        <f t="shared" ca="1" si="23"/>
        <v/>
      </c>
      <c r="CA15">
        <f t="shared" ca="1" si="24"/>
        <v>0</v>
      </c>
      <c r="CB15" t="str">
        <f t="shared" ca="1" si="25"/>
        <v/>
      </c>
      <c r="CC15">
        <f t="shared" ca="1" si="26"/>
        <v>0</v>
      </c>
    </row>
    <row r="16" spans="1:81" ht="14.25" customHeight="1" x14ac:dyDescent="0.3">
      <c r="B16" s="55">
        <f t="shared" si="0"/>
        <v>13</v>
      </c>
      <c r="C16" s="56" t="s">
        <v>84</v>
      </c>
      <c r="D16" s="12">
        <f>'Member Wise Deposit Summary'!D16</f>
        <v>1814941801</v>
      </c>
      <c r="E16" s="56">
        <v>2</v>
      </c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7"/>
      <c r="AY16" s="56"/>
      <c r="AZ16" s="56"/>
      <c r="BA16" s="56"/>
      <c r="BB16" s="56">
        <f t="shared" si="1"/>
        <v>0</v>
      </c>
      <c r="BC16" s="56">
        <f t="shared" si="2"/>
        <v>0</v>
      </c>
      <c r="BE16">
        <f ca="1">'Monthly Collection-2027'!CC16</f>
        <v>0</v>
      </c>
      <c r="BF16" t="str">
        <f t="shared" ca="1" si="3"/>
        <v/>
      </c>
      <c r="BG16">
        <f t="shared" ca="1" si="4"/>
        <v>0</v>
      </c>
      <c r="BH16" t="str">
        <f t="shared" ca="1" si="5"/>
        <v/>
      </c>
      <c r="BI16">
        <f t="shared" ca="1" si="6"/>
        <v>0</v>
      </c>
      <c r="BJ16" t="str">
        <f t="shared" ca="1" si="7"/>
        <v/>
      </c>
      <c r="BK16">
        <f t="shared" ca="1" si="8"/>
        <v>0</v>
      </c>
      <c r="BL16" t="str">
        <f t="shared" ca="1" si="9"/>
        <v/>
      </c>
      <c r="BM16">
        <f t="shared" ca="1" si="10"/>
        <v>0</v>
      </c>
      <c r="BN16" t="str">
        <f t="shared" ca="1" si="11"/>
        <v/>
      </c>
      <c r="BO16">
        <f t="shared" ca="1" si="12"/>
        <v>0</v>
      </c>
      <c r="BP16" t="str">
        <f t="shared" ca="1" si="13"/>
        <v/>
      </c>
      <c r="BQ16">
        <f t="shared" ca="1" si="14"/>
        <v>0</v>
      </c>
      <c r="BR16" t="str">
        <f t="shared" ca="1" si="15"/>
        <v/>
      </c>
      <c r="BS16">
        <f t="shared" ca="1" si="16"/>
        <v>0</v>
      </c>
      <c r="BT16" t="str">
        <f t="shared" ca="1" si="17"/>
        <v/>
      </c>
      <c r="BU16">
        <f t="shared" ca="1" si="18"/>
        <v>0</v>
      </c>
      <c r="BV16" t="str">
        <f t="shared" ca="1" si="19"/>
        <v/>
      </c>
      <c r="BW16">
        <f t="shared" ca="1" si="20"/>
        <v>0</v>
      </c>
      <c r="BX16" t="str">
        <f t="shared" ca="1" si="21"/>
        <v/>
      </c>
      <c r="BY16">
        <f t="shared" ca="1" si="22"/>
        <v>0</v>
      </c>
      <c r="BZ16" t="str">
        <f t="shared" ca="1" si="23"/>
        <v/>
      </c>
      <c r="CA16">
        <f t="shared" ca="1" si="24"/>
        <v>0</v>
      </c>
      <c r="CB16" t="str">
        <f t="shared" ca="1" si="25"/>
        <v/>
      </c>
      <c r="CC16">
        <f t="shared" ca="1" si="26"/>
        <v>0</v>
      </c>
    </row>
    <row r="17" spans="2:81" ht="14.25" customHeight="1" x14ac:dyDescent="0.3">
      <c r="B17" s="51">
        <f t="shared" si="0"/>
        <v>14</v>
      </c>
      <c r="C17" s="52" t="s">
        <v>85</v>
      </c>
      <c r="D17" s="16">
        <f>'Member Wise Deposit Summary'!D17</f>
        <v>1819700976</v>
      </c>
      <c r="E17" s="52">
        <v>3</v>
      </c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3"/>
      <c r="AY17" s="52"/>
      <c r="AZ17" s="52"/>
      <c r="BA17" s="52"/>
      <c r="BB17" s="52">
        <f t="shared" si="1"/>
        <v>0</v>
      </c>
      <c r="BC17" s="52">
        <f t="shared" si="2"/>
        <v>0</v>
      </c>
      <c r="BE17">
        <f ca="1">'Monthly Collection-2027'!CC17</f>
        <v>0</v>
      </c>
      <c r="BF17" t="str">
        <f t="shared" ca="1" si="3"/>
        <v/>
      </c>
      <c r="BG17">
        <f t="shared" ca="1" si="4"/>
        <v>0</v>
      </c>
      <c r="BH17" t="str">
        <f t="shared" ca="1" si="5"/>
        <v/>
      </c>
      <c r="BI17">
        <f t="shared" ca="1" si="6"/>
        <v>0</v>
      </c>
      <c r="BJ17" t="str">
        <f t="shared" ca="1" si="7"/>
        <v/>
      </c>
      <c r="BK17">
        <f t="shared" ca="1" si="8"/>
        <v>0</v>
      </c>
      <c r="BL17" t="str">
        <f t="shared" ca="1" si="9"/>
        <v/>
      </c>
      <c r="BM17">
        <f t="shared" ca="1" si="10"/>
        <v>0</v>
      </c>
      <c r="BN17" t="str">
        <f t="shared" ca="1" si="11"/>
        <v/>
      </c>
      <c r="BO17">
        <f t="shared" ca="1" si="12"/>
        <v>0</v>
      </c>
      <c r="BP17" t="str">
        <f t="shared" ca="1" si="13"/>
        <v/>
      </c>
      <c r="BQ17">
        <f t="shared" ca="1" si="14"/>
        <v>0</v>
      </c>
      <c r="BR17" t="str">
        <f t="shared" ca="1" si="15"/>
        <v/>
      </c>
      <c r="BS17">
        <f t="shared" ca="1" si="16"/>
        <v>0</v>
      </c>
      <c r="BT17" t="str">
        <f t="shared" ca="1" si="17"/>
        <v/>
      </c>
      <c r="BU17">
        <f t="shared" ca="1" si="18"/>
        <v>0</v>
      </c>
      <c r="BV17" t="str">
        <f t="shared" ca="1" si="19"/>
        <v/>
      </c>
      <c r="BW17">
        <f t="shared" ca="1" si="20"/>
        <v>0</v>
      </c>
      <c r="BX17" t="str">
        <f t="shared" ca="1" si="21"/>
        <v/>
      </c>
      <c r="BY17">
        <f t="shared" ca="1" si="22"/>
        <v>0</v>
      </c>
      <c r="BZ17" t="str">
        <f t="shared" ca="1" si="23"/>
        <v/>
      </c>
      <c r="CA17">
        <f t="shared" ca="1" si="24"/>
        <v>0</v>
      </c>
      <c r="CB17" t="str">
        <f t="shared" ca="1" si="25"/>
        <v/>
      </c>
      <c r="CC17">
        <f t="shared" ca="1" si="26"/>
        <v>0</v>
      </c>
    </row>
    <row r="18" spans="2:81" ht="14.25" customHeight="1" x14ac:dyDescent="0.3">
      <c r="B18" s="55">
        <f t="shared" si="0"/>
        <v>15</v>
      </c>
      <c r="C18" s="56" t="s">
        <v>86</v>
      </c>
      <c r="D18" s="12">
        <f>'Member Wise Deposit Summary'!D18</f>
        <v>1871777022</v>
      </c>
      <c r="E18" s="56">
        <v>3</v>
      </c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7"/>
      <c r="AY18" s="56"/>
      <c r="AZ18" s="56"/>
      <c r="BA18" s="56"/>
      <c r="BB18" s="56">
        <f t="shared" si="1"/>
        <v>0</v>
      </c>
      <c r="BC18" s="56">
        <f t="shared" si="2"/>
        <v>0</v>
      </c>
      <c r="BE18">
        <f ca="1">'Monthly Collection-2027'!CC18</f>
        <v>0</v>
      </c>
      <c r="BF18" t="str">
        <f t="shared" ca="1" si="3"/>
        <v/>
      </c>
      <c r="BG18">
        <f t="shared" ca="1" si="4"/>
        <v>0</v>
      </c>
      <c r="BH18" t="str">
        <f t="shared" ca="1" si="5"/>
        <v/>
      </c>
      <c r="BI18">
        <f t="shared" ca="1" si="6"/>
        <v>0</v>
      </c>
      <c r="BJ18" t="str">
        <f t="shared" ca="1" si="7"/>
        <v/>
      </c>
      <c r="BK18">
        <f t="shared" ca="1" si="8"/>
        <v>0</v>
      </c>
      <c r="BL18" t="str">
        <f t="shared" ca="1" si="9"/>
        <v/>
      </c>
      <c r="BM18">
        <f t="shared" ca="1" si="10"/>
        <v>0</v>
      </c>
      <c r="BN18" t="str">
        <f t="shared" ca="1" si="11"/>
        <v/>
      </c>
      <c r="BO18">
        <f t="shared" ca="1" si="12"/>
        <v>0</v>
      </c>
      <c r="BP18" t="str">
        <f t="shared" ca="1" si="13"/>
        <v/>
      </c>
      <c r="BQ18">
        <f t="shared" ca="1" si="14"/>
        <v>0</v>
      </c>
      <c r="BR18" t="str">
        <f t="shared" ca="1" si="15"/>
        <v/>
      </c>
      <c r="BS18">
        <f t="shared" ca="1" si="16"/>
        <v>0</v>
      </c>
      <c r="BT18" t="str">
        <f t="shared" ca="1" si="17"/>
        <v/>
      </c>
      <c r="BU18">
        <f t="shared" ca="1" si="18"/>
        <v>0</v>
      </c>
      <c r="BV18" t="str">
        <f t="shared" ca="1" si="19"/>
        <v/>
      </c>
      <c r="BW18">
        <f t="shared" ca="1" si="20"/>
        <v>0</v>
      </c>
      <c r="BX18" t="str">
        <f t="shared" ca="1" si="21"/>
        <v/>
      </c>
      <c r="BY18">
        <f t="shared" ca="1" si="22"/>
        <v>0</v>
      </c>
      <c r="BZ18" t="str">
        <f t="shared" ca="1" si="23"/>
        <v/>
      </c>
      <c r="CA18">
        <f t="shared" ca="1" si="24"/>
        <v>0</v>
      </c>
      <c r="CB18" t="str">
        <f t="shared" ca="1" si="25"/>
        <v/>
      </c>
      <c r="CC18">
        <f t="shared" ca="1" si="26"/>
        <v>0</v>
      </c>
    </row>
    <row r="19" spans="2:81" ht="14.25" customHeight="1" x14ac:dyDescent="0.3">
      <c r="B19" s="51">
        <f t="shared" si="0"/>
        <v>16</v>
      </c>
      <c r="C19" s="52" t="s">
        <v>87</v>
      </c>
      <c r="D19" s="16">
        <f>'Member Wise Deposit Summary'!D19</f>
        <v>1820016020</v>
      </c>
      <c r="E19" s="52">
        <v>2</v>
      </c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3"/>
      <c r="AY19" s="52"/>
      <c r="AZ19" s="52"/>
      <c r="BA19" s="52"/>
      <c r="BB19" s="52">
        <f t="shared" si="1"/>
        <v>0</v>
      </c>
      <c r="BC19" s="52">
        <f t="shared" si="2"/>
        <v>0</v>
      </c>
      <c r="BE19">
        <f ca="1">'Monthly Collection-2027'!CC19</f>
        <v>0</v>
      </c>
      <c r="BF19" t="str">
        <f t="shared" ca="1" si="3"/>
        <v/>
      </c>
      <c r="BG19">
        <f t="shared" ca="1" si="4"/>
        <v>0</v>
      </c>
      <c r="BH19" t="str">
        <f t="shared" ca="1" si="5"/>
        <v/>
      </c>
      <c r="BI19">
        <f t="shared" ca="1" si="6"/>
        <v>0</v>
      </c>
      <c r="BJ19" t="str">
        <f t="shared" ca="1" si="7"/>
        <v/>
      </c>
      <c r="BK19">
        <f t="shared" ca="1" si="8"/>
        <v>0</v>
      </c>
      <c r="BL19" t="str">
        <f t="shared" ca="1" si="9"/>
        <v/>
      </c>
      <c r="BM19">
        <f t="shared" ca="1" si="10"/>
        <v>0</v>
      </c>
      <c r="BN19" t="str">
        <f t="shared" ca="1" si="11"/>
        <v/>
      </c>
      <c r="BO19">
        <f t="shared" ca="1" si="12"/>
        <v>0</v>
      </c>
      <c r="BP19" t="str">
        <f t="shared" ca="1" si="13"/>
        <v/>
      </c>
      <c r="BQ19">
        <f t="shared" ca="1" si="14"/>
        <v>0</v>
      </c>
      <c r="BR19" t="str">
        <f t="shared" ca="1" si="15"/>
        <v/>
      </c>
      <c r="BS19">
        <f t="shared" ca="1" si="16"/>
        <v>0</v>
      </c>
      <c r="BT19" t="str">
        <f t="shared" ca="1" si="17"/>
        <v/>
      </c>
      <c r="BU19">
        <f t="shared" ca="1" si="18"/>
        <v>0</v>
      </c>
      <c r="BV19" t="str">
        <f t="shared" ca="1" si="19"/>
        <v/>
      </c>
      <c r="BW19">
        <f t="shared" ca="1" si="20"/>
        <v>0</v>
      </c>
      <c r="BX19" t="str">
        <f t="shared" ca="1" si="21"/>
        <v/>
      </c>
      <c r="BY19">
        <f t="shared" ca="1" si="22"/>
        <v>0</v>
      </c>
      <c r="BZ19" t="str">
        <f t="shared" ca="1" si="23"/>
        <v/>
      </c>
      <c r="CA19">
        <f t="shared" ca="1" si="24"/>
        <v>0</v>
      </c>
      <c r="CB19" t="str">
        <f t="shared" ca="1" si="25"/>
        <v/>
      </c>
      <c r="CC19">
        <f t="shared" ca="1" si="26"/>
        <v>0</v>
      </c>
    </row>
    <row r="20" spans="2:81" ht="14.25" customHeight="1" x14ac:dyDescent="0.3">
      <c r="B20" s="55">
        <f t="shared" si="0"/>
        <v>17</v>
      </c>
      <c r="C20" s="56" t="s">
        <v>88</v>
      </c>
      <c r="D20" s="19">
        <f>'Member Wise Deposit Summary'!D20</f>
        <v>971562765681</v>
      </c>
      <c r="E20" s="56">
        <v>2</v>
      </c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7"/>
      <c r="AY20" s="56"/>
      <c r="AZ20" s="56"/>
      <c r="BA20" s="56"/>
      <c r="BB20" s="56">
        <f t="shared" si="1"/>
        <v>0</v>
      </c>
      <c r="BC20" s="56">
        <f t="shared" si="2"/>
        <v>0</v>
      </c>
      <c r="BE20">
        <f ca="1">'Monthly Collection-2027'!CC20</f>
        <v>0</v>
      </c>
      <c r="BF20" t="str">
        <f t="shared" ca="1" si="3"/>
        <v/>
      </c>
      <c r="BG20">
        <f t="shared" ca="1" si="4"/>
        <v>0</v>
      </c>
      <c r="BH20" t="str">
        <f t="shared" ca="1" si="5"/>
        <v/>
      </c>
      <c r="BI20">
        <f t="shared" ca="1" si="6"/>
        <v>0</v>
      </c>
      <c r="BJ20" t="str">
        <f t="shared" ca="1" si="7"/>
        <v/>
      </c>
      <c r="BK20">
        <f t="shared" ca="1" si="8"/>
        <v>0</v>
      </c>
      <c r="BL20" t="str">
        <f t="shared" ca="1" si="9"/>
        <v/>
      </c>
      <c r="BM20">
        <f t="shared" ca="1" si="10"/>
        <v>0</v>
      </c>
      <c r="BN20" t="str">
        <f t="shared" ca="1" si="11"/>
        <v/>
      </c>
      <c r="BO20">
        <f t="shared" ca="1" si="12"/>
        <v>0</v>
      </c>
      <c r="BP20" t="str">
        <f t="shared" ca="1" si="13"/>
        <v/>
      </c>
      <c r="BQ20">
        <f t="shared" ca="1" si="14"/>
        <v>0</v>
      </c>
      <c r="BR20" t="str">
        <f t="shared" ca="1" si="15"/>
        <v/>
      </c>
      <c r="BS20">
        <f t="shared" ca="1" si="16"/>
        <v>0</v>
      </c>
      <c r="BT20" t="str">
        <f t="shared" ca="1" si="17"/>
        <v/>
      </c>
      <c r="BU20">
        <f t="shared" ca="1" si="18"/>
        <v>0</v>
      </c>
      <c r="BV20" t="str">
        <f t="shared" ca="1" si="19"/>
        <v/>
      </c>
      <c r="BW20">
        <f t="shared" ca="1" si="20"/>
        <v>0</v>
      </c>
      <c r="BX20" t="str">
        <f t="shared" ca="1" si="21"/>
        <v/>
      </c>
      <c r="BY20">
        <f t="shared" ca="1" si="22"/>
        <v>0</v>
      </c>
      <c r="BZ20" t="str">
        <f t="shared" ca="1" si="23"/>
        <v/>
      </c>
      <c r="CA20">
        <f t="shared" ca="1" si="24"/>
        <v>0</v>
      </c>
      <c r="CB20" t="str">
        <f t="shared" ca="1" si="25"/>
        <v/>
      </c>
      <c r="CC20">
        <f t="shared" ca="1" si="26"/>
        <v>0</v>
      </c>
    </row>
    <row r="21" spans="2:81" ht="14.25" customHeight="1" x14ac:dyDescent="0.3">
      <c r="B21" s="51">
        <f t="shared" si="0"/>
        <v>18</v>
      </c>
      <c r="C21" s="52" t="s">
        <v>89</v>
      </c>
      <c r="D21" s="16">
        <f>'Member Wise Deposit Summary'!D21</f>
        <v>1822092650</v>
      </c>
      <c r="E21" s="52">
        <v>2</v>
      </c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3"/>
      <c r="AY21" s="52"/>
      <c r="AZ21" s="52"/>
      <c r="BA21" s="52"/>
      <c r="BB21" s="52">
        <f t="shared" si="1"/>
        <v>0</v>
      </c>
      <c r="BC21" s="52">
        <f t="shared" si="2"/>
        <v>0</v>
      </c>
      <c r="BE21">
        <f ca="1">'Monthly Collection-2027'!CC21</f>
        <v>0</v>
      </c>
      <c r="BF21" t="str">
        <f t="shared" ca="1" si="3"/>
        <v/>
      </c>
      <c r="BG21">
        <f t="shared" ca="1" si="4"/>
        <v>0</v>
      </c>
      <c r="BH21" t="str">
        <f t="shared" ca="1" si="5"/>
        <v/>
      </c>
      <c r="BI21">
        <f t="shared" ca="1" si="6"/>
        <v>0</v>
      </c>
      <c r="BJ21" t="str">
        <f t="shared" ca="1" si="7"/>
        <v/>
      </c>
      <c r="BK21">
        <f t="shared" ca="1" si="8"/>
        <v>0</v>
      </c>
      <c r="BL21" t="str">
        <f t="shared" ca="1" si="9"/>
        <v/>
      </c>
      <c r="BM21">
        <f t="shared" ca="1" si="10"/>
        <v>0</v>
      </c>
      <c r="BN21" t="str">
        <f t="shared" ca="1" si="11"/>
        <v/>
      </c>
      <c r="BO21">
        <f t="shared" ca="1" si="12"/>
        <v>0</v>
      </c>
      <c r="BP21" t="str">
        <f t="shared" ca="1" si="13"/>
        <v/>
      </c>
      <c r="BQ21">
        <f t="shared" ca="1" si="14"/>
        <v>0</v>
      </c>
      <c r="BR21" t="str">
        <f t="shared" ca="1" si="15"/>
        <v/>
      </c>
      <c r="BS21">
        <f t="shared" ca="1" si="16"/>
        <v>0</v>
      </c>
      <c r="BT21" t="str">
        <f t="shared" ca="1" si="17"/>
        <v/>
      </c>
      <c r="BU21">
        <f t="shared" ca="1" si="18"/>
        <v>0</v>
      </c>
      <c r="BV21" t="str">
        <f t="shared" ca="1" si="19"/>
        <v/>
      </c>
      <c r="BW21">
        <f t="shared" ca="1" si="20"/>
        <v>0</v>
      </c>
      <c r="BX21" t="str">
        <f t="shared" ca="1" si="21"/>
        <v/>
      </c>
      <c r="BY21">
        <f t="shared" ca="1" si="22"/>
        <v>0</v>
      </c>
      <c r="BZ21" t="str">
        <f t="shared" ca="1" si="23"/>
        <v/>
      </c>
      <c r="CA21">
        <f t="shared" ca="1" si="24"/>
        <v>0</v>
      </c>
      <c r="CB21" t="str">
        <f t="shared" ca="1" si="25"/>
        <v/>
      </c>
      <c r="CC21">
        <f t="shared" ca="1" si="26"/>
        <v>0</v>
      </c>
    </row>
    <row r="22" spans="2:81" ht="14.25" customHeight="1" x14ac:dyDescent="0.3">
      <c r="B22" s="55">
        <f t="shared" si="0"/>
        <v>19</v>
      </c>
      <c r="C22" s="56" t="s">
        <v>90</v>
      </c>
      <c r="D22" s="19">
        <f>'Member Wise Deposit Summary'!D22</f>
        <v>966534770192</v>
      </c>
      <c r="E22" s="56">
        <v>1</v>
      </c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7"/>
      <c r="AY22" s="56"/>
      <c r="AZ22" s="56"/>
      <c r="BA22" s="56"/>
      <c r="BB22" s="56">
        <f t="shared" si="1"/>
        <v>0</v>
      </c>
      <c r="BC22" s="56">
        <f t="shared" si="2"/>
        <v>0</v>
      </c>
      <c r="BE22">
        <f ca="1">'Monthly Collection-2027'!CC22</f>
        <v>0</v>
      </c>
      <c r="BF22" t="str">
        <f t="shared" ca="1" si="3"/>
        <v/>
      </c>
      <c r="BG22">
        <f t="shared" ca="1" si="4"/>
        <v>0</v>
      </c>
      <c r="BH22" t="str">
        <f t="shared" ca="1" si="5"/>
        <v/>
      </c>
      <c r="BI22">
        <f t="shared" ca="1" si="6"/>
        <v>0</v>
      </c>
      <c r="BJ22" t="str">
        <f t="shared" ca="1" si="7"/>
        <v/>
      </c>
      <c r="BK22">
        <f t="shared" ca="1" si="8"/>
        <v>0</v>
      </c>
      <c r="BL22" t="str">
        <f t="shared" ca="1" si="9"/>
        <v/>
      </c>
      <c r="BM22">
        <f t="shared" ca="1" si="10"/>
        <v>0</v>
      </c>
      <c r="BN22" t="str">
        <f t="shared" ca="1" si="11"/>
        <v/>
      </c>
      <c r="BO22">
        <f t="shared" ca="1" si="12"/>
        <v>0</v>
      </c>
      <c r="BP22" t="str">
        <f t="shared" ca="1" si="13"/>
        <v/>
      </c>
      <c r="BQ22">
        <f t="shared" ca="1" si="14"/>
        <v>0</v>
      </c>
      <c r="BR22" t="str">
        <f t="shared" ca="1" si="15"/>
        <v/>
      </c>
      <c r="BS22">
        <f t="shared" ca="1" si="16"/>
        <v>0</v>
      </c>
      <c r="BT22" t="str">
        <f t="shared" ca="1" si="17"/>
        <v/>
      </c>
      <c r="BU22">
        <f t="shared" ca="1" si="18"/>
        <v>0</v>
      </c>
      <c r="BV22" t="str">
        <f t="shared" ca="1" si="19"/>
        <v/>
      </c>
      <c r="BW22">
        <f t="shared" ca="1" si="20"/>
        <v>0</v>
      </c>
      <c r="BX22" t="str">
        <f t="shared" ca="1" si="21"/>
        <v/>
      </c>
      <c r="BY22">
        <f t="shared" ca="1" si="22"/>
        <v>0</v>
      </c>
      <c r="BZ22" t="str">
        <f t="shared" ca="1" si="23"/>
        <v/>
      </c>
      <c r="CA22">
        <f t="shared" ca="1" si="24"/>
        <v>0</v>
      </c>
      <c r="CB22" t="str">
        <f t="shared" ca="1" si="25"/>
        <v/>
      </c>
      <c r="CC22">
        <f t="shared" ca="1" si="26"/>
        <v>0</v>
      </c>
    </row>
    <row r="23" spans="2:81" ht="14.25" customHeight="1" x14ac:dyDescent="0.3">
      <c r="B23" s="51">
        <f t="shared" si="0"/>
        <v>20</v>
      </c>
      <c r="C23" s="52" t="s">
        <v>91</v>
      </c>
      <c r="D23" s="16">
        <f>'Member Wise Deposit Summary'!D23</f>
        <v>1816821801</v>
      </c>
      <c r="E23" s="52">
        <v>2</v>
      </c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3"/>
      <c r="AY23" s="52"/>
      <c r="AZ23" s="52"/>
      <c r="BA23" s="52"/>
      <c r="BB23" s="52">
        <f t="shared" si="1"/>
        <v>0</v>
      </c>
      <c r="BC23" s="52">
        <f t="shared" si="2"/>
        <v>0</v>
      </c>
      <c r="BE23">
        <f ca="1">'Monthly Collection-2027'!CC23</f>
        <v>0</v>
      </c>
      <c r="BF23" t="str">
        <f t="shared" ca="1" si="3"/>
        <v/>
      </c>
      <c r="BG23">
        <f t="shared" ca="1" si="4"/>
        <v>0</v>
      </c>
      <c r="BH23" t="str">
        <f t="shared" ca="1" si="5"/>
        <v/>
      </c>
      <c r="BI23">
        <f t="shared" ca="1" si="6"/>
        <v>0</v>
      </c>
      <c r="BJ23" t="str">
        <f t="shared" ca="1" si="7"/>
        <v/>
      </c>
      <c r="BK23">
        <f t="shared" ca="1" si="8"/>
        <v>0</v>
      </c>
      <c r="BL23" t="str">
        <f t="shared" ca="1" si="9"/>
        <v/>
      </c>
      <c r="BM23">
        <f t="shared" ca="1" si="10"/>
        <v>0</v>
      </c>
      <c r="BN23" t="str">
        <f t="shared" ca="1" si="11"/>
        <v/>
      </c>
      <c r="BO23">
        <f t="shared" ca="1" si="12"/>
        <v>0</v>
      </c>
      <c r="BP23" t="str">
        <f t="shared" ca="1" si="13"/>
        <v/>
      </c>
      <c r="BQ23">
        <f t="shared" ca="1" si="14"/>
        <v>0</v>
      </c>
      <c r="BR23" t="str">
        <f t="shared" ca="1" si="15"/>
        <v/>
      </c>
      <c r="BS23">
        <f t="shared" ca="1" si="16"/>
        <v>0</v>
      </c>
      <c r="BT23" t="str">
        <f t="shared" ca="1" si="17"/>
        <v/>
      </c>
      <c r="BU23">
        <f t="shared" ca="1" si="18"/>
        <v>0</v>
      </c>
      <c r="BV23" t="str">
        <f t="shared" ca="1" si="19"/>
        <v/>
      </c>
      <c r="BW23">
        <f t="shared" ca="1" si="20"/>
        <v>0</v>
      </c>
      <c r="BX23" t="str">
        <f t="shared" ca="1" si="21"/>
        <v/>
      </c>
      <c r="BY23">
        <f t="shared" ca="1" si="22"/>
        <v>0</v>
      </c>
      <c r="BZ23" t="str">
        <f t="shared" ca="1" si="23"/>
        <v/>
      </c>
      <c r="CA23">
        <f t="shared" ca="1" si="24"/>
        <v>0</v>
      </c>
      <c r="CB23" t="str">
        <f t="shared" ca="1" si="25"/>
        <v/>
      </c>
      <c r="CC23">
        <f t="shared" ca="1" si="26"/>
        <v>0</v>
      </c>
    </row>
    <row r="24" spans="2:81" ht="14.25" customHeight="1" x14ac:dyDescent="0.3">
      <c r="B24" s="55">
        <f t="shared" si="0"/>
        <v>21</v>
      </c>
      <c r="C24" s="56" t="s">
        <v>92</v>
      </c>
      <c r="D24" s="12">
        <f>'Member Wise Deposit Summary'!D24</f>
        <v>1820989105</v>
      </c>
      <c r="E24" s="56">
        <v>1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7"/>
      <c r="AY24" s="56"/>
      <c r="AZ24" s="56"/>
      <c r="BA24" s="56"/>
      <c r="BB24" s="56">
        <f t="shared" si="1"/>
        <v>0</v>
      </c>
      <c r="BC24" s="56">
        <f t="shared" si="2"/>
        <v>0</v>
      </c>
      <c r="BE24">
        <f ca="1">'Monthly Collection-2027'!CC24</f>
        <v>0</v>
      </c>
      <c r="BF24" t="str">
        <f t="shared" ca="1" si="3"/>
        <v/>
      </c>
      <c r="BG24">
        <f t="shared" ca="1" si="4"/>
        <v>0</v>
      </c>
      <c r="BH24" t="str">
        <f t="shared" ca="1" si="5"/>
        <v/>
      </c>
      <c r="BI24">
        <f t="shared" ca="1" si="6"/>
        <v>0</v>
      </c>
      <c r="BJ24" t="str">
        <f t="shared" ca="1" si="7"/>
        <v/>
      </c>
      <c r="BK24">
        <f t="shared" ca="1" si="8"/>
        <v>0</v>
      </c>
      <c r="BL24" t="str">
        <f t="shared" ca="1" si="9"/>
        <v/>
      </c>
      <c r="BM24">
        <f t="shared" ca="1" si="10"/>
        <v>0</v>
      </c>
      <c r="BN24" t="str">
        <f t="shared" ca="1" si="11"/>
        <v/>
      </c>
      <c r="BO24">
        <f t="shared" ca="1" si="12"/>
        <v>0</v>
      </c>
      <c r="BP24" t="str">
        <f t="shared" ca="1" si="13"/>
        <v/>
      </c>
      <c r="BQ24">
        <f t="shared" ca="1" si="14"/>
        <v>0</v>
      </c>
      <c r="BR24" t="str">
        <f t="shared" ca="1" si="15"/>
        <v/>
      </c>
      <c r="BS24">
        <f t="shared" ca="1" si="16"/>
        <v>0</v>
      </c>
      <c r="BT24" t="str">
        <f t="shared" ca="1" si="17"/>
        <v/>
      </c>
      <c r="BU24">
        <f t="shared" ca="1" si="18"/>
        <v>0</v>
      </c>
      <c r="BV24" t="str">
        <f t="shared" ca="1" si="19"/>
        <v/>
      </c>
      <c r="BW24">
        <f t="shared" ca="1" si="20"/>
        <v>0</v>
      </c>
      <c r="BX24" t="str">
        <f t="shared" ca="1" si="21"/>
        <v/>
      </c>
      <c r="BY24">
        <f t="shared" ca="1" si="22"/>
        <v>0</v>
      </c>
      <c r="BZ24" t="str">
        <f t="shared" ca="1" si="23"/>
        <v/>
      </c>
      <c r="CA24">
        <f t="shared" ca="1" si="24"/>
        <v>0</v>
      </c>
      <c r="CB24" t="str">
        <f t="shared" ca="1" si="25"/>
        <v/>
      </c>
      <c r="CC24">
        <f t="shared" ca="1" si="26"/>
        <v>0</v>
      </c>
    </row>
    <row r="25" spans="2:81" ht="14.25" customHeight="1" x14ac:dyDescent="0.3">
      <c r="B25" s="51">
        <f t="shared" si="0"/>
        <v>22</v>
      </c>
      <c r="C25" s="52" t="s">
        <v>86</v>
      </c>
      <c r="D25" s="16">
        <f>'Member Wise Deposit Summary'!D25</f>
        <v>1873812598</v>
      </c>
      <c r="E25" s="52">
        <v>1</v>
      </c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3"/>
      <c r="AY25" s="52"/>
      <c r="AZ25" s="52"/>
      <c r="BA25" s="52"/>
      <c r="BB25" s="52">
        <f t="shared" si="1"/>
        <v>0</v>
      </c>
      <c r="BC25" s="52">
        <f t="shared" si="2"/>
        <v>0</v>
      </c>
      <c r="BE25">
        <f ca="1">'Monthly Collection-2027'!CC25</f>
        <v>0</v>
      </c>
      <c r="BF25" t="str">
        <f t="shared" ca="1" si="3"/>
        <v/>
      </c>
      <c r="BG25">
        <f t="shared" ca="1" si="4"/>
        <v>0</v>
      </c>
      <c r="BH25" t="str">
        <f t="shared" ca="1" si="5"/>
        <v/>
      </c>
      <c r="BI25">
        <f t="shared" ca="1" si="6"/>
        <v>0</v>
      </c>
      <c r="BJ25" t="str">
        <f t="shared" ca="1" si="7"/>
        <v/>
      </c>
      <c r="BK25">
        <f t="shared" ca="1" si="8"/>
        <v>0</v>
      </c>
      <c r="BL25" t="str">
        <f t="shared" ca="1" si="9"/>
        <v/>
      </c>
      <c r="BM25">
        <f t="shared" ca="1" si="10"/>
        <v>0</v>
      </c>
      <c r="BN25" t="str">
        <f t="shared" ca="1" si="11"/>
        <v/>
      </c>
      <c r="BO25">
        <f t="shared" ca="1" si="12"/>
        <v>0</v>
      </c>
      <c r="BP25" t="str">
        <f t="shared" ca="1" si="13"/>
        <v/>
      </c>
      <c r="BQ25">
        <f t="shared" ca="1" si="14"/>
        <v>0</v>
      </c>
      <c r="BR25" t="str">
        <f t="shared" ca="1" si="15"/>
        <v/>
      </c>
      <c r="BS25">
        <f t="shared" ca="1" si="16"/>
        <v>0</v>
      </c>
      <c r="BT25" t="str">
        <f t="shared" ca="1" si="17"/>
        <v/>
      </c>
      <c r="BU25">
        <f t="shared" ca="1" si="18"/>
        <v>0</v>
      </c>
      <c r="BV25" t="str">
        <f t="shared" ca="1" si="19"/>
        <v/>
      </c>
      <c r="BW25">
        <f t="shared" ca="1" si="20"/>
        <v>0</v>
      </c>
      <c r="BX25" t="str">
        <f t="shared" ca="1" si="21"/>
        <v/>
      </c>
      <c r="BY25">
        <f t="shared" ca="1" si="22"/>
        <v>0</v>
      </c>
      <c r="BZ25" t="str">
        <f t="shared" ca="1" si="23"/>
        <v/>
      </c>
      <c r="CA25">
        <f t="shared" ca="1" si="24"/>
        <v>0</v>
      </c>
      <c r="CB25" t="str">
        <f t="shared" ca="1" si="25"/>
        <v/>
      </c>
      <c r="CC25">
        <f t="shared" ca="1" si="26"/>
        <v>0</v>
      </c>
    </row>
    <row r="26" spans="2:81" ht="14.25" customHeight="1" x14ac:dyDescent="0.3">
      <c r="B26" s="55">
        <f t="shared" si="0"/>
        <v>23</v>
      </c>
      <c r="C26" s="56" t="s">
        <v>93</v>
      </c>
      <c r="D26" s="12">
        <f>'Member Wise Deposit Summary'!D26</f>
        <v>1815073916</v>
      </c>
      <c r="E26" s="56">
        <v>1</v>
      </c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7"/>
      <c r="AY26" s="56"/>
      <c r="AZ26" s="56"/>
      <c r="BA26" s="56"/>
      <c r="BB26" s="56">
        <f t="shared" si="1"/>
        <v>0</v>
      </c>
      <c r="BC26" s="56">
        <f t="shared" si="2"/>
        <v>0</v>
      </c>
      <c r="BE26">
        <f ca="1">'Monthly Collection-2027'!CC26</f>
        <v>0</v>
      </c>
      <c r="BF26" t="str">
        <f t="shared" ca="1" si="3"/>
        <v/>
      </c>
      <c r="BG26">
        <f t="shared" ca="1" si="4"/>
        <v>0</v>
      </c>
      <c r="BH26" t="str">
        <f t="shared" ca="1" si="5"/>
        <v/>
      </c>
      <c r="BI26">
        <f t="shared" ca="1" si="6"/>
        <v>0</v>
      </c>
      <c r="BJ26" t="str">
        <f t="shared" ca="1" si="7"/>
        <v/>
      </c>
      <c r="BK26">
        <f t="shared" ca="1" si="8"/>
        <v>0</v>
      </c>
      <c r="BL26" t="str">
        <f t="shared" ca="1" si="9"/>
        <v/>
      </c>
      <c r="BM26">
        <f t="shared" ca="1" si="10"/>
        <v>0</v>
      </c>
      <c r="BN26" t="str">
        <f t="shared" ca="1" si="11"/>
        <v/>
      </c>
      <c r="BO26">
        <f t="shared" ca="1" si="12"/>
        <v>0</v>
      </c>
      <c r="BP26" t="str">
        <f t="shared" ca="1" si="13"/>
        <v/>
      </c>
      <c r="BQ26">
        <f t="shared" ca="1" si="14"/>
        <v>0</v>
      </c>
      <c r="BR26" t="str">
        <f t="shared" ca="1" si="15"/>
        <v/>
      </c>
      <c r="BS26">
        <f t="shared" ca="1" si="16"/>
        <v>0</v>
      </c>
      <c r="BT26" t="str">
        <f t="shared" ca="1" si="17"/>
        <v/>
      </c>
      <c r="BU26">
        <f t="shared" ca="1" si="18"/>
        <v>0</v>
      </c>
      <c r="BV26" t="str">
        <f t="shared" ca="1" si="19"/>
        <v/>
      </c>
      <c r="BW26">
        <f t="shared" ca="1" si="20"/>
        <v>0</v>
      </c>
      <c r="BX26" t="str">
        <f t="shared" ca="1" si="21"/>
        <v/>
      </c>
      <c r="BY26">
        <f t="shared" ca="1" si="22"/>
        <v>0</v>
      </c>
      <c r="BZ26" t="str">
        <f t="shared" ca="1" si="23"/>
        <v/>
      </c>
      <c r="CA26">
        <f t="shared" ca="1" si="24"/>
        <v>0</v>
      </c>
      <c r="CB26" t="str">
        <f t="shared" ca="1" si="25"/>
        <v/>
      </c>
      <c r="CC26">
        <f t="shared" ca="1" si="26"/>
        <v>0</v>
      </c>
    </row>
    <row r="27" spans="2:81" ht="14.25" customHeight="1" x14ac:dyDescent="0.3">
      <c r="B27" s="51">
        <f t="shared" si="0"/>
        <v>24</v>
      </c>
      <c r="C27" s="52" t="s">
        <v>94</v>
      </c>
      <c r="D27" s="16">
        <f>'Member Wise Deposit Summary'!D27</f>
        <v>1860493163</v>
      </c>
      <c r="E27" s="52">
        <v>1</v>
      </c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3"/>
      <c r="AY27" s="52"/>
      <c r="AZ27" s="52"/>
      <c r="BA27" s="52"/>
      <c r="BB27" s="52">
        <f t="shared" si="1"/>
        <v>0</v>
      </c>
      <c r="BC27" s="52">
        <f t="shared" si="2"/>
        <v>0</v>
      </c>
      <c r="BE27">
        <f ca="1">'Monthly Collection-2027'!CC27</f>
        <v>0</v>
      </c>
      <c r="BF27" t="str">
        <f t="shared" ca="1" si="3"/>
        <v/>
      </c>
      <c r="BG27">
        <f t="shared" ca="1" si="4"/>
        <v>0</v>
      </c>
      <c r="BH27" t="str">
        <f t="shared" ca="1" si="5"/>
        <v/>
      </c>
      <c r="BI27">
        <f t="shared" ca="1" si="6"/>
        <v>0</v>
      </c>
      <c r="BJ27" t="str">
        <f t="shared" ca="1" si="7"/>
        <v/>
      </c>
      <c r="BK27">
        <f t="shared" ca="1" si="8"/>
        <v>0</v>
      </c>
      <c r="BL27" t="str">
        <f t="shared" ca="1" si="9"/>
        <v/>
      </c>
      <c r="BM27">
        <f t="shared" ca="1" si="10"/>
        <v>0</v>
      </c>
      <c r="BN27" t="str">
        <f t="shared" ca="1" si="11"/>
        <v/>
      </c>
      <c r="BO27">
        <f t="shared" ca="1" si="12"/>
        <v>0</v>
      </c>
      <c r="BP27" t="str">
        <f t="shared" ca="1" si="13"/>
        <v/>
      </c>
      <c r="BQ27">
        <f t="shared" ca="1" si="14"/>
        <v>0</v>
      </c>
      <c r="BR27" t="str">
        <f t="shared" ca="1" si="15"/>
        <v/>
      </c>
      <c r="BS27">
        <f t="shared" ca="1" si="16"/>
        <v>0</v>
      </c>
      <c r="BT27" t="str">
        <f t="shared" ca="1" si="17"/>
        <v/>
      </c>
      <c r="BU27">
        <f t="shared" ca="1" si="18"/>
        <v>0</v>
      </c>
      <c r="BV27" t="str">
        <f t="shared" ca="1" si="19"/>
        <v/>
      </c>
      <c r="BW27">
        <f t="shared" ca="1" si="20"/>
        <v>0</v>
      </c>
      <c r="BX27" t="str">
        <f t="shared" ca="1" si="21"/>
        <v/>
      </c>
      <c r="BY27">
        <f t="shared" ca="1" si="22"/>
        <v>0</v>
      </c>
      <c r="BZ27" t="str">
        <f t="shared" ca="1" si="23"/>
        <v/>
      </c>
      <c r="CA27">
        <f t="shared" ca="1" si="24"/>
        <v>0</v>
      </c>
      <c r="CB27" t="str">
        <f t="shared" ca="1" si="25"/>
        <v/>
      </c>
      <c r="CC27">
        <f t="shared" ca="1" si="26"/>
        <v>0</v>
      </c>
    </row>
    <row r="28" spans="2:81" ht="14.25" customHeight="1" x14ac:dyDescent="0.3">
      <c r="B28" s="55">
        <f t="shared" si="0"/>
        <v>25</v>
      </c>
      <c r="C28" s="56" t="s">
        <v>95</v>
      </c>
      <c r="D28" s="12">
        <f>'Member Wise Deposit Summary'!D28</f>
        <v>1870876309</v>
      </c>
      <c r="E28" s="56">
        <v>1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7"/>
      <c r="AY28" s="56"/>
      <c r="AZ28" s="56"/>
      <c r="BA28" s="56"/>
      <c r="BB28" s="56">
        <f t="shared" si="1"/>
        <v>0</v>
      </c>
      <c r="BC28" s="56">
        <f t="shared" si="2"/>
        <v>0</v>
      </c>
      <c r="BE28">
        <f ca="1">'Monthly Collection-2027'!CC28</f>
        <v>0</v>
      </c>
      <c r="BF28" t="str">
        <f t="shared" ca="1" si="3"/>
        <v/>
      </c>
      <c r="BG28">
        <f t="shared" ca="1" si="4"/>
        <v>0</v>
      </c>
      <c r="BH28" t="str">
        <f t="shared" ca="1" si="5"/>
        <v/>
      </c>
      <c r="BI28">
        <f t="shared" ca="1" si="6"/>
        <v>0</v>
      </c>
      <c r="BJ28" t="str">
        <f t="shared" ca="1" si="7"/>
        <v/>
      </c>
      <c r="BK28">
        <f t="shared" ca="1" si="8"/>
        <v>0</v>
      </c>
      <c r="BL28" t="str">
        <f t="shared" ca="1" si="9"/>
        <v/>
      </c>
      <c r="BM28">
        <f t="shared" ca="1" si="10"/>
        <v>0</v>
      </c>
      <c r="BN28" t="str">
        <f t="shared" ca="1" si="11"/>
        <v/>
      </c>
      <c r="BO28">
        <f t="shared" ca="1" si="12"/>
        <v>0</v>
      </c>
      <c r="BP28" t="str">
        <f t="shared" ca="1" si="13"/>
        <v/>
      </c>
      <c r="BQ28">
        <f t="shared" ca="1" si="14"/>
        <v>0</v>
      </c>
      <c r="BR28" t="str">
        <f t="shared" ca="1" si="15"/>
        <v/>
      </c>
      <c r="BS28">
        <f t="shared" ca="1" si="16"/>
        <v>0</v>
      </c>
      <c r="BT28" t="str">
        <f t="shared" ca="1" si="17"/>
        <v/>
      </c>
      <c r="BU28">
        <f t="shared" ca="1" si="18"/>
        <v>0</v>
      </c>
      <c r="BV28" t="str">
        <f t="shared" ca="1" si="19"/>
        <v/>
      </c>
      <c r="BW28">
        <f t="shared" ca="1" si="20"/>
        <v>0</v>
      </c>
      <c r="BX28" t="str">
        <f t="shared" ca="1" si="21"/>
        <v/>
      </c>
      <c r="BY28">
        <f t="shared" ca="1" si="22"/>
        <v>0</v>
      </c>
      <c r="BZ28" t="str">
        <f t="shared" ca="1" si="23"/>
        <v/>
      </c>
      <c r="CA28">
        <f t="shared" ca="1" si="24"/>
        <v>0</v>
      </c>
      <c r="CB28" t="str">
        <f t="shared" ca="1" si="25"/>
        <v/>
      </c>
      <c r="CC28">
        <f t="shared" ca="1" si="26"/>
        <v>0</v>
      </c>
    </row>
    <row r="29" spans="2:81" ht="14.25" customHeight="1" x14ac:dyDescent="0.3">
      <c r="B29" s="51">
        <f t="shared" si="0"/>
        <v>26</v>
      </c>
      <c r="C29" s="52" t="s">
        <v>96</v>
      </c>
      <c r="D29" s="16">
        <f>'Member Wise Deposit Summary'!D29</f>
        <v>1865394799</v>
      </c>
      <c r="E29" s="52">
        <v>3</v>
      </c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3"/>
      <c r="AY29" s="52"/>
      <c r="AZ29" s="52"/>
      <c r="BA29" s="52"/>
      <c r="BB29" s="52">
        <f t="shared" si="1"/>
        <v>0</v>
      </c>
      <c r="BC29" s="52">
        <f t="shared" si="2"/>
        <v>0</v>
      </c>
      <c r="BE29">
        <f ca="1">'Monthly Collection-2027'!CC29</f>
        <v>0</v>
      </c>
      <c r="BF29" t="str">
        <f t="shared" ca="1" si="3"/>
        <v/>
      </c>
      <c r="BG29">
        <f t="shared" ca="1" si="4"/>
        <v>0</v>
      </c>
      <c r="BH29" t="str">
        <f t="shared" ca="1" si="5"/>
        <v/>
      </c>
      <c r="BI29">
        <f t="shared" ca="1" si="6"/>
        <v>0</v>
      </c>
      <c r="BJ29" t="str">
        <f t="shared" ca="1" si="7"/>
        <v/>
      </c>
      <c r="BK29">
        <f t="shared" ca="1" si="8"/>
        <v>0</v>
      </c>
      <c r="BL29" t="str">
        <f t="shared" ca="1" si="9"/>
        <v/>
      </c>
      <c r="BM29">
        <f t="shared" ca="1" si="10"/>
        <v>0</v>
      </c>
      <c r="BN29" t="str">
        <f t="shared" ca="1" si="11"/>
        <v/>
      </c>
      <c r="BO29">
        <f t="shared" ca="1" si="12"/>
        <v>0</v>
      </c>
      <c r="BP29" t="str">
        <f t="shared" ca="1" si="13"/>
        <v/>
      </c>
      <c r="BQ29">
        <f t="shared" ca="1" si="14"/>
        <v>0</v>
      </c>
      <c r="BR29" t="str">
        <f t="shared" ca="1" si="15"/>
        <v/>
      </c>
      <c r="BS29">
        <f t="shared" ca="1" si="16"/>
        <v>0</v>
      </c>
      <c r="BT29" t="str">
        <f t="shared" ca="1" si="17"/>
        <v/>
      </c>
      <c r="BU29">
        <f t="shared" ca="1" si="18"/>
        <v>0</v>
      </c>
      <c r="BV29" t="str">
        <f t="shared" ca="1" si="19"/>
        <v/>
      </c>
      <c r="BW29">
        <f t="shared" ca="1" si="20"/>
        <v>0</v>
      </c>
      <c r="BX29" t="str">
        <f t="shared" ca="1" si="21"/>
        <v/>
      </c>
      <c r="BY29">
        <f t="shared" ca="1" si="22"/>
        <v>0</v>
      </c>
      <c r="BZ29" t="str">
        <f t="shared" ca="1" si="23"/>
        <v/>
      </c>
      <c r="CA29">
        <f t="shared" ca="1" si="24"/>
        <v>0</v>
      </c>
      <c r="CB29" t="str">
        <f t="shared" ca="1" si="25"/>
        <v/>
      </c>
      <c r="CC29">
        <f t="shared" ca="1" si="26"/>
        <v>0</v>
      </c>
    </row>
    <row r="30" spans="2:81" ht="14.25" customHeight="1" x14ac:dyDescent="0.3">
      <c r="B30" s="55">
        <f t="shared" si="0"/>
        <v>27</v>
      </c>
      <c r="C30" s="56" t="s">
        <v>97</v>
      </c>
      <c r="D30" s="12">
        <f>'Member Wise Deposit Summary'!D30</f>
        <v>1882217274</v>
      </c>
      <c r="E30" s="56">
        <v>1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7"/>
      <c r="AY30" s="56"/>
      <c r="AZ30" s="56"/>
      <c r="BA30" s="56"/>
      <c r="BB30" s="56">
        <f t="shared" si="1"/>
        <v>0</v>
      </c>
      <c r="BC30" s="56">
        <f t="shared" si="2"/>
        <v>0</v>
      </c>
      <c r="BE30">
        <f ca="1">'Monthly Collection-2027'!CC30</f>
        <v>0</v>
      </c>
      <c r="BF30" t="str">
        <f t="shared" ca="1" si="3"/>
        <v/>
      </c>
      <c r="BG30">
        <f t="shared" ca="1" si="4"/>
        <v>0</v>
      </c>
      <c r="BH30" t="str">
        <f t="shared" ca="1" si="5"/>
        <v/>
      </c>
      <c r="BI30">
        <f t="shared" ca="1" si="6"/>
        <v>0</v>
      </c>
      <c r="BJ30" t="str">
        <f t="shared" ca="1" si="7"/>
        <v/>
      </c>
      <c r="BK30">
        <f t="shared" ca="1" si="8"/>
        <v>0</v>
      </c>
      <c r="BL30" t="str">
        <f t="shared" ca="1" si="9"/>
        <v/>
      </c>
      <c r="BM30">
        <f t="shared" ca="1" si="10"/>
        <v>0</v>
      </c>
      <c r="BN30" t="str">
        <f t="shared" ca="1" si="11"/>
        <v/>
      </c>
      <c r="BO30">
        <f t="shared" ca="1" si="12"/>
        <v>0</v>
      </c>
      <c r="BP30" t="str">
        <f t="shared" ca="1" si="13"/>
        <v/>
      </c>
      <c r="BQ30">
        <f t="shared" ca="1" si="14"/>
        <v>0</v>
      </c>
      <c r="BR30" t="str">
        <f t="shared" ca="1" si="15"/>
        <v/>
      </c>
      <c r="BS30">
        <f t="shared" ca="1" si="16"/>
        <v>0</v>
      </c>
      <c r="BT30" t="str">
        <f t="shared" ca="1" si="17"/>
        <v/>
      </c>
      <c r="BU30">
        <f t="shared" ca="1" si="18"/>
        <v>0</v>
      </c>
      <c r="BV30" t="str">
        <f t="shared" ca="1" si="19"/>
        <v/>
      </c>
      <c r="BW30">
        <f t="shared" ca="1" si="20"/>
        <v>0</v>
      </c>
      <c r="BX30" t="str">
        <f t="shared" ca="1" si="21"/>
        <v/>
      </c>
      <c r="BY30">
        <f t="shared" ca="1" si="22"/>
        <v>0</v>
      </c>
      <c r="BZ30" t="str">
        <f t="shared" ca="1" si="23"/>
        <v/>
      </c>
      <c r="CA30">
        <f t="shared" ca="1" si="24"/>
        <v>0</v>
      </c>
      <c r="CB30" t="str">
        <f t="shared" ca="1" si="25"/>
        <v/>
      </c>
      <c r="CC30">
        <f t="shared" ca="1" si="26"/>
        <v>0</v>
      </c>
    </row>
    <row r="31" spans="2:81" ht="14.25" customHeight="1" x14ac:dyDescent="0.3">
      <c r="B31" s="51">
        <f t="shared" si="0"/>
        <v>28</v>
      </c>
      <c r="C31" s="52" t="s">
        <v>98</v>
      </c>
      <c r="D31" s="16" t="str">
        <f>'Member Wise Deposit Summary'!D31</f>
        <v>00971527120848</v>
      </c>
      <c r="E31" s="52">
        <v>1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3"/>
      <c r="AY31" s="52"/>
      <c r="AZ31" s="52"/>
      <c r="BA31" s="52"/>
      <c r="BB31" s="52">
        <f t="shared" si="1"/>
        <v>0</v>
      </c>
      <c r="BC31" s="52">
        <f t="shared" si="2"/>
        <v>0</v>
      </c>
      <c r="BE31">
        <f ca="1">'Monthly Collection-2027'!CC31</f>
        <v>0</v>
      </c>
      <c r="BF31" t="str">
        <f t="shared" ca="1" si="3"/>
        <v/>
      </c>
      <c r="BG31">
        <f t="shared" ca="1" si="4"/>
        <v>0</v>
      </c>
      <c r="BH31" t="str">
        <f t="shared" ca="1" si="5"/>
        <v/>
      </c>
      <c r="BI31">
        <f t="shared" ca="1" si="6"/>
        <v>0</v>
      </c>
      <c r="BJ31" t="str">
        <f t="shared" ca="1" si="7"/>
        <v/>
      </c>
      <c r="BK31">
        <f t="shared" ca="1" si="8"/>
        <v>0</v>
      </c>
      <c r="BL31" t="str">
        <f t="shared" ca="1" si="9"/>
        <v/>
      </c>
      <c r="BM31">
        <f t="shared" ca="1" si="10"/>
        <v>0</v>
      </c>
      <c r="BN31" t="str">
        <f t="shared" ca="1" si="11"/>
        <v/>
      </c>
      <c r="BO31">
        <f t="shared" ca="1" si="12"/>
        <v>0</v>
      </c>
      <c r="BP31" t="str">
        <f t="shared" ca="1" si="13"/>
        <v/>
      </c>
      <c r="BQ31">
        <f t="shared" ca="1" si="14"/>
        <v>0</v>
      </c>
      <c r="BR31" t="str">
        <f t="shared" ca="1" si="15"/>
        <v/>
      </c>
      <c r="BS31">
        <f t="shared" ca="1" si="16"/>
        <v>0</v>
      </c>
      <c r="BT31" t="str">
        <f t="shared" ca="1" si="17"/>
        <v/>
      </c>
      <c r="BU31">
        <f t="shared" ca="1" si="18"/>
        <v>0</v>
      </c>
      <c r="BV31" t="str">
        <f t="shared" ca="1" si="19"/>
        <v/>
      </c>
      <c r="BW31">
        <f t="shared" ca="1" si="20"/>
        <v>0</v>
      </c>
      <c r="BX31" t="str">
        <f t="shared" ca="1" si="21"/>
        <v/>
      </c>
      <c r="BY31">
        <f t="shared" ca="1" si="22"/>
        <v>0</v>
      </c>
      <c r="BZ31" t="str">
        <f t="shared" ca="1" si="23"/>
        <v/>
      </c>
      <c r="CA31">
        <f t="shared" ca="1" si="24"/>
        <v>0</v>
      </c>
      <c r="CB31" t="str">
        <f t="shared" ca="1" si="25"/>
        <v/>
      </c>
      <c r="CC31">
        <f t="shared" ca="1" si="26"/>
        <v>0</v>
      </c>
    </row>
    <row r="32" spans="2:81" ht="14.25" customHeight="1" x14ac:dyDescent="0.3">
      <c r="B32" s="55">
        <f t="shared" si="0"/>
        <v>29</v>
      </c>
      <c r="C32" s="56" t="s">
        <v>99</v>
      </c>
      <c r="D32" s="12">
        <f>'Member Wise Deposit Summary'!D32</f>
        <v>1883033042</v>
      </c>
      <c r="E32" s="56">
        <v>1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7"/>
      <c r="AY32" s="56"/>
      <c r="AZ32" s="56"/>
      <c r="BA32" s="56"/>
      <c r="BB32" s="56">
        <f t="shared" si="1"/>
        <v>0</v>
      </c>
      <c r="BC32" s="56">
        <f t="shared" si="2"/>
        <v>0</v>
      </c>
      <c r="BE32">
        <f ca="1">'Monthly Collection-2027'!CC32</f>
        <v>0</v>
      </c>
      <c r="BF32" t="str">
        <f t="shared" ca="1" si="3"/>
        <v/>
      </c>
      <c r="BG32">
        <f t="shared" ca="1" si="4"/>
        <v>0</v>
      </c>
      <c r="BH32" t="str">
        <f t="shared" ca="1" si="5"/>
        <v/>
      </c>
      <c r="BI32">
        <f t="shared" ca="1" si="6"/>
        <v>0</v>
      </c>
      <c r="BJ32" t="str">
        <f t="shared" ca="1" si="7"/>
        <v/>
      </c>
      <c r="BK32">
        <f t="shared" ca="1" si="8"/>
        <v>0</v>
      </c>
      <c r="BL32" t="str">
        <f t="shared" ca="1" si="9"/>
        <v/>
      </c>
      <c r="BM32">
        <f t="shared" ca="1" si="10"/>
        <v>0</v>
      </c>
      <c r="BN32" t="str">
        <f t="shared" ca="1" si="11"/>
        <v/>
      </c>
      <c r="BO32">
        <f t="shared" ca="1" si="12"/>
        <v>0</v>
      </c>
      <c r="BP32" t="str">
        <f t="shared" ca="1" si="13"/>
        <v/>
      </c>
      <c r="BQ32">
        <f t="shared" ca="1" si="14"/>
        <v>0</v>
      </c>
      <c r="BR32" t="str">
        <f t="shared" ca="1" si="15"/>
        <v/>
      </c>
      <c r="BS32">
        <f t="shared" ca="1" si="16"/>
        <v>0</v>
      </c>
      <c r="BT32" t="str">
        <f t="shared" ca="1" si="17"/>
        <v/>
      </c>
      <c r="BU32">
        <f t="shared" ca="1" si="18"/>
        <v>0</v>
      </c>
      <c r="BV32" t="str">
        <f t="shared" ca="1" si="19"/>
        <v/>
      </c>
      <c r="BW32">
        <f t="shared" ca="1" si="20"/>
        <v>0</v>
      </c>
      <c r="BX32" t="str">
        <f t="shared" ca="1" si="21"/>
        <v/>
      </c>
      <c r="BY32">
        <f t="shared" ca="1" si="22"/>
        <v>0</v>
      </c>
      <c r="BZ32" t="str">
        <f t="shared" ca="1" si="23"/>
        <v/>
      </c>
      <c r="CA32">
        <f t="shared" ca="1" si="24"/>
        <v>0</v>
      </c>
      <c r="CB32" t="str">
        <f t="shared" ca="1" si="25"/>
        <v/>
      </c>
      <c r="CC32">
        <f t="shared" ca="1" si="26"/>
        <v>0</v>
      </c>
    </row>
    <row r="33" spans="2:81" ht="14.25" customHeight="1" x14ac:dyDescent="0.3">
      <c r="B33" s="51">
        <f t="shared" si="0"/>
        <v>30</v>
      </c>
      <c r="C33" s="52" t="s">
        <v>100</v>
      </c>
      <c r="D33" s="16">
        <f>'Member Wise Deposit Summary'!D33</f>
        <v>966562024068</v>
      </c>
      <c r="E33" s="52">
        <v>2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3"/>
      <c r="AY33" s="52"/>
      <c r="AZ33" s="52"/>
      <c r="BA33" s="52"/>
      <c r="BB33" s="52">
        <f t="shared" si="1"/>
        <v>0</v>
      </c>
      <c r="BC33" s="52">
        <f t="shared" si="2"/>
        <v>0</v>
      </c>
      <c r="BE33">
        <f ca="1">'Monthly Collection-2027'!CC33</f>
        <v>0</v>
      </c>
      <c r="BF33" t="str">
        <f t="shared" ca="1" si="3"/>
        <v/>
      </c>
      <c r="BG33">
        <f t="shared" ca="1" si="4"/>
        <v>0</v>
      </c>
      <c r="BH33" t="str">
        <f t="shared" ca="1" si="5"/>
        <v/>
      </c>
      <c r="BI33">
        <f t="shared" ca="1" si="6"/>
        <v>0</v>
      </c>
      <c r="BJ33" t="str">
        <f t="shared" ca="1" si="7"/>
        <v/>
      </c>
      <c r="BK33">
        <f t="shared" ca="1" si="8"/>
        <v>0</v>
      </c>
      <c r="BL33" t="str">
        <f t="shared" ca="1" si="9"/>
        <v/>
      </c>
      <c r="BM33">
        <f t="shared" ca="1" si="10"/>
        <v>0</v>
      </c>
      <c r="BN33" t="str">
        <f t="shared" ca="1" si="11"/>
        <v/>
      </c>
      <c r="BO33">
        <f t="shared" ca="1" si="12"/>
        <v>0</v>
      </c>
      <c r="BP33" t="str">
        <f t="shared" ca="1" si="13"/>
        <v/>
      </c>
      <c r="BQ33">
        <f t="shared" ca="1" si="14"/>
        <v>0</v>
      </c>
      <c r="BR33" t="str">
        <f t="shared" ca="1" si="15"/>
        <v/>
      </c>
      <c r="BS33">
        <f t="shared" ca="1" si="16"/>
        <v>0</v>
      </c>
      <c r="BT33" t="str">
        <f t="shared" ca="1" si="17"/>
        <v/>
      </c>
      <c r="BU33">
        <f t="shared" ca="1" si="18"/>
        <v>0</v>
      </c>
      <c r="BV33" t="str">
        <f t="shared" ca="1" si="19"/>
        <v/>
      </c>
      <c r="BW33">
        <f t="shared" ca="1" si="20"/>
        <v>0</v>
      </c>
      <c r="BX33" t="str">
        <f t="shared" ca="1" si="21"/>
        <v/>
      </c>
      <c r="BY33">
        <f t="shared" ca="1" si="22"/>
        <v>0</v>
      </c>
      <c r="BZ33" t="str">
        <f t="shared" ca="1" si="23"/>
        <v/>
      </c>
      <c r="CA33">
        <f t="shared" ca="1" si="24"/>
        <v>0</v>
      </c>
      <c r="CB33" t="str">
        <f t="shared" ca="1" si="25"/>
        <v/>
      </c>
      <c r="CC33">
        <f t="shared" ca="1" si="26"/>
        <v>0</v>
      </c>
    </row>
    <row r="34" spans="2:81" ht="14.25" customHeight="1" x14ac:dyDescent="0.3">
      <c r="B34" s="55">
        <f t="shared" si="0"/>
        <v>31</v>
      </c>
      <c r="C34" s="56" t="s">
        <v>101</v>
      </c>
      <c r="D34" s="19">
        <f>'Member Wise Deposit Summary'!D34</f>
        <v>966549955548</v>
      </c>
      <c r="E34" s="56">
        <v>2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/>
      <c r="AY34" s="56"/>
      <c r="AZ34" s="56"/>
      <c r="BA34" s="56"/>
      <c r="BB34" s="56">
        <f t="shared" si="1"/>
        <v>0</v>
      </c>
      <c r="BC34" s="56">
        <f t="shared" si="2"/>
        <v>0</v>
      </c>
      <c r="BE34">
        <f ca="1">'Monthly Collection-2027'!CC34</f>
        <v>0</v>
      </c>
      <c r="BF34" t="str">
        <f t="shared" ca="1" si="3"/>
        <v/>
      </c>
      <c r="BG34">
        <f t="shared" ca="1" si="4"/>
        <v>0</v>
      </c>
      <c r="BH34" t="str">
        <f t="shared" ca="1" si="5"/>
        <v/>
      </c>
      <c r="BI34">
        <f t="shared" ca="1" si="6"/>
        <v>0</v>
      </c>
      <c r="BJ34" t="str">
        <f t="shared" ca="1" si="7"/>
        <v/>
      </c>
      <c r="BK34">
        <f t="shared" ca="1" si="8"/>
        <v>0</v>
      </c>
      <c r="BL34" t="str">
        <f t="shared" ca="1" si="9"/>
        <v/>
      </c>
      <c r="BM34">
        <f t="shared" ca="1" si="10"/>
        <v>0</v>
      </c>
      <c r="BN34" t="str">
        <f t="shared" ca="1" si="11"/>
        <v/>
      </c>
      <c r="BO34">
        <f t="shared" ca="1" si="12"/>
        <v>0</v>
      </c>
      <c r="BP34" t="str">
        <f t="shared" ca="1" si="13"/>
        <v/>
      </c>
      <c r="BQ34">
        <f t="shared" ca="1" si="14"/>
        <v>0</v>
      </c>
      <c r="BR34" t="str">
        <f t="shared" ca="1" si="15"/>
        <v/>
      </c>
      <c r="BS34">
        <f t="shared" ca="1" si="16"/>
        <v>0</v>
      </c>
      <c r="BT34" t="str">
        <f t="shared" ca="1" si="17"/>
        <v/>
      </c>
      <c r="BU34">
        <f t="shared" ca="1" si="18"/>
        <v>0</v>
      </c>
      <c r="BV34" t="str">
        <f t="shared" ca="1" si="19"/>
        <v/>
      </c>
      <c r="BW34">
        <f t="shared" ca="1" si="20"/>
        <v>0</v>
      </c>
      <c r="BX34" t="str">
        <f t="shared" ca="1" si="21"/>
        <v/>
      </c>
      <c r="BY34">
        <f t="shared" ca="1" si="22"/>
        <v>0</v>
      </c>
      <c r="BZ34" t="str">
        <f t="shared" ca="1" si="23"/>
        <v/>
      </c>
      <c r="CA34">
        <f t="shared" ca="1" si="24"/>
        <v>0</v>
      </c>
      <c r="CB34" t="str">
        <f t="shared" ca="1" si="25"/>
        <v/>
      </c>
      <c r="CC34">
        <f t="shared" ca="1" si="26"/>
        <v>0</v>
      </c>
    </row>
    <row r="35" spans="2:81" ht="14.25" customHeight="1" x14ac:dyDescent="0.3">
      <c r="B35" s="51">
        <f t="shared" si="0"/>
        <v>32</v>
      </c>
      <c r="C35" s="52" t="s">
        <v>102</v>
      </c>
      <c r="D35" s="16">
        <f>'Member Wise Deposit Summary'!D35</f>
        <v>1822020050</v>
      </c>
      <c r="E35" s="52">
        <v>2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3"/>
      <c r="AY35" s="52"/>
      <c r="AZ35" s="52"/>
      <c r="BA35" s="52"/>
      <c r="BB35" s="52">
        <f t="shared" si="1"/>
        <v>0</v>
      </c>
      <c r="BC35" s="52">
        <f t="shared" si="2"/>
        <v>0</v>
      </c>
      <c r="BE35">
        <f ca="1">'Monthly Collection-2027'!CC35</f>
        <v>0</v>
      </c>
      <c r="BF35" t="str">
        <f t="shared" ca="1" si="3"/>
        <v/>
      </c>
      <c r="BG35">
        <f t="shared" ca="1" si="4"/>
        <v>0</v>
      </c>
      <c r="BH35" t="str">
        <f t="shared" ca="1" si="5"/>
        <v/>
      </c>
      <c r="BI35">
        <f t="shared" ca="1" si="6"/>
        <v>0</v>
      </c>
      <c r="BJ35" t="str">
        <f t="shared" ca="1" si="7"/>
        <v/>
      </c>
      <c r="BK35">
        <f t="shared" ca="1" si="8"/>
        <v>0</v>
      </c>
      <c r="BL35" t="str">
        <f t="shared" ca="1" si="9"/>
        <v/>
      </c>
      <c r="BM35">
        <f t="shared" ca="1" si="10"/>
        <v>0</v>
      </c>
      <c r="BN35" t="str">
        <f t="shared" ca="1" si="11"/>
        <v/>
      </c>
      <c r="BO35">
        <f t="shared" ca="1" si="12"/>
        <v>0</v>
      </c>
      <c r="BP35" t="str">
        <f t="shared" ca="1" si="13"/>
        <v/>
      </c>
      <c r="BQ35">
        <f t="shared" ca="1" si="14"/>
        <v>0</v>
      </c>
      <c r="BR35" t="str">
        <f t="shared" ca="1" si="15"/>
        <v/>
      </c>
      <c r="BS35">
        <f t="shared" ca="1" si="16"/>
        <v>0</v>
      </c>
      <c r="BT35" t="str">
        <f t="shared" ca="1" si="17"/>
        <v/>
      </c>
      <c r="BU35">
        <f t="shared" ca="1" si="18"/>
        <v>0</v>
      </c>
      <c r="BV35" t="str">
        <f t="shared" ca="1" si="19"/>
        <v/>
      </c>
      <c r="BW35">
        <f t="shared" ca="1" si="20"/>
        <v>0</v>
      </c>
      <c r="BX35" t="str">
        <f t="shared" ca="1" si="21"/>
        <v/>
      </c>
      <c r="BY35">
        <f t="shared" ca="1" si="22"/>
        <v>0</v>
      </c>
      <c r="BZ35" t="str">
        <f t="shared" ca="1" si="23"/>
        <v/>
      </c>
      <c r="CA35">
        <f t="shared" ca="1" si="24"/>
        <v>0</v>
      </c>
      <c r="CB35" t="str">
        <f t="shared" ca="1" si="25"/>
        <v/>
      </c>
      <c r="CC35">
        <f t="shared" ca="1" si="26"/>
        <v>0</v>
      </c>
    </row>
    <row r="36" spans="2:81" ht="14.25" customHeight="1" x14ac:dyDescent="0.3">
      <c r="B36" s="55">
        <f t="shared" ref="B36:B67" si="27">ROW()-3</f>
        <v>33</v>
      </c>
      <c r="C36" s="56" t="s">
        <v>103</v>
      </c>
      <c r="D36" s="12">
        <f>'Member Wise Deposit Summary'!D36</f>
        <v>1831797810</v>
      </c>
      <c r="E36" s="56">
        <v>1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7"/>
      <c r="AY36" s="56"/>
      <c r="AZ36" s="56"/>
      <c r="BA36" s="56"/>
      <c r="BB36" s="56">
        <f t="shared" ref="BB36:BB67" si="28">F36+G36+H36+J36+K36+L36+N36+O36+P36+R36+S36+T36+V36+W36+X36+Z36+AA36+AB36+AD36+AE36+AF36+AH36+AI36+AJ36+AL36+AM36+AN36+AP36+AQ36+AR36+AT36+AU36+AV36+AX36+AY36+AZ36</f>
        <v>0</v>
      </c>
      <c r="BC36" s="56">
        <f t="shared" ref="BC36:BC67" si="29">I36+M36+Q36+U36+Y36+AC36+AG36+AK36+AO36+AS36+AW36+BA36</f>
        <v>0</v>
      </c>
      <c r="BE36">
        <f ca="1">'Monthly Collection-2027'!CC36</f>
        <v>0</v>
      </c>
      <c r="BF36" t="str">
        <f t="shared" ref="BF36:BF67" ca="1" si="30">IF(N(F36)&gt;=$E36*1000,"",IF(AND($E36&gt;0,BE36&gt;=$E36*1000),"G",IF(F$2&lt;=TODAY(),"R","")))</f>
        <v/>
      </c>
      <c r="BG36">
        <f t="shared" ref="BG36:BG67" ca="1" si="31">BE36-IF(BF36="G",$E36*1000,0)+N(G36)</f>
        <v>0</v>
      </c>
      <c r="BH36" t="str">
        <f t="shared" ref="BH36:BH67" ca="1" si="32">IF(N(J36)&gt;=$E36*1000,"",IF(AND($E36&gt;0,BG36&gt;=$E36*1000),"G",IF(J$2&lt;=TODAY(),"R","")))</f>
        <v/>
      </c>
      <c r="BI36">
        <f t="shared" ref="BI36:BI67" ca="1" si="33">BG36-IF(BH36="G",$E36*1000,0)+N(K36)</f>
        <v>0</v>
      </c>
      <c r="BJ36" t="str">
        <f t="shared" ref="BJ36:BJ67" ca="1" si="34">IF(N(N36)&gt;=$E36*1000,"",IF(AND($E36&gt;0,BI36&gt;=$E36*1000),"G",IF(N$2&lt;=TODAY(),"R","")))</f>
        <v/>
      </c>
      <c r="BK36">
        <f t="shared" ref="BK36:BK67" ca="1" si="35">BI36-IF(BJ36="G",$E36*1000,0)+N(O36)</f>
        <v>0</v>
      </c>
      <c r="BL36" t="str">
        <f t="shared" ref="BL36:BL67" ca="1" si="36">IF(N(R36)&gt;=$E36*1000,"",IF(AND($E36&gt;0,BK36&gt;=$E36*1000),"G",IF(R$2&lt;=TODAY(),"R","")))</f>
        <v/>
      </c>
      <c r="BM36">
        <f t="shared" ref="BM36:BM67" ca="1" si="37">BK36-IF(BL36="G",$E36*1000,0)+N(S36)</f>
        <v>0</v>
      </c>
      <c r="BN36" t="str">
        <f t="shared" ref="BN36:BN67" ca="1" si="38">IF(N(V36)&gt;=$E36*1000,"",IF(AND($E36&gt;0,BM36&gt;=$E36*1000),"G",IF(V$2&lt;=TODAY(),"R","")))</f>
        <v/>
      </c>
      <c r="BO36">
        <f t="shared" ref="BO36:BO67" ca="1" si="39">BM36-IF(BN36="G",$E36*1000,0)+N(W36)</f>
        <v>0</v>
      </c>
      <c r="BP36" t="str">
        <f t="shared" ref="BP36:BP67" ca="1" si="40">IF(N(Z36)&gt;=$E36*1000,"",IF(AND($E36&gt;0,BO36&gt;=$E36*1000),"G",IF(Z$2&lt;=TODAY(),"R","")))</f>
        <v/>
      </c>
      <c r="BQ36">
        <f t="shared" ref="BQ36:BQ67" ca="1" si="41">BO36-IF(BP36="G",$E36*1000,0)+N(AA36)</f>
        <v>0</v>
      </c>
      <c r="BR36" t="str">
        <f t="shared" ref="BR36:BR67" ca="1" si="42">IF(N(AD36)&gt;=$E36*1000,"",IF(AND($E36&gt;0,BQ36&gt;=$E36*1000),"G",IF(AD$2&lt;=TODAY(),"R","")))</f>
        <v/>
      </c>
      <c r="BS36">
        <f t="shared" ref="BS36:BS67" ca="1" si="43">BQ36-IF(BR36="G",$E36*1000,0)+N(AE36)</f>
        <v>0</v>
      </c>
      <c r="BT36" t="str">
        <f t="shared" ref="BT36:BT67" ca="1" si="44">IF(N(AH36)&gt;=$E36*1000,"",IF(AND($E36&gt;0,BS36&gt;=$E36*1000),"G",IF(AH$2&lt;=TODAY(),"R","")))</f>
        <v/>
      </c>
      <c r="BU36">
        <f t="shared" ref="BU36:BU67" ca="1" si="45">BS36-IF(BT36="G",$E36*1000,0)+N(AI36)</f>
        <v>0</v>
      </c>
      <c r="BV36" t="str">
        <f t="shared" ref="BV36:BV67" ca="1" si="46">IF(N(AL36)&gt;=$E36*1000,"",IF(AND($E36&gt;0,BU36&gt;=$E36*1000),"G",IF(AL$2&lt;=TODAY(),"R","")))</f>
        <v/>
      </c>
      <c r="BW36">
        <f t="shared" ref="BW36:BW67" ca="1" si="47">BU36-IF(BV36="G",$E36*1000,0)+N(AM36)</f>
        <v>0</v>
      </c>
      <c r="BX36" t="str">
        <f t="shared" ref="BX36:BX67" ca="1" si="48">IF(N(AP36)&gt;=$E36*1000,"",IF(AND($E36&gt;0,BW36&gt;=$E36*1000),"G",IF(AP$2&lt;=TODAY(),"R","")))</f>
        <v/>
      </c>
      <c r="BY36">
        <f t="shared" ref="BY36:BY67" ca="1" si="49">BW36-IF(BX36="G",$E36*1000,0)+N(AQ36)</f>
        <v>0</v>
      </c>
      <c r="BZ36" t="str">
        <f t="shared" ref="BZ36:BZ67" ca="1" si="50">IF(N(AT36)&gt;=$E36*1000,"",IF(AND($E36&gt;0,BY36&gt;=$E36*1000),"G",IF(AT$2&lt;=TODAY(),"R","")))</f>
        <v/>
      </c>
      <c r="CA36">
        <f t="shared" ref="CA36:CA67" ca="1" si="51">BY36-IF(BZ36="G",$E36*1000,0)+N(AU36)</f>
        <v>0</v>
      </c>
      <c r="CB36" t="str">
        <f t="shared" ref="CB36:CB67" ca="1" si="52">IF(N(AX36)&gt;=$E36*1000,"",IF(AND($E36&gt;0,CA36&gt;=$E36*1000),"G",IF(AX$2&lt;=TODAY(),"R","")))</f>
        <v/>
      </c>
      <c r="CC36">
        <f t="shared" ref="CC36:CC67" ca="1" si="53">CA36-IF(CB36="G",$E36*1000,0)+N(AY36)</f>
        <v>0</v>
      </c>
    </row>
    <row r="37" spans="2:81" ht="14.25" customHeight="1" x14ac:dyDescent="0.3">
      <c r="B37" s="51">
        <f t="shared" si="27"/>
        <v>34</v>
      </c>
      <c r="C37" s="52" t="s">
        <v>104</v>
      </c>
      <c r="D37" s="18">
        <f>'Member Wise Deposit Summary'!D37</f>
        <v>971562663270</v>
      </c>
      <c r="E37" s="52">
        <v>1</v>
      </c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3"/>
      <c r="AY37" s="52"/>
      <c r="AZ37" s="52"/>
      <c r="BA37" s="52"/>
      <c r="BB37" s="52">
        <f t="shared" si="28"/>
        <v>0</v>
      </c>
      <c r="BC37" s="52">
        <f t="shared" si="29"/>
        <v>0</v>
      </c>
      <c r="BE37">
        <f ca="1">'Monthly Collection-2027'!CC37</f>
        <v>0</v>
      </c>
      <c r="BF37" t="str">
        <f t="shared" ca="1" si="30"/>
        <v/>
      </c>
      <c r="BG37">
        <f t="shared" ca="1" si="31"/>
        <v>0</v>
      </c>
      <c r="BH37" t="str">
        <f t="shared" ca="1" si="32"/>
        <v/>
      </c>
      <c r="BI37">
        <f t="shared" ca="1" si="33"/>
        <v>0</v>
      </c>
      <c r="BJ37" t="str">
        <f t="shared" ca="1" si="34"/>
        <v/>
      </c>
      <c r="BK37">
        <f t="shared" ca="1" si="35"/>
        <v>0</v>
      </c>
      <c r="BL37" t="str">
        <f t="shared" ca="1" si="36"/>
        <v/>
      </c>
      <c r="BM37">
        <f t="shared" ca="1" si="37"/>
        <v>0</v>
      </c>
      <c r="BN37" t="str">
        <f t="shared" ca="1" si="38"/>
        <v/>
      </c>
      <c r="BO37">
        <f t="shared" ca="1" si="39"/>
        <v>0</v>
      </c>
      <c r="BP37" t="str">
        <f t="shared" ca="1" si="40"/>
        <v/>
      </c>
      <c r="BQ37">
        <f t="shared" ca="1" si="41"/>
        <v>0</v>
      </c>
      <c r="BR37" t="str">
        <f t="shared" ca="1" si="42"/>
        <v/>
      </c>
      <c r="BS37">
        <f t="shared" ca="1" si="43"/>
        <v>0</v>
      </c>
      <c r="BT37" t="str">
        <f t="shared" ca="1" si="44"/>
        <v/>
      </c>
      <c r="BU37">
        <f t="shared" ca="1" si="45"/>
        <v>0</v>
      </c>
      <c r="BV37" t="str">
        <f t="shared" ca="1" si="46"/>
        <v/>
      </c>
      <c r="BW37">
        <f t="shared" ca="1" si="47"/>
        <v>0</v>
      </c>
      <c r="BX37" t="str">
        <f t="shared" ca="1" si="48"/>
        <v/>
      </c>
      <c r="BY37">
        <f t="shared" ca="1" si="49"/>
        <v>0</v>
      </c>
      <c r="BZ37" t="str">
        <f t="shared" ca="1" si="50"/>
        <v/>
      </c>
      <c r="CA37">
        <f t="shared" ca="1" si="51"/>
        <v>0</v>
      </c>
      <c r="CB37" t="str">
        <f t="shared" ca="1" si="52"/>
        <v/>
      </c>
      <c r="CC37">
        <f t="shared" ca="1" si="53"/>
        <v>0</v>
      </c>
    </row>
    <row r="38" spans="2:81" ht="14.25" customHeight="1" x14ac:dyDescent="0.3">
      <c r="B38" s="55">
        <f t="shared" si="27"/>
        <v>35</v>
      </c>
      <c r="C38" s="56" t="s">
        <v>105</v>
      </c>
      <c r="D38" s="12">
        <f>'Member Wise Deposit Summary'!D38</f>
        <v>1873808231</v>
      </c>
      <c r="E38" s="56">
        <v>2</v>
      </c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7"/>
      <c r="AY38" s="56"/>
      <c r="AZ38" s="56"/>
      <c r="BA38" s="56"/>
      <c r="BB38" s="56">
        <f t="shared" si="28"/>
        <v>0</v>
      </c>
      <c r="BC38" s="56">
        <f t="shared" si="29"/>
        <v>0</v>
      </c>
      <c r="BE38">
        <f ca="1">'Monthly Collection-2027'!CC38</f>
        <v>0</v>
      </c>
      <c r="BF38" t="str">
        <f t="shared" ca="1" si="30"/>
        <v/>
      </c>
      <c r="BG38">
        <f t="shared" ca="1" si="31"/>
        <v>0</v>
      </c>
      <c r="BH38" t="str">
        <f t="shared" ca="1" si="32"/>
        <v/>
      </c>
      <c r="BI38">
        <f t="shared" ca="1" si="33"/>
        <v>0</v>
      </c>
      <c r="BJ38" t="str">
        <f t="shared" ca="1" si="34"/>
        <v/>
      </c>
      <c r="BK38">
        <f t="shared" ca="1" si="35"/>
        <v>0</v>
      </c>
      <c r="BL38" t="str">
        <f t="shared" ca="1" si="36"/>
        <v/>
      </c>
      <c r="BM38">
        <f t="shared" ca="1" si="37"/>
        <v>0</v>
      </c>
      <c r="BN38" t="str">
        <f t="shared" ca="1" si="38"/>
        <v/>
      </c>
      <c r="BO38">
        <f t="shared" ca="1" si="39"/>
        <v>0</v>
      </c>
      <c r="BP38" t="str">
        <f t="shared" ca="1" si="40"/>
        <v/>
      </c>
      <c r="BQ38">
        <f t="shared" ca="1" si="41"/>
        <v>0</v>
      </c>
      <c r="BR38" t="str">
        <f t="shared" ca="1" si="42"/>
        <v/>
      </c>
      <c r="BS38">
        <f t="shared" ca="1" si="43"/>
        <v>0</v>
      </c>
      <c r="BT38" t="str">
        <f t="shared" ca="1" si="44"/>
        <v/>
      </c>
      <c r="BU38">
        <f t="shared" ca="1" si="45"/>
        <v>0</v>
      </c>
      <c r="BV38" t="str">
        <f t="shared" ca="1" si="46"/>
        <v/>
      </c>
      <c r="BW38">
        <f t="shared" ca="1" si="47"/>
        <v>0</v>
      </c>
      <c r="BX38" t="str">
        <f t="shared" ca="1" si="48"/>
        <v/>
      </c>
      <c r="BY38">
        <f t="shared" ca="1" si="49"/>
        <v>0</v>
      </c>
      <c r="BZ38" t="str">
        <f t="shared" ca="1" si="50"/>
        <v/>
      </c>
      <c r="CA38">
        <f t="shared" ca="1" si="51"/>
        <v>0</v>
      </c>
      <c r="CB38" t="str">
        <f t="shared" ca="1" si="52"/>
        <v/>
      </c>
      <c r="CC38">
        <f t="shared" ca="1" si="53"/>
        <v>0</v>
      </c>
    </row>
    <row r="39" spans="2:81" ht="14.25" customHeight="1" x14ac:dyDescent="0.3">
      <c r="B39" s="51">
        <f t="shared" si="27"/>
        <v>36</v>
      </c>
      <c r="C39" s="52" t="s">
        <v>106</v>
      </c>
      <c r="D39" s="18">
        <f>'Member Wise Deposit Summary'!D39</f>
        <v>971561572487</v>
      </c>
      <c r="E39" s="52">
        <v>1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3"/>
      <c r="AY39" s="52"/>
      <c r="AZ39" s="52"/>
      <c r="BA39" s="52"/>
      <c r="BB39" s="52">
        <f t="shared" si="28"/>
        <v>0</v>
      </c>
      <c r="BC39" s="52">
        <f t="shared" si="29"/>
        <v>0</v>
      </c>
      <c r="BE39">
        <f ca="1">'Monthly Collection-2027'!CC39</f>
        <v>0</v>
      </c>
      <c r="BF39" t="str">
        <f t="shared" ca="1" si="30"/>
        <v/>
      </c>
      <c r="BG39">
        <f t="shared" ca="1" si="31"/>
        <v>0</v>
      </c>
      <c r="BH39" t="str">
        <f t="shared" ca="1" si="32"/>
        <v/>
      </c>
      <c r="BI39">
        <f t="shared" ca="1" si="33"/>
        <v>0</v>
      </c>
      <c r="BJ39" t="str">
        <f t="shared" ca="1" si="34"/>
        <v/>
      </c>
      <c r="BK39">
        <f t="shared" ca="1" si="35"/>
        <v>0</v>
      </c>
      <c r="BL39" t="str">
        <f t="shared" ca="1" si="36"/>
        <v/>
      </c>
      <c r="BM39">
        <f t="shared" ca="1" si="37"/>
        <v>0</v>
      </c>
      <c r="BN39" t="str">
        <f t="shared" ca="1" si="38"/>
        <v/>
      </c>
      <c r="BO39">
        <f t="shared" ca="1" si="39"/>
        <v>0</v>
      </c>
      <c r="BP39" t="str">
        <f t="shared" ca="1" si="40"/>
        <v/>
      </c>
      <c r="BQ39">
        <f t="shared" ca="1" si="41"/>
        <v>0</v>
      </c>
      <c r="BR39" t="str">
        <f t="shared" ca="1" si="42"/>
        <v/>
      </c>
      <c r="BS39">
        <f t="shared" ca="1" si="43"/>
        <v>0</v>
      </c>
      <c r="BT39" t="str">
        <f t="shared" ca="1" si="44"/>
        <v/>
      </c>
      <c r="BU39">
        <f t="shared" ca="1" si="45"/>
        <v>0</v>
      </c>
      <c r="BV39" t="str">
        <f t="shared" ca="1" si="46"/>
        <v/>
      </c>
      <c r="BW39">
        <f t="shared" ca="1" si="47"/>
        <v>0</v>
      </c>
      <c r="BX39" t="str">
        <f t="shared" ca="1" si="48"/>
        <v/>
      </c>
      <c r="BY39">
        <f t="shared" ca="1" si="49"/>
        <v>0</v>
      </c>
      <c r="BZ39" t="str">
        <f t="shared" ca="1" si="50"/>
        <v/>
      </c>
      <c r="CA39">
        <f t="shared" ca="1" si="51"/>
        <v>0</v>
      </c>
      <c r="CB39" t="str">
        <f t="shared" ca="1" si="52"/>
        <v/>
      </c>
      <c r="CC39">
        <f t="shared" ca="1" si="53"/>
        <v>0</v>
      </c>
    </row>
    <row r="40" spans="2:81" ht="14.25" customHeight="1" x14ac:dyDescent="0.3">
      <c r="B40" s="55">
        <f t="shared" si="27"/>
        <v>37</v>
      </c>
      <c r="C40" s="56" t="s">
        <v>107</v>
      </c>
      <c r="D40" s="12">
        <f>'Member Wise Deposit Summary'!D40</f>
        <v>1879352117</v>
      </c>
      <c r="E40" s="56">
        <v>2</v>
      </c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7"/>
      <c r="AY40" s="56"/>
      <c r="AZ40" s="56"/>
      <c r="BA40" s="56"/>
      <c r="BB40" s="56">
        <f t="shared" si="28"/>
        <v>0</v>
      </c>
      <c r="BC40" s="56">
        <f t="shared" si="29"/>
        <v>0</v>
      </c>
      <c r="BE40">
        <f ca="1">'Monthly Collection-2027'!CC40</f>
        <v>0</v>
      </c>
      <c r="BF40" t="str">
        <f t="shared" ca="1" si="30"/>
        <v/>
      </c>
      <c r="BG40">
        <f t="shared" ca="1" si="31"/>
        <v>0</v>
      </c>
      <c r="BH40" t="str">
        <f t="shared" ca="1" si="32"/>
        <v/>
      </c>
      <c r="BI40">
        <f t="shared" ca="1" si="33"/>
        <v>0</v>
      </c>
      <c r="BJ40" t="str">
        <f t="shared" ca="1" si="34"/>
        <v/>
      </c>
      <c r="BK40">
        <f t="shared" ca="1" si="35"/>
        <v>0</v>
      </c>
      <c r="BL40" t="str">
        <f t="shared" ca="1" si="36"/>
        <v/>
      </c>
      <c r="BM40">
        <f t="shared" ca="1" si="37"/>
        <v>0</v>
      </c>
      <c r="BN40" t="str">
        <f t="shared" ca="1" si="38"/>
        <v/>
      </c>
      <c r="BO40">
        <f t="shared" ca="1" si="39"/>
        <v>0</v>
      </c>
      <c r="BP40" t="str">
        <f t="shared" ca="1" si="40"/>
        <v/>
      </c>
      <c r="BQ40">
        <f t="shared" ca="1" si="41"/>
        <v>0</v>
      </c>
      <c r="BR40" t="str">
        <f t="shared" ca="1" si="42"/>
        <v/>
      </c>
      <c r="BS40">
        <f t="shared" ca="1" si="43"/>
        <v>0</v>
      </c>
      <c r="BT40" t="str">
        <f t="shared" ca="1" si="44"/>
        <v/>
      </c>
      <c r="BU40">
        <f t="shared" ca="1" si="45"/>
        <v>0</v>
      </c>
      <c r="BV40" t="str">
        <f t="shared" ca="1" si="46"/>
        <v/>
      </c>
      <c r="BW40">
        <f t="shared" ca="1" si="47"/>
        <v>0</v>
      </c>
      <c r="BX40" t="str">
        <f t="shared" ca="1" si="48"/>
        <v/>
      </c>
      <c r="BY40">
        <f t="shared" ca="1" si="49"/>
        <v>0</v>
      </c>
      <c r="BZ40" t="str">
        <f t="shared" ca="1" si="50"/>
        <v/>
      </c>
      <c r="CA40">
        <f t="shared" ca="1" si="51"/>
        <v>0</v>
      </c>
      <c r="CB40" t="str">
        <f t="shared" ca="1" si="52"/>
        <v/>
      </c>
      <c r="CC40">
        <f t="shared" ca="1" si="53"/>
        <v>0</v>
      </c>
    </row>
    <row r="41" spans="2:81" ht="14.25" customHeight="1" x14ac:dyDescent="0.3">
      <c r="B41" s="51">
        <f t="shared" si="27"/>
        <v>38</v>
      </c>
      <c r="C41" s="52" t="s">
        <v>108</v>
      </c>
      <c r="D41" s="255" t="str">
        <f>'Member Wise Deposit Summary'!D41</f>
        <v>00971569173725</v>
      </c>
      <c r="E41" s="52">
        <v>2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3"/>
      <c r="AY41" s="52"/>
      <c r="AZ41" s="52"/>
      <c r="BA41" s="52"/>
      <c r="BB41" s="52">
        <f t="shared" si="28"/>
        <v>0</v>
      </c>
      <c r="BC41" s="52">
        <f t="shared" si="29"/>
        <v>0</v>
      </c>
      <c r="BE41">
        <f ca="1">'Monthly Collection-2027'!CC41</f>
        <v>0</v>
      </c>
      <c r="BF41" t="str">
        <f t="shared" ca="1" si="30"/>
        <v/>
      </c>
      <c r="BG41">
        <f t="shared" ca="1" si="31"/>
        <v>0</v>
      </c>
      <c r="BH41" t="str">
        <f t="shared" ca="1" si="32"/>
        <v/>
      </c>
      <c r="BI41">
        <f t="shared" ca="1" si="33"/>
        <v>0</v>
      </c>
      <c r="BJ41" t="str">
        <f t="shared" ca="1" si="34"/>
        <v/>
      </c>
      <c r="BK41">
        <f t="shared" ca="1" si="35"/>
        <v>0</v>
      </c>
      <c r="BL41" t="str">
        <f t="shared" ca="1" si="36"/>
        <v/>
      </c>
      <c r="BM41">
        <f t="shared" ca="1" si="37"/>
        <v>0</v>
      </c>
      <c r="BN41" t="str">
        <f t="shared" ca="1" si="38"/>
        <v/>
      </c>
      <c r="BO41">
        <f t="shared" ca="1" si="39"/>
        <v>0</v>
      </c>
      <c r="BP41" t="str">
        <f t="shared" ca="1" si="40"/>
        <v/>
      </c>
      <c r="BQ41">
        <f t="shared" ca="1" si="41"/>
        <v>0</v>
      </c>
      <c r="BR41" t="str">
        <f t="shared" ca="1" si="42"/>
        <v/>
      </c>
      <c r="BS41">
        <f t="shared" ca="1" si="43"/>
        <v>0</v>
      </c>
      <c r="BT41" t="str">
        <f t="shared" ca="1" si="44"/>
        <v/>
      </c>
      <c r="BU41">
        <f t="shared" ca="1" si="45"/>
        <v>0</v>
      </c>
      <c r="BV41" t="str">
        <f t="shared" ca="1" si="46"/>
        <v/>
      </c>
      <c r="BW41">
        <f t="shared" ca="1" si="47"/>
        <v>0</v>
      </c>
      <c r="BX41" t="str">
        <f t="shared" ca="1" si="48"/>
        <v/>
      </c>
      <c r="BY41">
        <f t="shared" ca="1" si="49"/>
        <v>0</v>
      </c>
      <c r="BZ41" t="str">
        <f t="shared" ca="1" si="50"/>
        <v/>
      </c>
      <c r="CA41">
        <f t="shared" ca="1" si="51"/>
        <v>0</v>
      </c>
      <c r="CB41" t="str">
        <f t="shared" ca="1" si="52"/>
        <v/>
      </c>
      <c r="CC41">
        <f t="shared" ca="1" si="53"/>
        <v>0</v>
      </c>
    </row>
    <row r="42" spans="2:81" ht="14.25" customHeight="1" x14ac:dyDescent="0.3">
      <c r="B42" s="55">
        <f t="shared" si="27"/>
        <v>39</v>
      </c>
      <c r="C42" s="56" t="s">
        <v>109</v>
      </c>
      <c r="D42" s="12">
        <f>'Member Wise Deposit Summary'!D42</f>
        <v>1873807617</v>
      </c>
      <c r="E42" s="56">
        <v>2</v>
      </c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7"/>
      <c r="AY42" s="56"/>
      <c r="AZ42" s="56"/>
      <c r="BA42" s="56"/>
      <c r="BB42" s="56">
        <f t="shared" si="28"/>
        <v>0</v>
      </c>
      <c r="BC42" s="56">
        <f t="shared" si="29"/>
        <v>0</v>
      </c>
      <c r="BE42">
        <f ca="1">'Monthly Collection-2027'!CC42</f>
        <v>0</v>
      </c>
      <c r="BF42" t="str">
        <f t="shared" ca="1" si="30"/>
        <v/>
      </c>
      <c r="BG42">
        <f t="shared" ca="1" si="31"/>
        <v>0</v>
      </c>
      <c r="BH42" t="str">
        <f t="shared" ca="1" si="32"/>
        <v/>
      </c>
      <c r="BI42">
        <f t="shared" ca="1" si="33"/>
        <v>0</v>
      </c>
      <c r="BJ42" t="str">
        <f t="shared" ca="1" si="34"/>
        <v/>
      </c>
      <c r="BK42">
        <f t="shared" ca="1" si="35"/>
        <v>0</v>
      </c>
      <c r="BL42" t="str">
        <f t="shared" ca="1" si="36"/>
        <v/>
      </c>
      <c r="BM42">
        <f t="shared" ca="1" si="37"/>
        <v>0</v>
      </c>
      <c r="BN42" t="str">
        <f t="shared" ca="1" si="38"/>
        <v/>
      </c>
      <c r="BO42">
        <f t="shared" ca="1" si="39"/>
        <v>0</v>
      </c>
      <c r="BP42" t="str">
        <f t="shared" ca="1" si="40"/>
        <v/>
      </c>
      <c r="BQ42">
        <f t="shared" ca="1" si="41"/>
        <v>0</v>
      </c>
      <c r="BR42" t="str">
        <f t="shared" ca="1" si="42"/>
        <v/>
      </c>
      <c r="BS42">
        <f t="shared" ca="1" si="43"/>
        <v>0</v>
      </c>
      <c r="BT42" t="str">
        <f t="shared" ca="1" si="44"/>
        <v/>
      </c>
      <c r="BU42">
        <f t="shared" ca="1" si="45"/>
        <v>0</v>
      </c>
      <c r="BV42" t="str">
        <f t="shared" ca="1" si="46"/>
        <v/>
      </c>
      <c r="BW42">
        <f t="shared" ca="1" si="47"/>
        <v>0</v>
      </c>
      <c r="BX42" t="str">
        <f t="shared" ca="1" si="48"/>
        <v/>
      </c>
      <c r="BY42">
        <f t="shared" ca="1" si="49"/>
        <v>0</v>
      </c>
      <c r="BZ42" t="str">
        <f t="shared" ca="1" si="50"/>
        <v/>
      </c>
      <c r="CA42">
        <f t="shared" ca="1" si="51"/>
        <v>0</v>
      </c>
      <c r="CB42" t="str">
        <f t="shared" ca="1" si="52"/>
        <v/>
      </c>
      <c r="CC42">
        <f t="shared" ca="1" si="53"/>
        <v>0</v>
      </c>
    </row>
    <row r="43" spans="2:81" ht="14.25" customHeight="1" x14ac:dyDescent="0.3">
      <c r="B43" s="51">
        <f t="shared" si="27"/>
        <v>40</v>
      </c>
      <c r="C43" s="52" t="s">
        <v>110</v>
      </c>
      <c r="D43" s="18">
        <f>'Member Wise Deposit Summary'!D43</f>
        <v>971569774500</v>
      </c>
      <c r="E43" s="52">
        <v>2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3"/>
      <c r="AY43" s="52"/>
      <c r="AZ43" s="52"/>
      <c r="BA43" s="52"/>
      <c r="BB43" s="52">
        <f t="shared" si="28"/>
        <v>0</v>
      </c>
      <c r="BC43" s="52">
        <f t="shared" si="29"/>
        <v>0</v>
      </c>
      <c r="BE43">
        <f ca="1">'Monthly Collection-2027'!CC43</f>
        <v>0</v>
      </c>
      <c r="BF43" t="str">
        <f t="shared" ca="1" si="30"/>
        <v/>
      </c>
      <c r="BG43">
        <f t="shared" ca="1" si="31"/>
        <v>0</v>
      </c>
      <c r="BH43" t="str">
        <f t="shared" ca="1" si="32"/>
        <v/>
      </c>
      <c r="BI43">
        <f t="shared" ca="1" si="33"/>
        <v>0</v>
      </c>
      <c r="BJ43" t="str">
        <f t="shared" ca="1" si="34"/>
        <v/>
      </c>
      <c r="BK43">
        <f t="shared" ca="1" si="35"/>
        <v>0</v>
      </c>
      <c r="BL43" t="str">
        <f t="shared" ca="1" si="36"/>
        <v/>
      </c>
      <c r="BM43">
        <f t="shared" ca="1" si="37"/>
        <v>0</v>
      </c>
      <c r="BN43" t="str">
        <f t="shared" ca="1" si="38"/>
        <v/>
      </c>
      <c r="BO43">
        <f t="shared" ca="1" si="39"/>
        <v>0</v>
      </c>
      <c r="BP43" t="str">
        <f t="shared" ca="1" si="40"/>
        <v/>
      </c>
      <c r="BQ43">
        <f t="shared" ca="1" si="41"/>
        <v>0</v>
      </c>
      <c r="BR43" t="str">
        <f t="shared" ca="1" si="42"/>
        <v/>
      </c>
      <c r="BS43">
        <f t="shared" ca="1" si="43"/>
        <v>0</v>
      </c>
      <c r="BT43" t="str">
        <f t="shared" ca="1" si="44"/>
        <v/>
      </c>
      <c r="BU43">
        <f t="shared" ca="1" si="45"/>
        <v>0</v>
      </c>
      <c r="BV43" t="str">
        <f t="shared" ca="1" si="46"/>
        <v/>
      </c>
      <c r="BW43">
        <f t="shared" ca="1" si="47"/>
        <v>0</v>
      </c>
      <c r="BX43" t="str">
        <f t="shared" ca="1" si="48"/>
        <v/>
      </c>
      <c r="BY43">
        <f t="shared" ca="1" si="49"/>
        <v>0</v>
      </c>
      <c r="BZ43" t="str">
        <f t="shared" ca="1" si="50"/>
        <v/>
      </c>
      <c r="CA43">
        <f t="shared" ca="1" si="51"/>
        <v>0</v>
      </c>
      <c r="CB43" t="str">
        <f t="shared" ca="1" si="52"/>
        <v/>
      </c>
      <c r="CC43">
        <f t="shared" ca="1" si="53"/>
        <v>0</v>
      </c>
    </row>
    <row r="44" spans="2:81" ht="14.25" customHeight="1" x14ac:dyDescent="0.3">
      <c r="B44" s="55">
        <f t="shared" si="27"/>
        <v>41</v>
      </c>
      <c r="C44" s="56" t="s">
        <v>111</v>
      </c>
      <c r="D44" s="12">
        <f>'Member Wise Deposit Summary'!D44</f>
        <v>1830621990</v>
      </c>
      <c r="E44" s="56">
        <v>2</v>
      </c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7"/>
      <c r="AY44" s="56"/>
      <c r="AZ44" s="56"/>
      <c r="BA44" s="56"/>
      <c r="BB44" s="56">
        <f t="shared" si="28"/>
        <v>0</v>
      </c>
      <c r="BC44" s="56">
        <f t="shared" si="29"/>
        <v>0</v>
      </c>
      <c r="BE44">
        <f ca="1">'Monthly Collection-2027'!CC44</f>
        <v>0</v>
      </c>
      <c r="BF44" t="str">
        <f t="shared" ca="1" si="30"/>
        <v/>
      </c>
      <c r="BG44">
        <f t="shared" ca="1" si="31"/>
        <v>0</v>
      </c>
      <c r="BH44" t="str">
        <f t="shared" ca="1" si="32"/>
        <v/>
      </c>
      <c r="BI44">
        <f t="shared" ca="1" si="33"/>
        <v>0</v>
      </c>
      <c r="BJ44" t="str">
        <f t="shared" ca="1" si="34"/>
        <v/>
      </c>
      <c r="BK44">
        <f t="shared" ca="1" si="35"/>
        <v>0</v>
      </c>
      <c r="BL44" t="str">
        <f t="shared" ca="1" si="36"/>
        <v/>
      </c>
      <c r="BM44">
        <f t="shared" ca="1" si="37"/>
        <v>0</v>
      </c>
      <c r="BN44" t="str">
        <f t="shared" ca="1" si="38"/>
        <v/>
      </c>
      <c r="BO44">
        <f t="shared" ca="1" si="39"/>
        <v>0</v>
      </c>
      <c r="BP44" t="str">
        <f t="shared" ca="1" si="40"/>
        <v/>
      </c>
      <c r="BQ44">
        <f t="shared" ca="1" si="41"/>
        <v>0</v>
      </c>
      <c r="BR44" t="str">
        <f t="shared" ca="1" si="42"/>
        <v/>
      </c>
      <c r="BS44">
        <f t="shared" ca="1" si="43"/>
        <v>0</v>
      </c>
      <c r="BT44" t="str">
        <f t="shared" ca="1" si="44"/>
        <v/>
      </c>
      <c r="BU44">
        <f t="shared" ca="1" si="45"/>
        <v>0</v>
      </c>
      <c r="BV44" t="str">
        <f t="shared" ca="1" si="46"/>
        <v/>
      </c>
      <c r="BW44">
        <f t="shared" ca="1" si="47"/>
        <v>0</v>
      </c>
      <c r="BX44" t="str">
        <f t="shared" ca="1" si="48"/>
        <v/>
      </c>
      <c r="BY44">
        <f t="shared" ca="1" si="49"/>
        <v>0</v>
      </c>
      <c r="BZ44" t="str">
        <f t="shared" ca="1" si="50"/>
        <v/>
      </c>
      <c r="CA44">
        <f t="shared" ca="1" si="51"/>
        <v>0</v>
      </c>
      <c r="CB44" t="str">
        <f t="shared" ca="1" si="52"/>
        <v/>
      </c>
      <c r="CC44">
        <f t="shared" ca="1" si="53"/>
        <v>0</v>
      </c>
    </row>
    <row r="45" spans="2:81" ht="14.25" customHeight="1" x14ac:dyDescent="0.3">
      <c r="B45" s="51">
        <f t="shared" si="27"/>
        <v>42</v>
      </c>
      <c r="C45" s="52" t="s">
        <v>112</v>
      </c>
      <c r="D45" s="255" t="str">
        <f>'Member Wise Deposit Summary'!D45</f>
        <v>0971501332588</v>
      </c>
      <c r="E45" s="52">
        <v>6</v>
      </c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3"/>
      <c r="AY45" s="52"/>
      <c r="AZ45" s="52"/>
      <c r="BA45" s="52"/>
      <c r="BB45" s="52">
        <f t="shared" si="28"/>
        <v>0</v>
      </c>
      <c r="BC45" s="52">
        <f t="shared" si="29"/>
        <v>0</v>
      </c>
      <c r="BE45">
        <f ca="1">'Monthly Collection-2027'!CC45</f>
        <v>0</v>
      </c>
      <c r="BF45" t="str">
        <f t="shared" ca="1" si="30"/>
        <v/>
      </c>
      <c r="BG45">
        <f t="shared" ca="1" si="31"/>
        <v>0</v>
      </c>
      <c r="BH45" t="str">
        <f t="shared" ca="1" si="32"/>
        <v/>
      </c>
      <c r="BI45">
        <f t="shared" ca="1" si="33"/>
        <v>0</v>
      </c>
      <c r="BJ45" t="str">
        <f t="shared" ca="1" si="34"/>
        <v/>
      </c>
      <c r="BK45">
        <f t="shared" ca="1" si="35"/>
        <v>0</v>
      </c>
      <c r="BL45" t="str">
        <f t="shared" ca="1" si="36"/>
        <v/>
      </c>
      <c r="BM45">
        <f t="shared" ca="1" si="37"/>
        <v>0</v>
      </c>
      <c r="BN45" t="str">
        <f t="shared" ca="1" si="38"/>
        <v/>
      </c>
      <c r="BO45">
        <f t="shared" ca="1" si="39"/>
        <v>0</v>
      </c>
      <c r="BP45" t="str">
        <f t="shared" ca="1" si="40"/>
        <v/>
      </c>
      <c r="BQ45">
        <f t="shared" ca="1" si="41"/>
        <v>0</v>
      </c>
      <c r="BR45" t="str">
        <f t="shared" ca="1" si="42"/>
        <v/>
      </c>
      <c r="BS45">
        <f t="shared" ca="1" si="43"/>
        <v>0</v>
      </c>
      <c r="BT45" t="str">
        <f t="shared" ca="1" si="44"/>
        <v/>
      </c>
      <c r="BU45">
        <f t="shared" ca="1" si="45"/>
        <v>0</v>
      </c>
      <c r="BV45" t="str">
        <f t="shared" ca="1" si="46"/>
        <v/>
      </c>
      <c r="BW45">
        <f t="shared" ca="1" si="47"/>
        <v>0</v>
      </c>
      <c r="BX45" t="str">
        <f t="shared" ca="1" si="48"/>
        <v/>
      </c>
      <c r="BY45">
        <f t="shared" ca="1" si="49"/>
        <v>0</v>
      </c>
      <c r="BZ45" t="str">
        <f t="shared" ca="1" si="50"/>
        <v/>
      </c>
      <c r="CA45">
        <f t="shared" ca="1" si="51"/>
        <v>0</v>
      </c>
      <c r="CB45" t="str">
        <f t="shared" ca="1" si="52"/>
        <v/>
      </c>
      <c r="CC45">
        <f t="shared" ca="1" si="53"/>
        <v>0</v>
      </c>
    </row>
    <row r="46" spans="2:81" ht="14.25" customHeight="1" x14ac:dyDescent="0.3">
      <c r="B46" s="55">
        <f t="shared" si="27"/>
        <v>43</v>
      </c>
      <c r="C46" s="56" t="s">
        <v>113</v>
      </c>
      <c r="D46" s="19">
        <f>'Member Wise Deposit Summary'!D46</f>
        <v>971545640821</v>
      </c>
      <c r="E46" s="56">
        <v>2</v>
      </c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7"/>
      <c r="AY46" s="56"/>
      <c r="AZ46" s="56"/>
      <c r="BA46" s="56"/>
      <c r="BB46" s="56">
        <f t="shared" si="28"/>
        <v>0</v>
      </c>
      <c r="BC46" s="56">
        <f t="shared" si="29"/>
        <v>0</v>
      </c>
      <c r="BE46">
        <f ca="1">'Monthly Collection-2027'!CC46</f>
        <v>0</v>
      </c>
      <c r="BF46" t="str">
        <f t="shared" ca="1" si="30"/>
        <v/>
      </c>
      <c r="BG46">
        <f t="shared" ca="1" si="31"/>
        <v>0</v>
      </c>
      <c r="BH46" t="str">
        <f t="shared" ca="1" si="32"/>
        <v/>
      </c>
      <c r="BI46">
        <f t="shared" ca="1" si="33"/>
        <v>0</v>
      </c>
      <c r="BJ46" t="str">
        <f t="shared" ca="1" si="34"/>
        <v/>
      </c>
      <c r="BK46">
        <f t="shared" ca="1" si="35"/>
        <v>0</v>
      </c>
      <c r="BL46" t="str">
        <f t="shared" ca="1" si="36"/>
        <v/>
      </c>
      <c r="BM46">
        <f t="shared" ca="1" si="37"/>
        <v>0</v>
      </c>
      <c r="BN46" t="str">
        <f t="shared" ca="1" si="38"/>
        <v/>
      </c>
      <c r="BO46">
        <f t="shared" ca="1" si="39"/>
        <v>0</v>
      </c>
      <c r="BP46" t="str">
        <f t="shared" ca="1" si="40"/>
        <v/>
      </c>
      <c r="BQ46">
        <f t="shared" ca="1" si="41"/>
        <v>0</v>
      </c>
      <c r="BR46" t="str">
        <f t="shared" ca="1" si="42"/>
        <v/>
      </c>
      <c r="BS46">
        <f t="shared" ca="1" si="43"/>
        <v>0</v>
      </c>
      <c r="BT46" t="str">
        <f t="shared" ca="1" si="44"/>
        <v/>
      </c>
      <c r="BU46">
        <f t="shared" ca="1" si="45"/>
        <v>0</v>
      </c>
      <c r="BV46" t="str">
        <f t="shared" ca="1" si="46"/>
        <v/>
      </c>
      <c r="BW46">
        <f t="shared" ca="1" si="47"/>
        <v>0</v>
      </c>
      <c r="BX46" t="str">
        <f t="shared" ca="1" si="48"/>
        <v/>
      </c>
      <c r="BY46">
        <f t="shared" ca="1" si="49"/>
        <v>0</v>
      </c>
      <c r="BZ46" t="str">
        <f t="shared" ca="1" si="50"/>
        <v/>
      </c>
      <c r="CA46">
        <f t="shared" ca="1" si="51"/>
        <v>0</v>
      </c>
      <c r="CB46" t="str">
        <f t="shared" ca="1" si="52"/>
        <v/>
      </c>
      <c r="CC46">
        <f t="shared" ca="1" si="53"/>
        <v>0</v>
      </c>
    </row>
    <row r="47" spans="2:81" ht="14.25" customHeight="1" x14ac:dyDescent="0.3">
      <c r="B47" s="51">
        <f t="shared" si="27"/>
        <v>44</v>
      </c>
      <c r="C47" s="52" t="s">
        <v>114</v>
      </c>
      <c r="D47" s="18">
        <f>'Member Wise Deposit Summary'!D47</f>
        <v>971562982931</v>
      </c>
      <c r="E47" s="52">
        <v>2</v>
      </c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3"/>
      <c r="AY47" s="52"/>
      <c r="AZ47" s="52"/>
      <c r="BA47" s="52"/>
      <c r="BB47" s="52">
        <f t="shared" si="28"/>
        <v>0</v>
      </c>
      <c r="BC47" s="52">
        <f t="shared" si="29"/>
        <v>0</v>
      </c>
      <c r="BE47">
        <f ca="1">'Monthly Collection-2027'!CC47</f>
        <v>0</v>
      </c>
      <c r="BF47" t="str">
        <f t="shared" ca="1" si="30"/>
        <v/>
      </c>
      <c r="BG47">
        <f t="shared" ca="1" si="31"/>
        <v>0</v>
      </c>
      <c r="BH47" t="str">
        <f t="shared" ca="1" si="32"/>
        <v/>
      </c>
      <c r="BI47">
        <f t="shared" ca="1" si="33"/>
        <v>0</v>
      </c>
      <c r="BJ47" t="str">
        <f t="shared" ca="1" si="34"/>
        <v/>
      </c>
      <c r="BK47">
        <f t="shared" ca="1" si="35"/>
        <v>0</v>
      </c>
      <c r="BL47" t="str">
        <f t="shared" ca="1" si="36"/>
        <v/>
      </c>
      <c r="BM47">
        <f t="shared" ca="1" si="37"/>
        <v>0</v>
      </c>
      <c r="BN47" t="str">
        <f t="shared" ca="1" si="38"/>
        <v/>
      </c>
      <c r="BO47">
        <f t="shared" ca="1" si="39"/>
        <v>0</v>
      </c>
      <c r="BP47" t="str">
        <f t="shared" ca="1" si="40"/>
        <v/>
      </c>
      <c r="BQ47">
        <f t="shared" ca="1" si="41"/>
        <v>0</v>
      </c>
      <c r="BR47" t="str">
        <f t="shared" ca="1" si="42"/>
        <v/>
      </c>
      <c r="BS47">
        <f t="shared" ca="1" si="43"/>
        <v>0</v>
      </c>
      <c r="BT47" t="str">
        <f t="shared" ca="1" si="44"/>
        <v/>
      </c>
      <c r="BU47">
        <f t="shared" ca="1" si="45"/>
        <v>0</v>
      </c>
      <c r="BV47" t="str">
        <f t="shared" ca="1" si="46"/>
        <v/>
      </c>
      <c r="BW47">
        <f t="shared" ca="1" si="47"/>
        <v>0</v>
      </c>
      <c r="BX47" t="str">
        <f t="shared" ca="1" si="48"/>
        <v/>
      </c>
      <c r="BY47">
        <f t="shared" ca="1" si="49"/>
        <v>0</v>
      </c>
      <c r="BZ47" t="str">
        <f t="shared" ca="1" si="50"/>
        <v/>
      </c>
      <c r="CA47">
        <f t="shared" ca="1" si="51"/>
        <v>0</v>
      </c>
      <c r="CB47" t="str">
        <f t="shared" ca="1" si="52"/>
        <v/>
      </c>
      <c r="CC47">
        <f t="shared" ca="1" si="53"/>
        <v>0</v>
      </c>
    </row>
    <row r="48" spans="2:81" ht="14.25" customHeight="1" x14ac:dyDescent="0.3">
      <c r="B48" s="55">
        <f t="shared" si="27"/>
        <v>45</v>
      </c>
      <c r="C48" s="56" t="s">
        <v>101</v>
      </c>
      <c r="D48" s="12">
        <f>'Member Wise Deposit Summary'!D48</f>
        <v>1840409753</v>
      </c>
      <c r="E48" s="56">
        <v>1</v>
      </c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7"/>
      <c r="AY48" s="56"/>
      <c r="AZ48" s="56"/>
      <c r="BA48" s="56"/>
      <c r="BB48" s="56">
        <f t="shared" si="28"/>
        <v>0</v>
      </c>
      <c r="BC48" s="56">
        <f t="shared" si="29"/>
        <v>0</v>
      </c>
      <c r="BE48">
        <f ca="1">'Monthly Collection-2027'!CC48</f>
        <v>0</v>
      </c>
      <c r="BF48" t="str">
        <f t="shared" ca="1" si="30"/>
        <v/>
      </c>
      <c r="BG48">
        <f t="shared" ca="1" si="31"/>
        <v>0</v>
      </c>
      <c r="BH48" t="str">
        <f t="shared" ca="1" si="32"/>
        <v/>
      </c>
      <c r="BI48">
        <f t="shared" ca="1" si="33"/>
        <v>0</v>
      </c>
      <c r="BJ48" t="str">
        <f t="shared" ca="1" si="34"/>
        <v/>
      </c>
      <c r="BK48">
        <f t="shared" ca="1" si="35"/>
        <v>0</v>
      </c>
      <c r="BL48" t="str">
        <f t="shared" ca="1" si="36"/>
        <v/>
      </c>
      <c r="BM48">
        <f t="shared" ca="1" si="37"/>
        <v>0</v>
      </c>
      <c r="BN48" t="str">
        <f t="shared" ca="1" si="38"/>
        <v/>
      </c>
      <c r="BO48">
        <f t="shared" ca="1" si="39"/>
        <v>0</v>
      </c>
      <c r="BP48" t="str">
        <f t="shared" ca="1" si="40"/>
        <v/>
      </c>
      <c r="BQ48">
        <f t="shared" ca="1" si="41"/>
        <v>0</v>
      </c>
      <c r="BR48" t="str">
        <f t="shared" ca="1" si="42"/>
        <v/>
      </c>
      <c r="BS48">
        <f t="shared" ca="1" si="43"/>
        <v>0</v>
      </c>
      <c r="BT48" t="str">
        <f t="shared" ca="1" si="44"/>
        <v/>
      </c>
      <c r="BU48">
        <f t="shared" ca="1" si="45"/>
        <v>0</v>
      </c>
      <c r="BV48" t="str">
        <f t="shared" ca="1" si="46"/>
        <v/>
      </c>
      <c r="BW48">
        <f t="shared" ca="1" si="47"/>
        <v>0</v>
      </c>
      <c r="BX48" t="str">
        <f t="shared" ca="1" si="48"/>
        <v/>
      </c>
      <c r="BY48">
        <f t="shared" ca="1" si="49"/>
        <v>0</v>
      </c>
      <c r="BZ48" t="str">
        <f t="shared" ca="1" si="50"/>
        <v/>
      </c>
      <c r="CA48">
        <f t="shared" ca="1" si="51"/>
        <v>0</v>
      </c>
      <c r="CB48" t="str">
        <f t="shared" ca="1" si="52"/>
        <v/>
      </c>
      <c r="CC48">
        <f t="shared" ca="1" si="53"/>
        <v>0</v>
      </c>
    </row>
    <row r="49" spans="2:81" ht="14.25" customHeight="1" x14ac:dyDescent="0.3">
      <c r="B49" s="51">
        <f t="shared" si="27"/>
        <v>46</v>
      </c>
      <c r="C49" s="52" t="s">
        <v>115</v>
      </c>
      <c r="D49" s="16">
        <f>'Member Wise Deposit Summary'!D49</f>
        <v>1871081769</v>
      </c>
      <c r="E49" s="52">
        <v>1</v>
      </c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3"/>
      <c r="AY49" s="52"/>
      <c r="AZ49" s="52"/>
      <c r="BA49" s="52"/>
      <c r="BB49" s="52">
        <f t="shared" si="28"/>
        <v>0</v>
      </c>
      <c r="BC49" s="52">
        <f t="shared" si="29"/>
        <v>0</v>
      </c>
      <c r="BE49">
        <f ca="1">'Monthly Collection-2027'!CC49</f>
        <v>0</v>
      </c>
      <c r="BF49" t="str">
        <f t="shared" ca="1" si="30"/>
        <v/>
      </c>
      <c r="BG49">
        <f t="shared" ca="1" si="31"/>
        <v>0</v>
      </c>
      <c r="BH49" t="str">
        <f t="shared" ca="1" si="32"/>
        <v/>
      </c>
      <c r="BI49">
        <f t="shared" ca="1" si="33"/>
        <v>0</v>
      </c>
      <c r="BJ49" t="str">
        <f t="shared" ca="1" si="34"/>
        <v/>
      </c>
      <c r="BK49">
        <f t="shared" ca="1" si="35"/>
        <v>0</v>
      </c>
      <c r="BL49" t="str">
        <f t="shared" ca="1" si="36"/>
        <v/>
      </c>
      <c r="BM49">
        <f t="shared" ca="1" si="37"/>
        <v>0</v>
      </c>
      <c r="BN49" t="str">
        <f t="shared" ca="1" si="38"/>
        <v/>
      </c>
      <c r="BO49">
        <f t="shared" ca="1" si="39"/>
        <v>0</v>
      </c>
      <c r="BP49" t="str">
        <f t="shared" ca="1" si="40"/>
        <v/>
      </c>
      <c r="BQ49">
        <f t="shared" ca="1" si="41"/>
        <v>0</v>
      </c>
      <c r="BR49" t="str">
        <f t="shared" ca="1" si="42"/>
        <v/>
      </c>
      <c r="BS49">
        <f t="shared" ca="1" si="43"/>
        <v>0</v>
      </c>
      <c r="BT49" t="str">
        <f t="shared" ca="1" si="44"/>
        <v/>
      </c>
      <c r="BU49">
        <f t="shared" ca="1" si="45"/>
        <v>0</v>
      </c>
      <c r="BV49" t="str">
        <f t="shared" ca="1" si="46"/>
        <v/>
      </c>
      <c r="BW49">
        <f t="shared" ca="1" si="47"/>
        <v>0</v>
      </c>
      <c r="BX49" t="str">
        <f t="shared" ca="1" si="48"/>
        <v/>
      </c>
      <c r="BY49">
        <f t="shared" ca="1" si="49"/>
        <v>0</v>
      </c>
      <c r="BZ49" t="str">
        <f t="shared" ca="1" si="50"/>
        <v/>
      </c>
      <c r="CA49">
        <f t="shared" ca="1" si="51"/>
        <v>0</v>
      </c>
      <c r="CB49" t="str">
        <f t="shared" ca="1" si="52"/>
        <v/>
      </c>
      <c r="CC49">
        <f t="shared" ca="1" si="53"/>
        <v>0</v>
      </c>
    </row>
    <row r="50" spans="2:81" ht="14.25" customHeight="1" x14ac:dyDescent="0.3">
      <c r="B50" s="55">
        <f t="shared" si="27"/>
        <v>47</v>
      </c>
      <c r="C50" s="56" t="s">
        <v>116</v>
      </c>
      <c r="D50" s="12">
        <f>'Member Wise Deposit Summary'!D50</f>
        <v>1882916447</v>
      </c>
      <c r="E50" s="56">
        <v>1</v>
      </c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7"/>
      <c r="AY50" s="56"/>
      <c r="AZ50" s="56"/>
      <c r="BA50" s="56"/>
      <c r="BB50" s="56">
        <f t="shared" si="28"/>
        <v>0</v>
      </c>
      <c r="BC50" s="56">
        <f t="shared" si="29"/>
        <v>0</v>
      </c>
      <c r="BE50">
        <f ca="1">'Monthly Collection-2027'!CC50</f>
        <v>0</v>
      </c>
      <c r="BF50" t="str">
        <f t="shared" ca="1" si="30"/>
        <v/>
      </c>
      <c r="BG50">
        <f t="shared" ca="1" si="31"/>
        <v>0</v>
      </c>
      <c r="BH50" t="str">
        <f t="shared" ca="1" si="32"/>
        <v/>
      </c>
      <c r="BI50">
        <f t="shared" ca="1" si="33"/>
        <v>0</v>
      </c>
      <c r="BJ50" t="str">
        <f t="shared" ca="1" si="34"/>
        <v/>
      </c>
      <c r="BK50">
        <f t="shared" ca="1" si="35"/>
        <v>0</v>
      </c>
      <c r="BL50" t="str">
        <f t="shared" ca="1" si="36"/>
        <v/>
      </c>
      <c r="BM50">
        <f t="shared" ca="1" si="37"/>
        <v>0</v>
      </c>
      <c r="BN50" t="str">
        <f t="shared" ca="1" si="38"/>
        <v/>
      </c>
      <c r="BO50">
        <f t="shared" ca="1" si="39"/>
        <v>0</v>
      </c>
      <c r="BP50" t="str">
        <f t="shared" ca="1" si="40"/>
        <v/>
      </c>
      <c r="BQ50">
        <f t="shared" ca="1" si="41"/>
        <v>0</v>
      </c>
      <c r="BR50" t="str">
        <f t="shared" ca="1" si="42"/>
        <v/>
      </c>
      <c r="BS50">
        <f t="shared" ca="1" si="43"/>
        <v>0</v>
      </c>
      <c r="BT50" t="str">
        <f t="shared" ca="1" si="44"/>
        <v/>
      </c>
      <c r="BU50">
        <f t="shared" ca="1" si="45"/>
        <v>0</v>
      </c>
      <c r="BV50" t="str">
        <f t="shared" ca="1" si="46"/>
        <v/>
      </c>
      <c r="BW50">
        <f t="shared" ca="1" si="47"/>
        <v>0</v>
      </c>
      <c r="BX50" t="str">
        <f t="shared" ca="1" si="48"/>
        <v/>
      </c>
      <c r="BY50">
        <f t="shared" ca="1" si="49"/>
        <v>0</v>
      </c>
      <c r="BZ50" t="str">
        <f t="shared" ca="1" si="50"/>
        <v/>
      </c>
      <c r="CA50">
        <f t="shared" ca="1" si="51"/>
        <v>0</v>
      </c>
      <c r="CB50" t="str">
        <f t="shared" ca="1" si="52"/>
        <v/>
      </c>
      <c r="CC50">
        <f t="shared" ca="1" si="53"/>
        <v>0</v>
      </c>
    </row>
    <row r="51" spans="2:81" ht="14.25" customHeight="1" x14ac:dyDescent="0.3">
      <c r="B51" s="51">
        <f t="shared" si="27"/>
        <v>48</v>
      </c>
      <c r="C51" s="52" t="s">
        <v>117</v>
      </c>
      <c r="D51" s="16">
        <f>'Member Wise Deposit Summary'!D51</f>
        <v>1814836702</v>
      </c>
      <c r="E51" s="52">
        <v>2</v>
      </c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3"/>
      <c r="AY51" s="52"/>
      <c r="AZ51" s="52"/>
      <c r="BA51" s="52"/>
      <c r="BB51" s="52">
        <f t="shared" si="28"/>
        <v>0</v>
      </c>
      <c r="BC51" s="52">
        <f t="shared" si="29"/>
        <v>0</v>
      </c>
      <c r="BE51">
        <f ca="1">'Monthly Collection-2027'!CC51</f>
        <v>0</v>
      </c>
      <c r="BF51" t="str">
        <f t="shared" ca="1" si="30"/>
        <v/>
      </c>
      <c r="BG51">
        <f t="shared" ca="1" si="31"/>
        <v>0</v>
      </c>
      <c r="BH51" t="str">
        <f t="shared" ca="1" si="32"/>
        <v/>
      </c>
      <c r="BI51">
        <f t="shared" ca="1" si="33"/>
        <v>0</v>
      </c>
      <c r="BJ51" t="str">
        <f t="shared" ca="1" si="34"/>
        <v/>
      </c>
      <c r="BK51">
        <f t="shared" ca="1" si="35"/>
        <v>0</v>
      </c>
      <c r="BL51" t="str">
        <f t="shared" ca="1" si="36"/>
        <v/>
      </c>
      <c r="BM51">
        <f t="shared" ca="1" si="37"/>
        <v>0</v>
      </c>
      <c r="BN51" t="str">
        <f t="shared" ca="1" si="38"/>
        <v/>
      </c>
      <c r="BO51">
        <f t="shared" ca="1" si="39"/>
        <v>0</v>
      </c>
      <c r="BP51" t="str">
        <f t="shared" ca="1" si="40"/>
        <v/>
      </c>
      <c r="BQ51">
        <f t="shared" ca="1" si="41"/>
        <v>0</v>
      </c>
      <c r="BR51" t="str">
        <f t="shared" ca="1" si="42"/>
        <v/>
      </c>
      <c r="BS51">
        <f t="shared" ca="1" si="43"/>
        <v>0</v>
      </c>
      <c r="BT51" t="str">
        <f t="shared" ca="1" si="44"/>
        <v/>
      </c>
      <c r="BU51">
        <f t="shared" ca="1" si="45"/>
        <v>0</v>
      </c>
      <c r="BV51" t="str">
        <f t="shared" ca="1" si="46"/>
        <v/>
      </c>
      <c r="BW51">
        <f t="shared" ca="1" si="47"/>
        <v>0</v>
      </c>
      <c r="BX51" t="str">
        <f t="shared" ca="1" si="48"/>
        <v/>
      </c>
      <c r="BY51">
        <f t="shared" ca="1" si="49"/>
        <v>0</v>
      </c>
      <c r="BZ51" t="str">
        <f t="shared" ca="1" si="50"/>
        <v/>
      </c>
      <c r="CA51">
        <f t="shared" ca="1" si="51"/>
        <v>0</v>
      </c>
      <c r="CB51" t="str">
        <f t="shared" ca="1" si="52"/>
        <v/>
      </c>
      <c r="CC51">
        <f t="shared" ca="1" si="53"/>
        <v>0</v>
      </c>
    </row>
    <row r="52" spans="2:81" ht="14.25" customHeight="1" x14ac:dyDescent="0.3">
      <c r="B52" s="55">
        <f t="shared" si="27"/>
        <v>49</v>
      </c>
      <c r="C52" s="56" t="s">
        <v>118</v>
      </c>
      <c r="D52" s="256" t="str">
        <f>'Member Wise Deposit Summary'!D52</f>
        <v>0097433390829</v>
      </c>
      <c r="E52" s="56">
        <v>1</v>
      </c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7"/>
      <c r="AY52" s="56"/>
      <c r="AZ52" s="56"/>
      <c r="BA52" s="56"/>
      <c r="BB52" s="56">
        <f t="shared" si="28"/>
        <v>0</v>
      </c>
      <c r="BC52" s="56">
        <f t="shared" si="29"/>
        <v>0</v>
      </c>
      <c r="BE52">
        <f ca="1">'Monthly Collection-2027'!CC52</f>
        <v>0</v>
      </c>
      <c r="BF52" t="str">
        <f t="shared" ca="1" si="30"/>
        <v/>
      </c>
      <c r="BG52">
        <f t="shared" ca="1" si="31"/>
        <v>0</v>
      </c>
      <c r="BH52" t="str">
        <f t="shared" ca="1" si="32"/>
        <v/>
      </c>
      <c r="BI52">
        <f t="shared" ca="1" si="33"/>
        <v>0</v>
      </c>
      <c r="BJ52" t="str">
        <f t="shared" ca="1" si="34"/>
        <v/>
      </c>
      <c r="BK52">
        <f t="shared" ca="1" si="35"/>
        <v>0</v>
      </c>
      <c r="BL52" t="str">
        <f t="shared" ca="1" si="36"/>
        <v/>
      </c>
      <c r="BM52">
        <f t="shared" ca="1" si="37"/>
        <v>0</v>
      </c>
      <c r="BN52" t="str">
        <f t="shared" ca="1" si="38"/>
        <v/>
      </c>
      <c r="BO52">
        <f t="shared" ca="1" si="39"/>
        <v>0</v>
      </c>
      <c r="BP52" t="str">
        <f t="shared" ca="1" si="40"/>
        <v/>
      </c>
      <c r="BQ52">
        <f t="shared" ca="1" si="41"/>
        <v>0</v>
      </c>
      <c r="BR52" t="str">
        <f t="shared" ca="1" si="42"/>
        <v/>
      </c>
      <c r="BS52">
        <f t="shared" ca="1" si="43"/>
        <v>0</v>
      </c>
      <c r="BT52" t="str">
        <f t="shared" ca="1" si="44"/>
        <v/>
      </c>
      <c r="BU52">
        <f t="shared" ca="1" si="45"/>
        <v>0</v>
      </c>
      <c r="BV52" t="str">
        <f t="shared" ca="1" si="46"/>
        <v/>
      </c>
      <c r="BW52">
        <f t="shared" ca="1" si="47"/>
        <v>0</v>
      </c>
      <c r="BX52" t="str">
        <f t="shared" ca="1" si="48"/>
        <v/>
      </c>
      <c r="BY52">
        <f t="shared" ca="1" si="49"/>
        <v>0</v>
      </c>
      <c r="BZ52" t="str">
        <f t="shared" ca="1" si="50"/>
        <v/>
      </c>
      <c r="CA52">
        <f t="shared" ca="1" si="51"/>
        <v>0</v>
      </c>
      <c r="CB52" t="str">
        <f t="shared" ca="1" si="52"/>
        <v/>
      </c>
      <c r="CC52">
        <f t="shared" ca="1" si="53"/>
        <v>0</v>
      </c>
    </row>
    <row r="53" spans="2:81" ht="14.25" customHeight="1" x14ac:dyDescent="0.3">
      <c r="B53" s="51">
        <f t="shared" si="27"/>
        <v>50</v>
      </c>
      <c r="C53" s="52" t="s">
        <v>119</v>
      </c>
      <c r="D53" s="16">
        <f>'Member Wise Deposit Summary'!D53</f>
        <v>1829921642</v>
      </c>
      <c r="E53" s="52">
        <v>1</v>
      </c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3"/>
      <c r="AY53" s="52"/>
      <c r="AZ53" s="52"/>
      <c r="BA53" s="52"/>
      <c r="BB53" s="52">
        <f t="shared" si="28"/>
        <v>0</v>
      </c>
      <c r="BC53" s="52">
        <f t="shared" si="29"/>
        <v>0</v>
      </c>
      <c r="BE53">
        <f ca="1">'Monthly Collection-2027'!CC53</f>
        <v>0</v>
      </c>
      <c r="BF53" t="str">
        <f t="shared" ca="1" si="30"/>
        <v/>
      </c>
      <c r="BG53">
        <f t="shared" ca="1" si="31"/>
        <v>0</v>
      </c>
      <c r="BH53" t="str">
        <f t="shared" ca="1" si="32"/>
        <v/>
      </c>
      <c r="BI53">
        <f t="shared" ca="1" si="33"/>
        <v>0</v>
      </c>
      <c r="BJ53" t="str">
        <f t="shared" ca="1" si="34"/>
        <v/>
      </c>
      <c r="BK53">
        <f t="shared" ca="1" si="35"/>
        <v>0</v>
      </c>
      <c r="BL53" t="str">
        <f t="shared" ca="1" si="36"/>
        <v/>
      </c>
      <c r="BM53">
        <f t="shared" ca="1" si="37"/>
        <v>0</v>
      </c>
      <c r="BN53" t="str">
        <f t="shared" ca="1" si="38"/>
        <v/>
      </c>
      <c r="BO53">
        <f t="shared" ca="1" si="39"/>
        <v>0</v>
      </c>
      <c r="BP53" t="str">
        <f t="shared" ca="1" si="40"/>
        <v/>
      </c>
      <c r="BQ53">
        <f t="shared" ca="1" si="41"/>
        <v>0</v>
      </c>
      <c r="BR53" t="str">
        <f t="shared" ca="1" si="42"/>
        <v/>
      </c>
      <c r="BS53">
        <f t="shared" ca="1" si="43"/>
        <v>0</v>
      </c>
      <c r="BT53" t="str">
        <f t="shared" ca="1" si="44"/>
        <v/>
      </c>
      <c r="BU53">
        <f t="shared" ca="1" si="45"/>
        <v>0</v>
      </c>
      <c r="BV53" t="str">
        <f t="shared" ca="1" si="46"/>
        <v/>
      </c>
      <c r="BW53">
        <f t="shared" ca="1" si="47"/>
        <v>0</v>
      </c>
      <c r="BX53" t="str">
        <f t="shared" ca="1" si="48"/>
        <v/>
      </c>
      <c r="BY53">
        <f t="shared" ca="1" si="49"/>
        <v>0</v>
      </c>
      <c r="BZ53" t="str">
        <f t="shared" ca="1" si="50"/>
        <v/>
      </c>
      <c r="CA53">
        <f t="shared" ca="1" si="51"/>
        <v>0</v>
      </c>
      <c r="CB53" t="str">
        <f t="shared" ca="1" si="52"/>
        <v/>
      </c>
      <c r="CC53">
        <f t="shared" ca="1" si="53"/>
        <v>0</v>
      </c>
    </row>
    <row r="54" spans="2:81" ht="14.25" customHeight="1" x14ac:dyDescent="0.3">
      <c r="B54" s="55">
        <f t="shared" si="27"/>
        <v>51</v>
      </c>
      <c r="C54" s="56" t="s">
        <v>120</v>
      </c>
      <c r="D54" s="12">
        <f>'Member Wise Deposit Summary'!D54</f>
        <v>1889786926</v>
      </c>
      <c r="E54" s="56">
        <v>3</v>
      </c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7"/>
      <c r="AY54" s="56"/>
      <c r="AZ54" s="56"/>
      <c r="BA54" s="56"/>
      <c r="BB54" s="56">
        <f t="shared" si="28"/>
        <v>0</v>
      </c>
      <c r="BC54" s="56">
        <f t="shared" si="29"/>
        <v>0</v>
      </c>
      <c r="BE54">
        <f ca="1">'Monthly Collection-2027'!CC54</f>
        <v>0</v>
      </c>
      <c r="BF54" t="str">
        <f t="shared" ca="1" si="30"/>
        <v/>
      </c>
      <c r="BG54">
        <f t="shared" ca="1" si="31"/>
        <v>0</v>
      </c>
      <c r="BH54" t="str">
        <f t="shared" ca="1" si="32"/>
        <v/>
      </c>
      <c r="BI54">
        <f t="shared" ca="1" si="33"/>
        <v>0</v>
      </c>
      <c r="BJ54" t="str">
        <f t="shared" ca="1" si="34"/>
        <v/>
      </c>
      <c r="BK54">
        <f t="shared" ca="1" si="35"/>
        <v>0</v>
      </c>
      <c r="BL54" t="str">
        <f t="shared" ca="1" si="36"/>
        <v/>
      </c>
      <c r="BM54">
        <f t="shared" ca="1" si="37"/>
        <v>0</v>
      </c>
      <c r="BN54" t="str">
        <f t="shared" ca="1" si="38"/>
        <v/>
      </c>
      <c r="BO54">
        <f t="shared" ca="1" si="39"/>
        <v>0</v>
      </c>
      <c r="BP54" t="str">
        <f t="shared" ca="1" si="40"/>
        <v/>
      </c>
      <c r="BQ54">
        <f t="shared" ca="1" si="41"/>
        <v>0</v>
      </c>
      <c r="BR54" t="str">
        <f t="shared" ca="1" si="42"/>
        <v/>
      </c>
      <c r="BS54">
        <f t="shared" ca="1" si="43"/>
        <v>0</v>
      </c>
      <c r="BT54" t="str">
        <f t="shared" ca="1" si="44"/>
        <v/>
      </c>
      <c r="BU54">
        <f t="shared" ca="1" si="45"/>
        <v>0</v>
      </c>
      <c r="BV54" t="str">
        <f t="shared" ca="1" si="46"/>
        <v/>
      </c>
      <c r="BW54">
        <f t="shared" ca="1" si="47"/>
        <v>0</v>
      </c>
      <c r="BX54" t="str">
        <f t="shared" ca="1" si="48"/>
        <v/>
      </c>
      <c r="BY54">
        <f t="shared" ca="1" si="49"/>
        <v>0</v>
      </c>
      <c r="BZ54" t="str">
        <f t="shared" ca="1" si="50"/>
        <v/>
      </c>
      <c r="CA54">
        <f t="shared" ca="1" si="51"/>
        <v>0</v>
      </c>
      <c r="CB54" t="str">
        <f t="shared" ca="1" si="52"/>
        <v/>
      </c>
      <c r="CC54">
        <f t="shared" ca="1" si="53"/>
        <v>0</v>
      </c>
    </row>
    <row r="55" spans="2:81" ht="14.25" customHeight="1" x14ac:dyDescent="0.3">
      <c r="B55" s="51">
        <f t="shared" si="27"/>
        <v>52</v>
      </c>
      <c r="C55" s="52" t="s">
        <v>121</v>
      </c>
      <c r="D55" s="16">
        <f>'Member Wise Deposit Summary'!D55</f>
        <v>1833903155</v>
      </c>
      <c r="E55" s="52">
        <v>1</v>
      </c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3"/>
      <c r="AY55" s="52"/>
      <c r="AZ55" s="52"/>
      <c r="BA55" s="52"/>
      <c r="BB55" s="52">
        <f t="shared" si="28"/>
        <v>0</v>
      </c>
      <c r="BC55" s="52">
        <f t="shared" si="29"/>
        <v>0</v>
      </c>
      <c r="BE55">
        <f ca="1">'Monthly Collection-2027'!CC55</f>
        <v>0</v>
      </c>
      <c r="BF55" t="str">
        <f t="shared" ca="1" si="30"/>
        <v/>
      </c>
      <c r="BG55">
        <f t="shared" ca="1" si="31"/>
        <v>0</v>
      </c>
      <c r="BH55" t="str">
        <f t="shared" ca="1" si="32"/>
        <v/>
      </c>
      <c r="BI55">
        <f t="shared" ca="1" si="33"/>
        <v>0</v>
      </c>
      <c r="BJ55" t="str">
        <f t="shared" ca="1" si="34"/>
        <v/>
      </c>
      <c r="BK55">
        <f t="shared" ca="1" si="35"/>
        <v>0</v>
      </c>
      <c r="BL55" t="str">
        <f t="shared" ca="1" si="36"/>
        <v/>
      </c>
      <c r="BM55">
        <f t="shared" ca="1" si="37"/>
        <v>0</v>
      </c>
      <c r="BN55" t="str">
        <f t="shared" ca="1" si="38"/>
        <v/>
      </c>
      <c r="BO55">
        <f t="shared" ca="1" si="39"/>
        <v>0</v>
      </c>
      <c r="BP55" t="str">
        <f t="shared" ca="1" si="40"/>
        <v/>
      </c>
      <c r="BQ55">
        <f t="shared" ca="1" si="41"/>
        <v>0</v>
      </c>
      <c r="BR55" t="str">
        <f t="shared" ca="1" si="42"/>
        <v/>
      </c>
      <c r="BS55">
        <f t="shared" ca="1" si="43"/>
        <v>0</v>
      </c>
      <c r="BT55" t="str">
        <f t="shared" ca="1" si="44"/>
        <v/>
      </c>
      <c r="BU55">
        <f t="shared" ca="1" si="45"/>
        <v>0</v>
      </c>
      <c r="BV55" t="str">
        <f t="shared" ca="1" si="46"/>
        <v/>
      </c>
      <c r="BW55">
        <f t="shared" ca="1" si="47"/>
        <v>0</v>
      </c>
      <c r="BX55" t="str">
        <f t="shared" ca="1" si="48"/>
        <v/>
      </c>
      <c r="BY55">
        <f t="shared" ca="1" si="49"/>
        <v>0</v>
      </c>
      <c r="BZ55" t="str">
        <f t="shared" ca="1" si="50"/>
        <v/>
      </c>
      <c r="CA55">
        <f t="shared" ca="1" si="51"/>
        <v>0</v>
      </c>
      <c r="CB55" t="str">
        <f t="shared" ca="1" si="52"/>
        <v/>
      </c>
      <c r="CC55">
        <f t="shared" ca="1" si="53"/>
        <v>0</v>
      </c>
    </row>
    <row r="56" spans="2:81" ht="14.25" customHeight="1" x14ac:dyDescent="0.3">
      <c r="B56" s="55">
        <f t="shared" si="27"/>
        <v>53</v>
      </c>
      <c r="C56" s="56" t="s">
        <v>122</v>
      </c>
      <c r="D56" s="12">
        <f>'Member Wise Deposit Summary'!D56</f>
        <v>1897045177</v>
      </c>
      <c r="E56" s="56">
        <v>1</v>
      </c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7"/>
      <c r="AY56" s="56"/>
      <c r="AZ56" s="56"/>
      <c r="BA56" s="56"/>
      <c r="BB56" s="56">
        <f t="shared" si="28"/>
        <v>0</v>
      </c>
      <c r="BC56" s="56">
        <f t="shared" si="29"/>
        <v>0</v>
      </c>
      <c r="BE56">
        <f ca="1">'Monthly Collection-2027'!CC56</f>
        <v>0</v>
      </c>
      <c r="BF56" t="str">
        <f t="shared" ca="1" si="30"/>
        <v/>
      </c>
      <c r="BG56">
        <f t="shared" ca="1" si="31"/>
        <v>0</v>
      </c>
      <c r="BH56" t="str">
        <f t="shared" ca="1" si="32"/>
        <v/>
      </c>
      <c r="BI56">
        <f t="shared" ca="1" si="33"/>
        <v>0</v>
      </c>
      <c r="BJ56" t="str">
        <f t="shared" ca="1" si="34"/>
        <v/>
      </c>
      <c r="BK56">
        <f t="shared" ca="1" si="35"/>
        <v>0</v>
      </c>
      <c r="BL56" t="str">
        <f t="shared" ca="1" si="36"/>
        <v/>
      </c>
      <c r="BM56">
        <f t="shared" ca="1" si="37"/>
        <v>0</v>
      </c>
      <c r="BN56" t="str">
        <f t="shared" ca="1" si="38"/>
        <v/>
      </c>
      <c r="BO56">
        <f t="shared" ca="1" si="39"/>
        <v>0</v>
      </c>
      <c r="BP56" t="str">
        <f t="shared" ca="1" si="40"/>
        <v/>
      </c>
      <c r="BQ56">
        <f t="shared" ca="1" si="41"/>
        <v>0</v>
      </c>
      <c r="BR56" t="str">
        <f t="shared" ca="1" si="42"/>
        <v/>
      </c>
      <c r="BS56">
        <f t="shared" ca="1" si="43"/>
        <v>0</v>
      </c>
      <c r="BT56" t="str">
        <f t="shared" ca="1" si="44"/>
        <v/>
      </c>
      <c r="BU56">
        <f t="shared" ca="1" si="45"/>
        <v>0</v>
      </c>
      <c r="BV56" t="str">
        <f t="shared" ca="1" si="46"/>
        <v/>
      </c>
      <c r="BW56">
        <f t="shared" ca="1" si="47"/>
        <v>0</v>
      </c>
      <c r="BX56" t="str">
        <f t="shared" ca="1" si="48"/>
        <v/>
      </c>
      <c r="BY56">
        <f t="shared" ca="1" si="49"/>
        <v>0</v>
      </c>
      <c r="BZ56" t="str">
        <f t="shared" ca="1" si="50"/>
        <v/>
      </c>
      <c r="CA56">
        <f t="shared" ca="1" si="51"/>
        <v>0</v>
      </c>
      <c r="CB56" t="str">
        <f t="shared" ca="1" si="52"/>
        <v/>
      </c>
      <c r="CC56">
        <f t="shared" ca="1" si="53"/>
        <v>0</v>
      </c>
    </row>
    <row r="57" spans="2:81" ht="14.25" customHeight="1" x14ac:dyDescent="0.3">
      <c r="B57" s="51">
        <f t="shared" si="27"/>
        <v>54</v>
      </c>
      <c r="C57" s="52" t="s">
        <v>123</v>
      </c>
      <c r="D57" s="255" t="str">
        <f>'Member Wise Deposit Summary'!D57</f>
        <v>00966564847790</v>
      </c>
      <c r="E57" s="52">
        <v>1</v>
      </c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3"/>
      <c r="AY57" s="52"/>
      <c r="AZ57" s="52"/>
      <c r="BA57" s="52"/>
      <c r="BB57" s="52">
        <f t="shared" si="28"/>
        <v>0</v>
      </c>
      <c r="BC57" s="52">
        <f t="shared" si="29"/>
        <v>0</v>
      </c>
      <c r="BE57">
        <f ca="1">'Monthly Collection-2027'!CC57</f>
        <v>0</v>
      </c>
      <c r="BF57" t="str">
        <f t="shared" ca="1" si="30"/>
        <v/>
      </c>
      <c r="BG57">
        <f t="shared" ca="1" si="31"/>
        <v>0</v>
      </c>
      <c r="BH57" t="str">
        <f t="shared" ca="1" si="32"/>
        <v/>
      </c>
      <c r="BI57">
        <f t="shared" ca="1" si="33"/>
        <v>0</v>
      </c>
      <c r="BJ57" t="str">
        <f t="shared" ca="1" si="34"/>
        <v/>
      </c>
      <c r="BK57">
        <f t="shared" ca="1" si="35"/>
        <v>0</v>
      </c>
      <c r="BL57" t="str">
        <f t="shared" ca="1" si="36"/>
        <v/>
      </c>
      <c r="BM57">
        <f t="shared" ca="1" si="37"/>
        <v>0</v>
      </c>
      <c r="BN57" t="str">
        <f t="shared" ca="1" si="38"/>
        <v/>
      </c>
      <c r="BO57">
        <f t="shared" ca="1" si="39"/>
        <v>0</v>
      </c>
      <c r="BP57" t="str">
        <f t="shared" ca="1" si="40"/>
        <v/>
      </c>
      <c r="BQ57">
        <f t="shared" ca="1" si="41"/>
        <v>0</v>
      </c>
      <c r="BR57" t="str">
        <f t="shared" ca="1" si="42"/>
        <v/>
      </c>
      <c r="BS57">
        <f t="shared" ca="1" si="43"/>
        <v>0</v>
      </c>
      <c r="BT57" t="str">
        <f t="shared" ca="1" si="44"/>
        <v/>
      </c>
      <c r="BU57">
        <f t="shared" ca="1" si="45"/>
        <v>0</v>
      </c>
      <c r="BV57" t="str">
        <f t="shared" ca="1" si="46"/>
        <v/>
      </c>
      <c r="BW57">
        <f t="shared" ca="1" si="47"/>
        <v>0</v>
      </c>
      <c r="BX57" t="str">
        <f t="shared" ca="1" si="48"/>
        <v/>
      </c>
      <c r="BY57">
        <f t="shared" ca="1" si="49"/>
        <v>0</v>
      </c>
      <c r="BZ57" t="str">
        <f t="shared" ca="1" si="50"/>
        <v/>
      </c>
      <c r="CA57">
        <f t="shared" ca="1" si="51"/>
        <v>0</v>
      </c>
      <c r="CB57" t="str">
        <f t="shared" ca="1" si="52"/>
        <v/>
      </c>
      <c r="CC57">
        <f t="shared" ca="1" si="53"/>
        <v>0</v>
      </c>
    </row>
    <row r="58" spans="2:81" ht="14.25" customHeight="1" x14ac:dyDescent="0.3">
      <c r="B58" s="55">
        <f t="shared" si="27"/>
        <v>55</v>
      </c>
      <c r="C58" s="56" t="s">
        <v>124</v>
      </c>
      <c r="D58" s="256" t="str">
        <f>'Member Wise Deposit Summary'!D58</f>
        <v>00971559969326</v>
      </c>
      <c r="E58" s="56">
        <v>2</v>
      </c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7"/>
      <c r="AY58" s="56"/>
      <c r="AZ58" s="56"/>
      <c r="BA58" s="56"/>
      <c r="BB58" s="56">
        <f t="shared" si="28"/>
        <v>0</v>
      </c>
      <c r="BC58" s="56">
        <f t="shared" si="29"/>
        <v>0</v>
      </c>
      <c r="BE58">
        <f ca="1">'Monthly Collection-2027'!CC58</f>
        <v>0</v>
      </c>
      <c r="BF58" t="str">
        <f t="shared" ca="1" si="30"/>
        <v/>
      </c>
      <c r="BG58">
        <f t="shared" ca="1" si="31"/>
        <v>0</v>
      </c>
      <c r="BH58" t="str">
        <f t="shared" ca="1" si="32"/>
        <v/>
      </c>
      <c r="BI58">
        <f t="shared" ca="1" si="33"/>
        <v>0</v>
      </c>
      <c r="BJ58" t="str">
        <f t="shared" ca="1" si="34"/>
        <v/>
      </c>
      <c r="BK58">
        <f t="shared" ca="1" si="35"/>
        <v>0</v>
      </c>
      <c r="BL58" t="str">
        <f t="shared" ca="1" si="36"/>
        <v/>
      </c>
      <c r="BM58">
        <f t="shared" ca="1" si="37"/>
        <v>0</v>
      </c>
      <c r="BN58" t="str">
        <f t="shared" ca="1" si="38"/>
        <v/>
      </c>
      <c r="BO58">
        <f t="shared" ca="1" si="39"/>
        <v>0</v>
      </c>
      <c r="BP58" t="str">
        <f t="shared" ca="1" si="40"/>
        <v/>
      </c>
      <c r="BQ58">
        <f t="shared" ca="1" si="41"/>
        <v>0</v>
      </c>
      <c r="BR58" t="str">
        <f t="shared" ca="1" si="42"/>
        <v/>
      </c>
      <c r="BS58">
        <f t="shared" ca="1" si="43"/>
        <v>0</v>
      </c>
      <c r="BT58" t="str">
        <f t="shared" ca="1" si="44"/>
        <v/>
      </c>
      <c r="BU58">
        <f t="shared" ca="1" si="45"/>
        <v>0</v>
      </c>
      <c r="BV58" t="str">
        <f t="shared" ca="1" si="46"/>
        <v/>
      </c>
      <c r="BW58">
        <f t="shared" ca="1" si="47"/>
        <v>0</v>
      </c>
      <c r="BX58" t="str">
        <f t="shared" ca="1" si="48"/>
        <v/>
      </c>
      <c r="BY58">
        <f t="shared" ca="1" si="49"/>
        <v>0</v>
      </c>
      <c r="BZ58" t="str">
        <f t="shared" ca="1" si="50"/>
        <v/>
      </c>
      <c r="CA58">
        <f t="shared" ca="1" si="51"/>
        <v>0</v>
      </c>
      <c r="CB58" t="str">
        <f t="shared" ca="1" si="52"/>
        <v/>
      </c>
      <c r="CC58">
        <f t="shared" ca="1" si="53"/>
        <v>0</v>
      </c>
    </row>
    <row r="59" spans="2:81" ht="14.25" customHeight="1" x14ac:dyDescent="0.3">
      <c r="B59" s="51">
        <f t="shared" si="27"/>
        <v>56</v>
      </c>
      <c r="C59" s="52" t="s">
        <v>125</v>
      </c>
      <c r="D59" s="16" t="str">
        <f>'Member Wise Deposit Summary'!D59</f>
        <v>01585430658</v>
      </c>
      <c r="E59" s="52">
        <v>1</v>
      </c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3"/>
      <c r="AY59" s="52"/>
      <c r="AZ59" s="52"/>
      <c r="BA59" s="52"/>
      <c r="BB59" s="52">
        <f t="shared" si="28"/>
        <v>0</v>
      </c>
      <c r="BC59" s="52">
        <f t="shared" si="29"/>
        <v>0</v>
      </c>
      <c r="BE59">
        <f ca="1">'Monthly Collection-2027'!CC59</f>
        <v>0</v>
      </c>
      <c r="BF59" t="str">
        <f t="shared" ca="1" si="30"/>
        <v/>
      </c>
      <c r="BG59">
        <f t="shared" ca="1" si="31"/>
        <v>0</v>
      </c>
      <c r="BH59" t="str">
        <f t="shared" ca="1" si="32"/>
        <v/>
      </c>
      <c r="BI59">
        <f t="shared" ca="1" si="33"/>
        <v>0</v>
      </c>
      <c r="BJ59" t="str">
        <f t="shared" ca="1" si="34"/>
        <v/>
      </c>
      <c r="BK59">
        <f t="shared" ca="1" si="35"/>
        <v>0</v>
      </c>
      <c r="BL59" t="str">
        <f t="shared" ca="1" si="36"/>
        <v/>
      </c>
      <c r="BM59">
        <f t="shared" ca="1" si="37"/>
        <v>0</v>
      </c>
      <c r="BN59" t="str">
        <f t="shared" ca="1" si="38"/>
        <v/>
      </c>
      <c r="BO59">
        <f t="shared" ca="1" si="39"/>
        <v>0</v>
      </c>
      <c r="BP59" t="str">
        <f t="shared" ca="1" si="40"/>
        <v/>
      </c>
      <c r="BQ59">
        <f t="shared" ca="1" si="41"/>
        <v>0</v>
      </c>
      <c r="BR59" t="str">
        <f t="shared" ca="1" si="42"/>
        <v/>
      </c>
      <c r="BS59">
        <f t="shared" ca="1" si="43"/>
        <v>0</v>
      </c>
      <c r="BT59" t="str">
        <f t="shared" ca="1" si="44"/>
        <v/>
      </c>
      <c r="BU59">
        <f t="shared" ca="1" si="45"/>
        <v>0</v>
      </c>
      <c r="BV59" t="str">
        <f t="shared" ca="1" si="46"/>
        <v/>
      </c>
      <c r="BW59">
        <f t="shared" ca="1" si="47"/>
        <v>0</v>
      </c>
      <c r="BX59" t="str">
        <f t="shared" ca="1" si="48"/>
        <v/>
      </c>
      <c r="BY59">
        <f t="shared" ca="1" si="49"/>
        <v>0</v>
      </c>
      <c r="BZ59" t="str">
        <f t="shared" ca="1" si="50"/>
        <v/>
      </c>
      <c r="CA59">
        <f t="shared" ca="1" si="51"/>
        <v>0</v>
      </c>
      <c r="CB59" t="str">
        <f t="shared" ca="1" si="52"/>
        <v/>
      </c>
      <c r="CC59">
        <f t="shared" ca="1" si="53"/>
        <v>0</v>
      </c>
    </row>
    <row r="60" spans="2:81" ht="14.25" customHeight="1" x14ac:dyDescent="0.3">
      <c r="B60" s="55">
        <f t="shared" si="27"/>
        <v>57</v>
      </c>
      <c r="C60" s="56" t="s">
        <v>127</v>
      </c>
      <c r="D60" s="12" t="str">
        <f>'Member Wise Deposit Summary'!D60</f>
        <v>01814785317</v>
      </c>
      <c r="E60" s="56">
        <v>1</v>
      </c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7"/>
      <c r="AY60" s="56"/>
      <c r="AZ60" s="56"/>
      <c r="BA60" s="56"/>
      <c r="BB60" s="56">
        <f t="shared" si="28"/>
        <v>0</v>
      </c>
      <c r="BC60" s="56">
        <f t="shared" si="29"/>
        <v>0</v>
      </c>
      <c r="BE60">
        <f ca="1">'Monthly Collection-2027'!CC60</f>
        <v>0</v>
      </c>
      <c r="BF60" t="str">
        <f t="shared" ca="1" si="30"/>
        <v/>
      </c>
      <c r="BG60">
        <f t="shared" ca="1" si="31"/>
        <v>0</v>
      </c>
      <c r="BH60" t="str">
        <f t="shared" ca="1" si="32"/>
        <v/>
      </c>
      <c r="BI60">
        <f t="shared" ca="1" si="33"/>
        <v>0</v>
      </c>
      <c r="BJ60" t="str">
        <f t="shared" ca="1" si="34"/>
        <v/>
      </c>
      <c r="BK60">
        <f t="shared" ca="1" si="35"/>
        <v>0</v>
      </c>
      <c r="BL60" t="str">
        <f t="shared" ca="1" si="36"/>
        <v/>
      </c>
      <c r="BM60">
        <f t="shared" ca="1" si="37"/>
        <v>0</v>
      </c>
      <c r="BN60" t="str">
        <f t="shared" ca="1" si="38"/>
        <v/>
      </c>
      <c r="BO60">
        <f t="shared" ca="1" si="39"/>
        <v>0</v>
      </c>
      <c r="BP60" t="str">
        <f t="shared" ca="1" si="40"/>
        <v/>
      </c>
      <c r="BQ60">
        <f t="shared" ca="1" si="41"/>
        <v>0</v>
      </c>
      <c r="BR60" t="str">
        <f t="shared" ca="1" si="42"/>
        <v/>
      </c>
      <c r="BS60">
        <f t="shared" ca="1" si="43"/>
        <v>0</v>
      </c>
      <c r="BT60" t="str">
        <f t="shared" ca="1" si="44"/>
        <v/>
      </c>
      <c r="BU60">
        <f t="shared" ca="1" si="45"/>
        <v>0</v>
      </c>
      <c r="BV60" t="str">
        <f t="shared" ca="1" si="46"/>
        <v/>
      </c>
      <c r="BW60">
        <f t="shared" ca="1" si="47"/>
        <v>0</v>
      </c>
      <c r="BX60" t="str">
        <f t="shared" ca="1" si="48"/>
        <v/>
      </c>
      <c r="BY60">
        <f t="shared" ca="1" si="49"/>
        <v>0</v>
      </c>
      <c r="BZ60" t="str">
        <f t="shared" ca="1" si="50"/>
        <v/>
      </c>
      <c r="CA60">
        <f t="shared" ca="1" si="51"/>
        <v>0</v>
      </c>
      <c r="CB60" t="str">
        <f t="shared" ca="1" si="52"/>
        <v/>
      </c>
      <c r="CC60">
        <f t="shared" ca="1" si="53"/>
        <v>0</v>
      </c>
    </row>
    <row r="61" spans="2:81" ht="14.25" customHeight="1" x14ac:dyDescent="0.3">
      <c r="B61" s="51">
        <f t="shared" si="27"/>
        <v>58</v>
      </c>
      <c r="C61" s="52" t="s">
        <v>129</v>
      </c>
      <c r="D61" s="16" t="str">
        <f>'Member Wise Deposit Summary'!D61</f>
        <v>01728125764</v>
      </c>
      <c r="E61" s="52">
        <v>1</v>
      </c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3"/>
      <c r="AY61" s="52"/>
      <c r="AZ61" s="52"/>
      <c r="BA61" s="52"/>
      <c r="BB61" s="52">
        <f t="shared" si="28"/>
        <v>0</v>
      </c>
      <c r="BC61" s="52">
        <f t="shared" si="29"/>
        <v>0</v>
      </c>
      <c r="BE61">
        <f ca="1">'Monthly Collection-2027'!CC61</f>
        <v>0</v>
      </c>
      <c r="BF61" t="str">
        <f t="shared" ca="1" si="30"/>
        <v/>
      </c>
      <c r="BG61">
        <f t="shared" ca="1" si="31"/>
        <v>0</v>
      </c>
      <c r="BH61" t="str">
        <f t="shared" ca="1" si="32"/>
        <v/>
      </c>
      <c r="BI61">
        <f t="shared" ca="1" si="33"/>
        <v>0</v>
      </c>
      <c r="BJ61" t="str">
        <f t="shared" ca="1" si="34"/>
        <v/>
      </c>
      <c r="BK61">
        <f t="shared" ca="1" si="35"/>
        <v>0</v>
      </c>
      <c r="BL61" t="str">
        <f t="shared" ca="1" si="36"/>
        <v/>
      </c>
      <c r="BM61">
        <f t="shared" ca="1" si="37"/>
        <v>0</v>
      </c>
      <c r="BN61" t="str">
        <f t="shared" ca="1" si="38"/>
        <v/>
      </c>
      <c r="BO61">
        <f t="shared" ca="1" si="39"/>
        <v>0</v>
      </c>
      <c r="BP61" t="str">
        <f t="shared" ca="1" si="40"/>
        <v/>
      </c>
      <c r="BQ61">
        <f t="shared" ca="1" si="41"/>
        <v>0</v>
      </c>
      <c r="BR61" t="str">
        <f t="shared" ca="1" si="42"/>
        <v/>
      </c>
      <c r="BS61">
        <f t="shared" ca="1" si="43"/>
        <v>0</v>
      </c>
      <c r="BT61" t="str">
        <f t="shared" ca="1" si="44"/>
        <v/>
      </c>
      <c r="BU61">
        <f t="shared" ca="1" si="45"/>
        <v>0</v>
      </c>
      <c r="BV61" t="str">
        <f t="shared" ca="1" si="46"/>
        <v/>
      </c>
      <c r="BW61">
        <f t="shared" ca="1" si="47"/>
        <v>0</v>
      </c>
      <c r="BX61" t="str">
        <f t="shared" ca="1" si="48"/>
        <v/>
      </c>
      <c r="BY61">
        <f t="shared" ca="1" si="49"/>
        <v>0</v>
      </c>
      <c r="BZ61" t="str">
        <f t="shared" ca="1" si="50"/>
        <v/>
      </c>
      <c r="CA61">
        <f t="shared" ca="1" si="51"/>
        <v>0</v>
      </c>
      <c r="CB61" t="str">
        <f t="shared" ca="1" si="52"/>
        <v/>
      </c>
      <c r="CC61">
        <f t="shared" ca="1" si="53"/>
        <v>0</v>
      </c>
    </row>
    <row r="62" spans="2:81" ht="14.25" customHeight="1" x14ac:dyDescent="0.3">
      <c r="B62" s="55">
        <f t="shared" si="27"/>
        <v>59</v>
      </c>
      <c r="C62" s="56" t="s">
        <v>131</v>
      </c>
      <c r="D62" s="12">
        <f>'Member Wise Deposit Summary'!D62</f>
        <v>1817246488</v>
      </c>
      <c r="E62" s="56">
        <v>1</v>
      </c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7"/>
      <c r="AY62" s="56"/>
      <c r="AZ62" s="56"/>
      <c r="BA62" s="56"/>
      <c r="BB62" s="56">
        <f t="shared" si="28"/>
        <v>0</v>
      </c>
      <c r="BC62" s="56">
        <f t="shared" si="29"/>
        <v>0</v>
      </c>
      <c r="BE62">
        <f ca="1">'Monthly Collection-2027'!CC62</f>
        <v>0</v>
      </c>
      <c r="BF62" t="str">
        <f t="shared" ca="1" si="30"/>
        <v/>
      </c>
      <c r="BG62">
        <f t="shared" ca="1" si="31"/>
        <v>0</v>
      </c>
      <c r="BH62" t="str">
        <f t="shared" ca="1" si="32"/>
        <v/>
      </c>
      <c r="BI62">
        <f t="shared" ca="1" si="33"/>
        <v>0</v>
      </c>
      <c r="BJ62" t="str">
        <f t="shared" ca="1" si="34"/>
        <v/>
      </c>
      <c r="BK62">
        <f t="shared" ca="1" si="35"/>
        <v>0</v>
      </c>
      <c r="BL62" t="str">
        <f t="shared" ca="1" si="36"/>
        <v/>
      </c>
      <c r="BM62">
        <f t="shared" ca="1" si="37"/>
        <v>0</v>
      </c>
      <c r="BN62" t="str">
        <f t="shared" ca="1" si="38"/>
        <v/>
      </c>
      <c r="BO62">
        <f t="shared" ca="1" si="39"/>
        <v>0</v>
      </c>
      <c r="BP62" t="str">
        <f t="shared" ca="1" si="40"/>
        <v/>
      </c>
      <c r="BQ62">
        <f t="shared" ca="1" si="41"/>
        <v>0</v>
      </c>
      <c r="BR62" t="str">
        <f t="shared" ca="1" si="42"/>
        <v/>
      </c>
      <c r="BS62">
        <f t="shared" ca="1" si="43"/>
        <v>0</v>
      </c>
      <c r="BT62" t="str">
        <f t="shared" ca="1" si="44"/>
        <v/>
      </c>
      <c r="BU62">
        <f t="shared" ca="1" si="45"/>
        <v>0</v>
      </c>
      <c r="BV62" t="str">
        <f t="shared" ca="1" si="46"/>
        <v/>
      </c>
      <c r="BW62">
        <f t="shared" ca="1" si="47"/>
        <v>0</v>
      </c>
      <c r="BX62" t="str">
        <f t="shared" ca="1" si="48"/>
        <v/>
      </c>
      <c r="BY62">
        <f t="shared" ca="1" si="49"/>
        <v>0</v>
      </c>
      <c r="BZ62" t="str">
        <f t="shared" ca="1" si="50"/>
        <v/>
      </c>
      <c r="CA62">
        <f t="shared" ca="1" si="51"/>
        <v>0</v>
      </c>
      <c r="CB62" t="str">
        <f t="shared" ca="1" si="52"/>
        <v/>
      </c>
      <c r="CC62">
        <f t="shared" ca="1" si="53"/>
        <v>0</v>
      </c>
    </row>
    <row r="63" spans="2:81" ht="14.25" customHeight="1" x14ac:dyDescent="0.3">
      <c r="B63" s="51">
        <f t="shared" si="27"/>
        <v>60</v>
      </c>
      <c r="C63" s="52" t="s">
        <v>132</v>
      </c>
      <c r="D63" s="16">
        <f>'Member Wise Deposit Summary'!D63</f>
        <v>1866911987</v>
      </c>
      <c r="E63" s="52">
        <v>2</v>
      </c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3"/>
      <c r="AY63" s="52"/>
      <c r="AZ63" s="52"/>
      <c r="BA63" s="52"/>
      <c r="BB63" s="52">
        <f t="shared" si="28"/>
        <v>0</v>
      </c>
      <c r="BC63" s="52">
        <f t="shared" si="29"/>
        <v>0</v>
      </c>
      <c r="BE63">
        <f ca="1">'Monthly Collection-2027'!CC63</f>
        <v>0</v>
      </c>
      <c r="BF63" t="str">
        <f t="shared" ca="1" si="30"/>
        <v/>
      </c>
      <c r="BG63">
        <f t="shared" ca="1" si="31"/>
        <v>0</v>
      </c>
      <c r="BH63" t="str">
        <f t="shared" ca="1" si="32"/>
        <v/>
      </c>
      <c r="BI63">
        <f t="shared" ca="1" si="33"/>
        <v>0</v>
      </c>
      <c r="BJ63" t="str">
        <f t="shared" ca="1" si="34"/>
        <v/>
      </c>
      <c r="BK63">
        <f t="shared" ca="1" si="35"/>
        <v>0</v>
      </c>
      <c r="BL63" t="str">
        <f t="shared" ca="1" si="36"/>
        <v/>
      </c>
      <c r="BM63">
        <f t="shared" ca="1" si="37"/>
        <v>0</v>
      </c>
      <c r="BN63" t="str">
        <f t="shared" ca="1" si="38"/>
        <v/>
      </c>
      <c r="BO63">
        <f t="shared" ca="1" si="39"/>
        <v>0</v>
      </c>
      <c r="BP63" t="str">
        <f t="shared" ca="1" si="40"/>
        <v/>
      </c>
      <c r="BQ63">
        <f t="shared" ca="1" si="41"/>
        <v>0</v>
      </c>
      <c r="BR63" t="str">
        <f t="shared" ca="1" si="42"/>
        <v/>
      </c>
      <c r="BS63">
        <f t="shared" ca="1" si="43"/>
        <v>0</v>
      </c>
      <c r="BT63" t="str">
        <f t="shared" ca="1" si="44"/>
        <v/>
      </c>
      <c r="BU63">
        <f t="shared" ca="1" si="45"/>
        <v>0</v>
      </c>
      <c r="BV63" t="str">
        <f t="shared" ca="1" si="46"/>
        <v/>
      </c>
      <c r="BW63">
        <f t="shared" ca="1" si="47"/>
        <v>0</v>
      </c>
      <c r="BX63" t="str">
        <f t="shared" ca="1" si="48"/>
        <v/>
      </c>
      <c r="BY63">
        <f t="shared" ca="1" si="49"/>
        <v>0</v>
      </c>
      <c r="BZ63" t="str">
        <f t="shared" ca="1" si="50"/>
        <v/>
      </c>
      <c r="CA63">
        <f t="shared" ca="1" si="51"/>
        <v>0</v>
      </c>
      <c r="CB63" t="str">
        <f t="shared" ca="1" si="52"/>
        <v/>
      </c>
      <c r="CC63">
        <f t="shared" ca="1" si="53"/>
        <v>0</v>
      </c>
    </row>
    <row r="64" spans="2:81" ht="14.25" customHeight="1" x14ac:dyDescent="0.3">
      <c r="B64" s="55">
        <f t="shared" si="27"/>
        <v>61</v>
      </c>
      <c r="C64" s="56" t="s">
        <v>133</v>
      </c>
      <c r="D64" s="12">
        <f>'Member Wise Deposit Summary'!D64</f>
        <v>1817504865</v>
      </c>
      <c r="E64" s="56">
        <v>1</v>
      </c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7"/>
      <c r="AY64" s="56"/>
      <c r="AZ64" s="56"/>
      <c r="BA64" s="56"/>
      <c r="BB64" s="56">
        <f t="shared" si="28"/>
        <v>0</v>
      </c>
      <c r="BC64" s="56">
        <f t="shared" si="29"/>
        <v>0</v>
      </c>
      <c r="BE64">
        <f ca="1">'Monthly Collection-2027'!CC64</f>
        <v>0</v>
      </c>
      <c r="BF64" t="str">
        <f t="shared" ca="1" si="30"/>
        <v/>
      </c>
      <c r="BG64">
        <f t="shared" ca="1" si="31"/>
        <v>0</v>
      </c>
      <c r="BH64" t="str">
        <f t="shared" ca="1" si="32"/>
        <v/>
      </c>
      <c r="BI64">
        <f t="shared" ca="1" si="33"/>
        <v>0</v>
      </c>
      <c r="BJ64" t="str">
        <f t="shared" ca="1" si="34"/>
        <v/>
      </c>
      <c r="BK64">
        <f t="shared" ca="1" si="35"/>
        <v>0</v>
      </c>
      <c r="BL64" t="str">
        <f t="shared" ca="1" si="36"/>
        <v/>
      </c>
      <c r="BM64">
        <f t="shared" ca="1" si="37"/>
        <v>0</v>
      </c>
      <c r="BN64" t="str">
        <f t="shared" ca="1" si="38"/>
        <v/>
      </c>
      <c r="BO64">
        <f t="shared" ca="1" si="39"/>
        <v>0</v>
      </c>
      <c r="BP64" t="str">
        <f t="shared" ca="1" si="40"/>
        <v/>
      </c>
      <c r="BQ64">
        <f t="shared" ca="1" si="41"/>
        <v>0</v>
      </c>
      <c r="BR64" t="str">
        <f t="shared" ca="1" si="42"/>
        <v/>
      </c>
      <c r="BS64">
        <f t="shared" ca="1" si="43"/>
        <v>0</v>
      </c>
      <c r="BT64" t="str">
        <f t="shared" ca="1" si="44"/>
        <v/>
      </c>
      <c r="BU64">
        <f t="shared" ca="1" si="45"/>
        <v>0</v>
      </c>
      <c r="BV64" t="str">
        <f t="shared" ca="1" si="46"/>
        <v/>
      </c>
      <c r="BW64">
        <f t="shared" ca="1" si="47"/>
        <v>0</v>
      </c>
      <c r="BX64" t="str">
        <f t="shared" ca="1" si="48"/>
        <v/>
      </c>
      <c r="BY64">
        <f t="shared" ca="1" si="49"/>
        <v>0</v>
      </c>
      <c r="BZ64" t="str">
        <f t="shared" ca="1" si="50"/>
        <v/>
      </c>
      <c r="CA64">
        <f t="shared" ca="1" si="51"/>
        <v>0</v>
      </c>
      <c r="CB64" t="str">
        <f t="shared" ca="1" si="52"/>
        <v/>
      </c>
      <c r="CC64">
        <f t="shared" ca="1" si="53"/>
        <v>0</v>
      </c>
    </row>
    <row r="65" spans="2:81" ht="14.25" customHeight="1" x14ac:dyDescent="0.3">
      <c r="B65" s="51">
        <f t="shared" si="27"/>
        <v>62</v>
      </c>
      <c r="C65" s="52" t="s">
        <v>92</v>
      </c>
      <c r="D65" s="16">
        <f>'Member Wise Deposit Summary'!D65</f>
        <v>1885316318</v>
      </c>
      <c r="E65" s="52">
        <v>1</v>
      </c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3"/>
      <c r="AY65" s="52"/>
      <c r="AZ65" s="52"/>
      <c r="BA65" s="52"/>
      <c r="BB65" s="52">
        <f t="shared" si="28"/>
        <v>0</v>
      </c>
      <c r="BC65" s="52">
        <f t="shared" si="29"/>
        <v>0</v>
      </c>
      <c r="BE65">
        <f ca="1">'Monthly Collection-2027'!CC65</f>
        <v>0</v>
      </c>
      <c r="BF65" t="str">
        <f t="shared" ca="1" si="30"/>
        <v/>
      </c>
      <c r="BG65">
        <f t="shared" ca="1" si="31"/>
        <v>0</v>
      </c>
      <c r="BH65" t="str">
        <f t="shared" ca="1" si="32"/>
        <v/>
      </c>
      <c r="BI65">
        <f t="shared" ca="1" si="33"/>
        <v>0</v>
      </c>
      <c r="BJ65" t="str">
        <f t="shared" ca="1" si="34"/>
        <v/>
      </c>
      <c r="BK65">
        <f t="shared" ca="1" si="35"/>
        <v>0</v>
      </c>
      <c r="BL65" t="str">
        <f t="shared" ca="1" si="36"/>
        <v/>
      </c>
      <c r="BM65">
        <f t="shared" ca="1" si="37"/>
        <v>0</v>
      </c>
      <c r="BN65" t="str">
        <f t="shared" ca="1" si="38"/>
        <v/>
      </c>
      <c r="BO65">
        <f t="shared" ca="1" si="39"/>
        <v>0</v>
      </c>
      <c r="BP65" t="str">
        <f t="shared" ca="1" si="40"/>
        <v/>
      </c>
      <c r="BQ65">
        <f t="shared" ca="1" si="41"/>
        <v>0</v>
      </c>
      <c r="BR65" t="str">
        <f t="shared" ca="1" si="42"/>
        <v/>
      </c>
      <c r="BS65">
        <f t="shared" ca="1" si="43"/>
        <v>0</v>
      </c>
      <c r="BT65" t="str">
        <f t="shared" ca="1" si="44"/>
        <v/>
      </c>
      <c r="BU65">
        <f t="shared" ca="1" si="45"/>
        <v>0</v>
      </c>
      <c r="BV65" t="str">
        <f t="shared" ca="1" si="46"/>
        <v/>
      </c>
      <c r="BW65">
        <f t="shared" ca="1" si="47"/>
        <v>0</v>
      </c>
      <c r="BX65" t="str">
        <f t="shared" ca="1" si="48"/>
        <v/>
      </c>
      <c r="BY65">
        <f t="shared" ca="1" si="49"/>
        <v>0</v>
      </c>
      <c r="BZ65" t="str">
        <f t="shared" ca="1" si="50"/>
        <v/>
      </c>
      <c r="CA65">
        <f t="shared" ca="1" si="51"/>
        <v>0</v>
      </c>
      <c r="CB65" t="str">
        <f t="shared" ca="1" si="52"/>
        <v/>
      </c>
      <c r="CC65">
        <f t="shared" ca="1" si="53"/>
        <v>0</v>
      </c>
    </row>
    <row r="66" spans="2:81" ht="14.25" customHeight="1" x14ac:dyDescent="0.3">
      <c r="B66" s="55">
        <f t="shared" si="27"/>
        <v>63</v>
      </c>
      <c r="C66" s="56" t="s">
        <v>134</v>
      </c>
      <c r="D66" s="12">
        <f>'Member Wise Deposit Summary'!D66</f>
        <v>1827204517</v>
      </c>
      <c r="E66" s="56">
        <v>1</v>
      </c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7"/>
      <c r="AY66" s="56"/>
      <c r="AZ66" s="56"/>
      <c r="BA66" s="56"/>
      <c r="BB66" s="56">
        <f t="shared" si="28"/>
        <v>0</v>
      </c>
      <c r="BC66" s="56">
        <f t="shared" si="29"/>
        <v>0</v>
      </c>
      <c r="BE66">
        <f ca="1">'Monthly Collection-2027'!CC66</f>
        <v>0</v>
      </c>
      <c r="BF66" t="str">
        <f t="shared" ca="1" si="30"/>
        <v/>
      </c>
      <c r="BG66">
        <f t="shared" ca="1" si="31"/>
        <v>0</v>
      </c>
      <c r="BH66" t="str">
        <f t="shared" ca="1" si="32"/>
        <v/>
      </c>
      <c r="BI66">
        <f t="shared" ca="1" si="33"/>
        <v>0</v>
      </c>
      <c r="BJ66" t="str">
        <f t="shared" ca="1" si="34"/>
        <v/>
      </c>
      <c r="BK66">
        <f t="shared" ca="1" si="35"/>
        <v>0</v>
      </c>
      <c r="BL66" t="str">
        <f t="shared" ca="1" si="36"/>
        <v/>
      </c>
      <c r="BM66">
        <f t="shared" ca="1" si="37"/>
        <v>0</v>
      </c>
      <c r="BN66" t="str">
        <f t="shared" ca="1" si="38"/>
        <v/>
      </c>
      <c r="BO66">
        <f t="shared" ca="1" si="39"/>
        <v>0</v>
      </c>
      <c r="BP66" t="str">
        <f t="shared" ca="1" si="40"/>
        <v/>
      </c>
      <c r="BQ66">
        <f t="shared" ca="1" si="41"/>
        <v>0</v>
      </c>
      <c r="BR66" t="str">
        <f t="shared" ca="1" si="42"/>
        <v/>
      </c>
      <c r="BS66">
        <f t="shared" ca="1" si="43"/>
        <v>0</v>
      </c>
      <c r="BT66" t="str">
        <f t="shared" ca="1" si="44"/>
        <v/>
      </c>
      <c r="BU66">
        <f t="shared" ca="1" si="45"/>
        <v>0</v>
      </c>
      <c r="BV66" t="str">
        <f t="shared" ca="1" si="46"/>
        <v/>
      </c>
      <c r="BW66">
        <f t="shared" ca="1" si="47"/>
        <v>0</v>
      </c>
      <c r="BX66" t="str">
        <f t="shared" ca="1" si="48"/>
        <v/>
      </c>
      <c r="BY66">
        <f t="shared" ca="1" si="49"/>
        <v>0</v>
      </c>
      <c r="BZ66" t="str">
        <f t="shared" ca="1" si="50"/>
        <v/>
      </c>
      <c r="CA66">
        <f t="shared" ca="1" si="51"/>
        <v>0</v>
      </c>
      <c r="CB66" t="str">
        <f t="shared" ca="1" si="52"/>
        <v/>
      </c>
      <c r="CC66">
        <f t="shared" ca="1" si="53"/>
        <v>0</v>
      </c>
    </row>
    <row r="67" spans="2:81" ht="14.25" customHeight="1" x14ac:dyDescent="0.3">
      <c r="B67" s="51">
        <f t="shared" si="27"/>
        <v>64</v>
      </c>
      <c r="C67" s="52" t="s">
        <v>135</v>
      </c>
      <c r="D67" s="255" t="str">
        <f>'Member Wise Deposit Summary'!D67</f>
        <v>00971557893251</v>
      </c>
      <c r="E67" s="52">
        <v>1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3"/>
      <c r="AY67" s="52"/>
      <c r="AZ67" s="52"/>
      <c r="BA67" s="52"/>
      <c r="BB67" s="52">
        <f t="shared" si="28"/>
        <v>0</v>
      </c>
      <c r="BC67" s="52">
        <f t="shared" si="29"/>
        <v>0</v>
      </c>
      <c r="BE67">
        <f ca="1">'Monthly Collection-2027'!CC67</f>
        <v>0</v>
      </c>
      <c r="BF67" t="str">
        <f t="shared" ca="1" si="30"/>
        <v/>
      </c>
      <c r="BG67">
        <f t="shared" ca="1" si="31"/>
        <v>0</v>
      </c>
      <c r="BH67" t="str">
        <f t="shared" ca="1" si="32"/>
        <v/>
      </c>
      <c r="BI67">
        <f t="shared" ca="1" si="33"/>
        <v>0</v>
      </c>
      <c r="BJ67" t="str">
        <f t="shared" ca="1" si="34"/>
        <v/>
      </c>
      <c r="BK67">
        <f t="shared" ca="1" si="35"/>
        <v>0</v>
      </c>
      <c r="BL67" t="str">
        <f t="shared" ca="1" si="36"/>
        <v/>
      </c>
      <c r="BM67">
        <f t="shared" ca="1" si="37"/>
        <v>0</v>
      </c>
      <c r="BN67" t="str">
        <f t="shared" ca="1" si="38"/>
        <v/>
      </c>
      <c r="BO67">
        <f t="shared" ca="1" si="39"/>
        <v>0</v>
      </c>
      <c r="BP67" t="str">
        <f t="shared" ca="1" si="40"/>
        <v/>
      </c>
      <c r="BQ67">
        <f t="shared" ca="1" si="41"/>
        <v>0</v>
      </c>
      <c r="BR67" t="str">
        <f t="shared" ca="1" si="42"/>
        <v/>
      </c>
      <c r="BS67">
        <f t="shared" ca="1" si="43"/>
        <v>0</v>
      </c>
      <c r="BT67" t="str">
        <f t="shared" ca="1" si="44"/>
        <v/>
      </c>
      <c r="BU67">
        <f t="shared" ca="1" si="45"/>
        <v>0</v>
      </c>
      <c r="BV67" t="str">
        <f t="shared" ca="1" si="46"/>
        <v/>
      </c>
      <c r="BW67">
        <f t="shared" ca="1" si="47"/>
        <v>0</v>
      </c>
      <c r="BX67" t="str">
        <f t="shared" ca="1" si="48"/>
        <v/>
      </c>
      <c r="BY67">
        <f t="shared" ca="1" si="49"/>
        <v>0</v>
      </c>
      <c r="BZ67" t="str">
        <f t="shared" ca="1" si="50"/>
        <v/>
      </c>
      <c r="CA67">
        <f t="shared" ca="1" si="51"/>
        <v>0</v>
      </c>
      <c r="CB67" t="str">
        <f t="shared" ca="1" si="52"/>
        <v/>
      </c>
      <c r="CC67">
        <f t="shared" ca="1" si="53"/>
        <v>0</v>
      </c>
    </row>
    <row r="68" spans="2:81" ht="14.25" customHeight="1" x14ac:dyDescent="0.3">
      <c r="B68" s="55">
        <f t="shared" ref="B68:B80" si="54">ROW()-3</f>
        <v>65</v>
      </c>
      <c r="C68" s="56" t="s">
        <v>136</v>
      </c>
      <c r="D68" s="12">
        <f>'Member Wise Deposit Summary'!D68</f>
        <v>1861821214</v>
      </c>
      <c r="E68" s="56">
        <v>1</v>
      </c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7"/>
      <c r="AY68" s="56"/>
      <c r="AZ68" s="56"/>
      <c r="BA68" s="56"/>
      <c r="BB68" s="56">
        <f t="shared" ref="BB68:BB80" si="55">F68+G68+H68+J68+K68+L68+N68+O68+P68+R68+S68+T68+V68+W68+X68+Z68+AA68+AB68+AD68+AE68+AF68+AH68+AI68+AJ68+AL68+AM68+AN68+AP68+AQ68+AR68+AT68+AU68+AV68+AX68+AY68+AZ68</f>
        <v>0</v>
      </c>
      <c r="BC68" s="56">
        <f t="shared" ref="BC68:BC80" si="56">I68+M68+Q68+U68+Y68+AC68+AG68+AK68+AO68+AS68+AW68+BA68</f>
        <v>0</v>
      </c>
      <c r="BE68">
        <f ca="1">'Monthly Collection-2027'!CC68</f>
        <v>0</v>
      </c>
      <c r="BF68" t="str">
        <f t="shared" ref="BF68:BF80" ca="1" si="57">IF(N(F68)&gt;=$E68*1000,"",IF(AND($E68&gt;0,BE68&gt;=$E68*1000),"G",IF(F$2&lt;=TODAY(),"R","")))</f>
        <v/>
      </c>
      <c r="BG68">
        <f t="shared" ref="BG68:BG80" ca="1" si="58">BE68-IF(BF68="G",$E68*1000,0)+N(G68)</f>
        <v>0</v>
      </c>
      <c r="BH68" t="str">
        <f t="shared" ref="BH68:BH80" ca="1" si="59">IF(N(J68)&gt;=$E68*1000,"",IF(AND($E68&gt;0,BG68&gt;=$E68*1000),"G",IF(J$2&lt;=TODAY(),"R","")))</f>
        <v/>
      </c>
      <c r="BI68">
        <f t="shared" ref="BI68:BI80" ca="1" si="60">BG68-IF(BH68="G",$E68*1000,0)+N(K68)</f>
        <v>0</v>
      </c>
      <c r="BJ68" t="str">
        <f t="shared" ref="BJ68:BJ80" ca="1" si="61">IF(N(N68)&gt;=$E68*1000,"",IF(AND($E68&gt;0,BI68&gt;=$E68*1000),"G",IF(N$2&lt;=TODAY(),"R","")))</f>
        <v/>
      </c>
      <c r="BK68">
        <f t="shared" ref="BK68:BK80" ca="1" si="62">BI68-IF(BJ68="G",$E68*1000,0)+N(O68)</f>
        <v>0</v>
      </c>
      <c r="BL68" t="str">
        <f t="shared" ref="BL68:BL80" ca="1" si="63">IF(N(R68)&gt;=$E68*1000,"",IF(AND($E68&gt;0,BK68&gt;=$E68*1000),"G",IF(R$2&lt;=TODAY(),"R","")))</f>
        <v/>
      </c>
      <c r="BM68">
        <f t="shared" ref="BM68:BM80" ca="1" si="64">BK68-IF(BL68="G",$E68*1000,0)+N(S68)</f>
        <v>0</v>
      </c>
      <c r="BN68" t="str">
        <f t="shared" ref="BN68:BN80" ca="1" si="65">IF(N(V68)&gt;=$E68*1000,"",IF(AND($E68&gt;0,BM68&gt;=$E68*1000),"G",IF(V$2&lt;=TODAY(),"R","")))</f>
        <v/>
      </c>
      <c r="BO68">
        <f t="shared" ref="BO68:BO80" ca="1" si="66">BM68-IF(BN68="G",$E68*1000,0)+N(W68)</f>
        <v>0</v>
      </c>
      <c r="BP68" t="str">
        <f t="shared" ref="BP68:BP80" ca="1" si="67">IF(N(Z68)&gt;=$E68*1000,"",IF(AND($E68&gt;0,BO68&gt;=$E68*1000),"G",IF(Z$2&lt;=TODAY(),"R","")))</f>
        <v/>
      </c>
      <c r="BQ68">
        <f t="shared" ref="BQ68:BQ80" ca="1" si="68">BO68-IF(BP68="G",$E68*1000,0)+N(AA68)</f>
        <v>0</v>
      </c>
      <c r="BR68" t="str">
        <f t="shared" ref="BR68:BR80" ca="1" si="69">IF(N(AD68)&gt;=$E68*1000,"",IF(AND($E68&gt;0,BQ68&gt;=$E68*1000),"G",IF(AD$2&lt;=TODAY(),"R","")))</f>
        <v/>
      </c>
      <c r="BS68">
        <f t="shared" ref="BS68:BS80" ca="1" si="70">BQ68-IF(BR68="G",$E68*1000,0)+N(AE68)</f>
        <v>0</v>
      </c>
      <c r="BT68" t="str">
        <f t="shared" ref="BT68:BT80" ca="1" si="71">IF(N(AH68)&gt;=$E68*1000,"",IF(AND($E68&gt;0,BS68&gt;=$E68*1000),"G",IF(AH$2&lt;=TODAY(),"R","")))</f>
        <v/>
      </c>
      <c r="BU68">
        <f t="shared" ref="BU68:BU80" ca="1" si="72">BS68-IF(BT68="G",$E68*1000,0)+N(AI68)</f>
        <v>0</v>
      </c>
      <c r="BV68" t="str">
        <f t="shared" ref="BV68:BV80" ca="1" si="73">IF(N(AL68)&gt;=$E68*1000,"",IF(AND($E68&gt;0,BU68&gt;=$E68*1000),"G",IF(AL$2&lt;=TODAY(),"R","")))</f>
        <v/>
      </c>
      <c r="BW68">
        <f t="shared" ref="BW68:BW80" ca="1" si="74">BU68-IF(BV68="G",$E68*1000,0)+N(AM68)</f>
        <v>0</v>
      </c>
      <c r="BX68" t="str">
        <f t="shared" ref="BX68:BX80" ca="1" si="75">IF(N(AP68)&gt;=$E68*1000,"",IF(AND($E68&gt;0,BW68&gt;=$E68*1000),"G",IF(AP$2&lt;=TODAY(),"R","")))</f>
        <v/>
      </c>
      <c r="BY68">
        <f t="shared" ref="BY68:BY80" ca="1" si="76">BW68-IF(BX68="G",$E68*1000,0)+N(AQ68)</f>
        <v>0</v>
      </c>
      <c r="BZ68" t="str">
        <f t="shared" ref="BZ68:BZ80" ca="1" si="77">IF(N(AT68)&gt;=$E68*1000,"",IF(AND($E68&gt;0,BY68&gt;=$E68*1000),"G",IF(AT$2&lt;=TODAY(),"R","")))</f>
        <v/>
      </c>
      <c r="CA68">
        <f t="shared" ref="CA68:CA80" ca="1" si="78">BY68-IF(BZ68="G",$E68*1000,0)+N(AU68)</f>
        <v>0</v>
      </c>
      <c r="CB68" t="str">
        <f t="shared" ref="CB68:CB80" ca="1" si="79">IF(N(AX68)&gt;=$E68*1000,"",IF(AND($E68&gt;0,CA68&gt;=$E68*1000),"G",IF(AX$2&lt;=TODAY(),"R","")))</f>
        <v/>
      </c>
      <c r="CC68">
        <f t="shared" ref="CC68:CC80" ca="1" si="80">CA68-IF(CB68="G",$E68*1000,0)+N(AY68)</f>
        <v>0</v>
      </c>
    </row>
    <row r="69" spans="2:81" ht="14.25" customHeight="1" x14ac:dyDescent="0.3">
      <c r="B69" s="51">
        <f t="shared" si="54"/>
        <v>66</v>
      </c>
      <c r="C69" s="52" t="s">
        <v>137</v>
      </c>
      <c r="D69" s="255" t="str">
        <f>'Member Wise Deposit Summary'!D69</f>
        <v>00971557512381</v>
      </c>
      <c r="E69" s="52">
        <v>1</v>
      </c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3"/>
      <c r="AY69" s="52"/>
      <c r="AZ69" s="52"/>
      <c r="BA69" s="52"/>
      <c r="BB69" s="52">
        <f t="shared" si="55"/>
        <v>0</v>
      </c>
      <c r="BC69" s="52">
        <f t="shared" si="56"/>
        <v>0</v>
      </c>
      <c r="BE69">
        <f ca="1">'Monthly Collection-2027'!CC69</f>
        <v>0</v>
      </c>
      <c r="BF69" t="str">
        <f t="shared" ca="1" si="57"/>
        <v/>
      </c>
      <c r="BG69">
        <f t="shared" ca="1" si="58"/>
        <v>0</v>
      </c>
      <c r="BH69" t="str">
        <f t="shared" ca="1" si="59"/>
        <v/>
      </c>
      <c r="BI69">
        <f t="shared" ca="1" si="60"/>
        <v>0</v>
      </c>
      <c r="BJ69" t="str">
        <f t="shared" ca="1" si="61"/>
        <v/>
      </c>
      <c r="BK69">
        <f t="shared" ca="1" si="62"/>
        <v>0</v>
      </c>
      <c r="BL69" t="str">
        <f t="shared" ca="1" si="63"/>
        <v/>
      </c>
      <c r="BM69">
        <f t="shared" ca="1" si="64"/>
        <v>0</v>
      </c>
      <c r="BN69" t="str">
        <f t="shared" ca="1" si="65"/>
        <v/>
      </c>
      <c r="BO69">
        <f t="shared" ca="1" si="66"/>
        <v>0</v>
      </c>
      <c r="BP69" t="str">
        <f t="shared" ca="1" si="67"/>
        <v/>
      </c>
      <c r="BQ69">
        <f t="shared" ca="1" si="68"/>
        <v>0</v>
      </c>
      <c r="BR69" t="str">
        <f t="shared" ca="1" si="69"/>
        <v/>
      </c>
      <c r="BS69">
        <f t="shared" ca="1" si="70"/>
        <v>0</v>
      </c>
      <c r="BT69" t="str">
        <f t="shared" ca="1" si="71"/>
        <v/>
      </c>
      <c r="BU69">
        <f t="shared" ca="1" si="72"/>
        <v>0</v>
      </c>
      <c r="BV69" t="str">
        <f t="shared" ca="1" si="73"/>
        <v/>
      </c>
      <c r="BW69">
        <f t="shared" ca="1" si="74"/>
        <v>0</v>
      </c>
      <c r="BX69" t="str">
        <f t="shared" ca="1" si="75"/>
        <v/>
      </c>
      <c r="BY69">
        <f t="shared" ca="1" si="76"/>
        <v>0</v>
      </c>
      <c r="BZ69" t="str">
        <f t="shared" ca="1" si="77"/>
        <v/>
      </c>
      <c r="CA69">
        <f t="shared" ca="1" si="78"/>
        <v>0</v>
      </c>
      <c r="CB69" t="str">
        <f t="shared" ca="1" si="79"/>
        <v/>
      </c>
      <c r="CC69">
        <f t="shared" ca="1" si="80"/>
        <v>0</v>
      </c>
    </row>
    <row r="70" spans="2:81" ht="14.25" customHeight="1" x14ac:dyDescent="0.3">
      <c r="B70" s="55">
        <f t="shared" si="54"/>
        <v>67</v>
      </c>
      <c r="C70" s="56" t="s">
        <v>138</v>
      </c>
      <c r="D70" s="19">
        <f>'Member Wise Deposit Summary'!D70</f>
        <v>971585735180</v>
      </c>
      <c r="E70" s="56">
        <v>1</v>
      </c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7"/>
      <c r="AY70" s="56"/>
      <c r="AZ70" s="56"/>
      <c r="BA70" s="56"/>
      <c r="BB70" s="56">
        <f t="shared" si="55"/>
        <v>0</v>
      </c>
      <c r="BC70" s="56">
        <f t="shared" si="56"/>
        <v>0</v>
      </c>
      <c r="BE70">
        <f ca="1">'Monthly Collection-2027'!CC70</f>
        <v>0</v>
      </c>
      <c r="BF70" t="str">
        <f t="shared" ca="1" si="57"/>
        <v/>
      </c>
      <c r="BG70">
        <f t="shared" ca="1" si="58"/>
        <v>0</v>
      </c>
      <c r="BH70" t="str">
        <f t="shared" ca="1" si="59"/>
        <v/>
      </c>
      <c r="BI70">
        <f t="shared" ca="1" si="60"/>
        <v>0</v>
      </c>
      <c r="BJ70" t="str">
        <f t="shared" ca="1" si="61"/>
        <v/>
      </c>
      <c r="BK70">
        <f t="shared" ca="1" si="62"/>
        <v>0</v>
      </c>
      <c r="BL70" t="str">
        <f t="shared" ca="1" si="63"/>
        <v/>
      </c>
      <c r="BM70">
        <f t="shared" ca="1" si="64"/>
        <v>0</v>
      </c>
      <c r="BN70" t="str">
        <f t="shared" ca="1" si="65"/>
        <v/>
      </c>
      <c r="BO70">
        <f t="shared" ca="1" si="66"/>
        <v>0</v>
      </c>
      <c r="BP70" t="str">
        <f t="shared" ca="1" si="67"/>
        <v/>
      </c>
      <c r="BQ70">
        <f t="shared" ca="1" si="68"/>
        <v>0</v>
      </c>
      <c r="BR70" t="str">
        <f t="shared" ca="1" si="69"/>
        <v/>
      </c>
      <c r="BS70">
        <f t="shared" ca="1" si="70"/>
        <v>0</v>
      </c>
      <c r="BT70" t="str">
        <f t="shared" ca="1" si="71"/>
        <v/>
      </c>
      <c r="BU70">
        <f t="shared" ca="1" si="72"/>
        <v>0</v>
      </c>
      <c r="BV70" t="str">
        <f t="shared" ca="1" si="73"/>
        <v/>
      </c>
      <c r="BW70">
        <f t="shared" ca="1" si="74"/>
        <v>0</v>
      </c>
      <c r="BX70" t="str">
        <f t="shared" ca="1" si="75"/>
        <v/>
      </c>
      <c r="BY70">
        <f t="shared" ca="1" si="76"/>
        <v>0</v>
      </c>
      <c r="BZ70" t="str">
        <f t="shared" ca="1" si="77"/>
        <v/>
      </c>
      <c r="CA70">
        <f t="shared" ca="1" si="78"/>
        <v>0</v>
      </c>
      <c r="CB70" t="str">
        <f t="shared" ca="1" si="79"/>
        <v/>
      </c>
      <c r="CC70">
        <f t="shared" ca="1" si="80"/>
        <v>0</v>
      </c>
    </row>
    <row r="71" spans="2:81" ht="14.25" customHeight="1" x14ac:dyDescent="0.3">
      <c r="B71" s="51">
        <f t="shared" si="54"/>
        <v>68</v>
      </c>
      <c r="C71" s="52" t="s">
        <v>139</v>
      </c>
      <c r="D71" s="18">
        <f>'Member Wise Deposit Summary'!D71</f>
        <v>971502927559</v>
      </c>
      <c r="E71" s="52">
        <v>1</v>
      </c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3"/>
      <c r="AY71" s="52"/>
      <c r="AZ71" s="52"/>
      <c r="BA71" s="52"/>
      <c r="BB71" s="52">
        <f t="shared" si="55"/>
        <v>0</v>
      </c>
      <c r="BC71" s="52">
        <f t="shared" si="56"/>
        <v>0</v>
      </c>
      <c r="BE71">
        <f ca="1">'Monthly Collection-2027'!CC71</f>
        <v>0</v>
      </c>
      <c r="BF71" t="str">
        <f t="shared" ca="1" si="57"/>
        <v/>
      </c>
      <c r="BG71">
        <f t="shared" ca="1" si="58"/>
        <v>0</v>
      </c>
      <c r="BH71" t="str">
        <f t="shared" ca="1" si="59"/>
        <v/>
      </c>
      <c r="BI71">
        <f t="shared" ca="1" si="60"/>
        <v>0</v>
      </c>
      <c r="BJ71" t="str">
        <f t="shared" ca="1" si="61"/>
        <v/>
      </c>
      <c r="BK71">
        <f t="shared" ca="1" si="62"/>
        <v>0</v>
      </c>
      <c r="BL71" t="str">
        <f t="shared" ca="1" si="63"/>
        <v/>
      </c>
      <c r="BM71">
        <f t="shared" ca="1" si="64"/>
        <v>0</v>
      </c>
      <c r="BN71" t="str">
        <f t="shared" ca="1" si="65"/>
        <v/>
      </c>
      <c r="BO71">
        <f t="shared" ca="1" si="66"/>
        <v>0</v>
      </c>
      <c r="BP71" t="str">
        <f t="shared" ca="1" si="67"/>
        <v/>
      </c>
      <c r="BQ71">
        <f t="shared" ca="1" si="68"/>
        <v>0</v>
      </c>
      <c r="BR71" t="str">
        <f t="shared" ca="1" si="69"/>
        <v/>
      </c>
      <c r="BS71">
        <f t="shared" ca="1" si="70"/>
        <v>0</v>
      </c>
      <c r="BT71" t="str">
        <f t="shared" ca="1" si="71"/>
        <v/>
      </c>
      <c r="BU71">
        <f t="shared" ca="1" si="72"/>
        <v>0</v>
      </c>
      <c r="BV71" t="str">
        <f t="shared" ca="1" si="73"/>
        <v/>
      </c>
      <c r="BW71">
        <f t="shared" ca="1" si="74"/>
        <v>0</v>
      </c>
      <c r="BX71" t="str">
        <f t="shared" ca="1" si="75"/>
        <v/>
      </c>
      <c r="BY71">
        <f t="shared" ca="1" si="76"/>
        <v>0</v>
      </c>
      <c r="BZ71" t="str">
        <f t="shared" ca="1" si="77"/>
        <v/>
      </c>
      <c r="CA71">
        <f t="shared" ca="1" si="78"/>
        <v>0</v>
      </c>
      <c r="CB71" t="str">
        <f t="shared" ca="1" si="79"/>
        <v/>
      </c>
      <c r="CC71">
        <f t="shared" ca="1" si="80"/>
        <v>0</v>
      </c>
    </row>
    <row r="72" spans="2:81" ht="14.25" customHeight="1" x14ac:dyDescent="0.3">
      <c r="B72" s="55">
        <f t="shared" si="54"/>
        <v>69</v>
      </c>
      <c r="C72" s="56" t="s">
        <v>140</v>
      </c>
      <c r="D72" s="19">
        <f>'Member Wise Deposit Summary'!D72</f>
        <v>971561607784</v>
      </c>
      <c r="E72" s="56">
        <v>2</v>
      </c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7"/>
      <c r="AY72" s="56"/>
      <c r="AZ72" s="56"/>
      <c r="BA72" s="56"/>
      <c r="BB72" s="56">
        <f t="shared" si="55"/>
        <v>0</v>
      </c>
      <c r="BC72" s="56">
        <f t="shared" si="56"/>
        <v>0</v>
      </c>
      <c r="BE72">
        <f ca="1">'Monthly Collection-2027'!CC72</f>
        <v>0</v>
      </c>
      <c r="BF72" t="str">
        <f t="shared" ca="1" si="57"/>
        <v/>
      </c>
      <c r="BG72">
        <f t="shared" ca="1" si="58"/>
        <v>0</v>
      </c>
      <c r="BH72" t="str">
        <f t="shared" ca="1" si="59"/>
        <v/>
      </c>
      <c r="BI72">
        <f t="shared" ca="1" si="60"/>
        <v>0</v>
      </c>
      <c r="BJ72" t="str">
        <f t="shared" ca="1" si="61"/>
        <v/>
      </c>
      <c r="BK72">
        <f t="shared" ca="1" si="62"/>
        <v>0</v>
      </c>
      <c r="BL72" t="str">
        <f t="shared" ca="1" si="63"/>
        <v/>
      </c>
      <c r="BM72">
        <f t="shared" ca="1" si="64"/>
        <v>0</v>
      </c>
      <c r="BN72" t="str">
        <f t="shared" ca="1" si="65"/>
        <v/>
      </c>
      <c r="BO72">
        <f t="shared" ca="1" si="66"/>
        <v>0</v>
      </c>
      <c r="BP72" t="str">
        <f t="shared" ca="1" si="67"/>
        <v/>
      </c>
      <c r="BQ72">
        <f t="shared" ca="1" si="68"/>
        <v>0</v>
      </c>
      <c r="BR72" t="str">
        <f t="shared" ca="1" si="69"/>
        <v/>
      </c>
      <c r="BS72">
        <f t="shared" ca="1" si="70"/>
        <v>0</v>
      </c>
      <c r="BT72" t="str">
        <f t="shared" ca="1" si="71"/>
        <v/>
      </c>
      <c r="BU72">
        <f t="shared" ca="1" si="72"/>
        <v>0</v>
      </c>
      <c r="BV72" t="str">
        <f t="shared" ca="1" si="73"/>
        <v/>
      </c>
      <c r="BW72">
        <f t="shared" ca="1" si="74"/>
        <v>0</v>
      </c>
      <c r="BX72" t="str">
        <f t="shared" ca="1" si="75"/>
        <v/>
      </c>
      <c r="BY72">
        <f t="shared" ca="1" si="76"/>
        <v>0</v>
      </c>
      <c r="BZ72" t="str">
        <f t="shared" ca="1" si="77"/>
        <v/>
      </c>
      <c r="CA72">
        <f t="shared" ca="1" si="78"/>
        <v>0</v>
      </c>
      <c r="CB72" t="str">
        <f t="shared" ca="1" si="79"/>
        <v/>
      </c>
      <c r="CC72">
        <f t="shared" ca="1" si="80"/>
        <v>0</v>
      </c>
    </row>
    <row r="73" spans="2:81" ht="14.25" customHeight="1" x14ac:dyDescent="0.3">
      <c r="B73" s="51">
        <f t="shared" si="54"/>
        <v>70</v>
      </c>
      <c r="C73" s="52" t="s">
        <v>141</v>
      </c>
      <c r="D73" s="16">
        <f>'Member Wise Deposit Summary'!D73</f>
        <v>1814123764</v>
      </c>
      <c r="E73" s="52">
        <v>1</v>
      </c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3"/>
      <c r="AY73" s="52"/>
      <c r="AZ73" s="52"/>
      <c r="BA73" s="52"/>
      <c r="BB73" s="52">
        <f t="shared" si="55"/>
        <v>0</v>
      </c>
      <c r="BC73" s="52">
        <f t="shared" si="56"/>
        <v>0</v>
      </c>
      <c r="BE73">
        <f ca="1">'Monthly Collection-2027'!CC73</f>
        <v>0</v>
      </c>
      <c r="BF73" t="str">
        <f t="shared" ca="1" si="57"/>
        <v/>
      </c>
      <c r="BG73">
        <f t="shared" ca="1" si="58"/>
        <v>0</v>
      </c>
      <c r="BH73" t="str">
        <f t="shared" ca="1" si="59"/>
        <v/>
      </c>
      <c r="BI73">
        <f t="shared" ca="1" si="60"/>
        <v>0</v>
      </c>
      <c r="BJ73" t="str">
        <f t="shared" ca="1" si="61"/>
        <v/>
      </c>
      <c r="BK73">
        <f t="shared" ca="1" si="62"/>
        <v>0</v>
      </c>
      <c r="BL73" t="str">
        <f t="shared" ca="1" si="63"/>
        <v/>
      </c>
      <c r="BM73">
        <f t="shared" ca="1" si="64"/>
        <v>0</v>
      </c>
      <c r="BN73" t="str">
        <f t="shared" ca="1" si="65"/>
        <v/>
      </c>
      <c r="BO73">
        <f t="shared" ca="1" si="66"/>
        <v>0</v>
      </c>
      <c r="BP73" t="str">
        <f t="shared" ca="1" si="67"/>
        <v/>
      </c>
      <c r="BQ73">
        <f t="shared" ca="1" si="68"/>
        <v>0</v>
      </c>
      <c r="BR73" t="str">
        <f t="shared" ca="1" si="69"/>
        <v/>
      </c>
      <c r="BS73">
        <f t="shared" ca="1" si="70"/>
        <v>0</v>
      </c>
      <c r="BT73" t="str">
        <f t="shared" ca="1" si="71"/>
        <v/>
      </c>
      <c r="BU73">
        <f t="shared" ca="1" si="72"/>
        <v>0</v>
      </c>
      <c r="BV73" t="str">
        <f t="shared" ca="1" si="73"/>
        <v/>
      </c>
      <c r="BW73">
        <f t="shared" ca="1" si="74"/>
        <v>0</v>
      </c>
      <c r="BX73" t="str">
        <f t="shared" ca="1" si="75"/>
        <v/>
      </c>
      <c r="BY73">
        <f t="shared" ca="1" si="76"/>
        <v>0</v>
      </c>
      <c r="BZ73" t="str">
        <f t="shared" ca="1" si="77"/>
        <v/>
      </c>
      <c r="CA73">
        <f t="shared" ca="1" si="78"/>
        <v>0</v>
      </c>
      <c r="CB73" t="str">
        <f t="shared" ca="1" si="79"/>
        <v/>
      </c>
      <c r="CC73">
        <f t="shared" ca="1" si="80"/>
        <v>0</v>
      </c>
    </row>
    <row r="74" spans="2:81" ht="14.25" customHeight="1" x14ac:dyDescent="0.3">
      <c r="B74" s="55">
        <f t="shared" si="54"/>
        <v>71</v>
      </c>
      <c r="C74" s="56" t="s">
        <v>142</v>
      </c>
      <c r="D74" s="12" t="str">
        <f>'Member Wise Deposit Summary'!D74</f>
        <v>00971503805124</v>
      </c>
      <c r="E74" s="56">
        <v>1</v>
      </c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7"/>
      <c r="AY74" s="56"/>
      <c r="AZ74" s="56"/>
      <c r="BA74" s="56"/>
      <c r="BB74" s="56">
        <f t="shared" si="55"/>
        <v>0</v>
      </c>
      <c r="BC74" s="56">
        <f t="shared" si="56"/>
        <v>0</v>
      </c>
      <c r="BE74">
        <f ca="1">'Monthly Collection-2027'!CC74</f>
        <v>0</v>
      </c>
      <c r="BF74" t="str">
        <f t="shared" ca="1" si="57"/>
        <v/>
      </c>
      <c r="BG74">
        <f t="shared" ca="1" si="58"/>
        <v>0</v>
      </c>
      <c r="BH74" t="str">
        <f t="shared" ca="1" si="59"/>
        <v/>
      </c>
      <c r="BI74">
        <f t="shared" ca="1" si="60"/>
        <v>0</v>
      </c>
      <c r="BJ74" t="str">
        <f t="shared" ca="1" si="61"/>
        <v/>
      </c>
      <c r="BK74">
        <f t="shared" ca="1" si="62"/>
        <v>0</v>
      </c>
      <c r="BL74" t="str">
        <f t="shared" ca="1" si="63"/>
        <v/>
      </c>
      <c r="BM74">
        <f t="shared" ca="1" si="64"/>
        <v>0</v>
      </c>
      <c r="BN74" t="str">
        <f t="shared" ca="1" si="65"/>
        <v/>
      </c>
      <c r="BO74">
        <f t="shared" ca="1" si="66"/>
        <v>0</v>
      </c>
      <c r="BP74" t="str">
        <f t="shared" ca="1" si="67"/>
        <v/>
      </c>
      <c r="BQ74">
        <f t="shared" ca="1" si="68"/>
        <v>0</v>
      </c>
      <c r="BR74" t="str">
        <f t="shared" ca="1" si="69"/>
        <v/>
      </c>
      <c r="BS74">
        <f t="shared" ca="1" si="70"/>
        <v>0</v>
      </c>
      <c r="BT74" t="str">
        <f t="shared" ca="1" si="71"/>
        <v/>
      </c>
      <c r="BU74">
        <f t="shared" ca="1" si="72"/>
        <v>0</v>
      </c>
      <c r="BV74" t="str">
        <f t="shared" ca="1" si="73"/>
        <v/>
      </c>
      <c r="BW74">
        <f t="shared" ca="1" si="74"/>
        <v>0</v>
      </c>
      <c r="BX74" t="str">
        <f t="shared" ca="1" si="75"/>
        <v/>
      </c>
      <c r="BY74">
        <f t="shared" ca="1" si="76"/>
        <v>0</v>
      </c>
      <c r="BZ74" t="str">
        <f t="shared" ca="1" si="77"/>
        <v/>
      </c>
      <c r="CA74">
        <f t="shared" ca="1" si="78"/>
        <v>0</v>
      </c>
      <c r="CB74" t="str">
        <f t="shared" ca="1" si="79"/>
        <v/>
      </c>
      <c r="CC74">
        <f t="shared" ca="1" si="80"/>
        <v>0</v>
      </c>
    </row>
    <row r="75" spans="2:81" ht="14.25" customHeight="1" x14ac:dyDescent="0.3">
      <c r="B75" s="51">
        <f t="shared" si="54"/>
        <v>72</v>
      </c>
      <c r="C75" s="52" t="s">
        <v>143</v>
      </c>
      <c r="D75" s="16">
        <f>'Member Wise Deposit Summary'!D75</f>
        <v>1863367162</v>
      </c>
      <c r="E75" s="52">
        <v>1</v>
      </c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3"/>
      <c r="AY75" s="52"/>
      <c r="AZ75" s="52"/>
      <c r="BA75" s="52"/>
      <c r="BB75" s="52">
        <f t="shared" si="55"/>
        <v>0</v>
      </c>
      <c r="BC75" s="52">
        <f t="shared" si="56"/>
        <v>0</v>
      </c>
      <c r="BE75">
        <f ca="1">'Monthly Collection-2027'!CC75</f>
        <v>0</v>
      </c>
      <c r="BF75" t="str">
        <f t="shared" ca="1" si="57"/>
        <v/>
      </c>
      <c r="BG75">
        <f t="shared" ca="1" si="58"/>
        <v>0</v>
      </c>
      <c r="BH75" t="str">
        <f t="shared" ca="1" si="59"/>
        <v/>
      </c>
      <c r="BI75">
        <f t="shared" ca="1" si="60"/>
        <v>0</v>
      </c>
      <c r="BJ75" t="str">
        <f t="shared" ca="1" si="61"/>
        <v/>
      </c>
      <c r="BK75">
        <f t="shared" ca="1" si="62"/>
        <v>0</v>
      </c>
      <c r="BL75" t="str">
        <f t="shared" ca="1" si="63"/>
        <v/>
      </c>
      <c r="BM75">
        <f t="shared" ca="1" si="64"/>
        <v>0</v>
      </c>
      <c r="BN75" t="str">
        <f t="shared" ca="1" si="65"/>
        <v/>
      </c>
      <c r="BO75">
        <f t="shared" ca="1" si="66"/>
        <v>0</v>
      </c>
      <c r="BP75" t="str">
        <f t="shared" ca="1" si="67"/>
        <v/>
      </c>
      <c r="BQ75">
        <f t="shared" ca="1" si="68"/>
        <v>0</v>
      </c>
      <c r="BR75" t="str">
        <f t="shared" ca="1" si="69"/>
        <v/>
      </c>
      <c r="BS75">
        <f t="shared" ca="1" si="70"/>
        <v>0</v>
      </c>
      <c r="BT75" t="str">
        <f t="shared" ca="1" si="71"/>
        <v/>
      </c>
      <c r="BU75">
        <f t="shared" ca="1" si="72"/>
        <v>0</v>
      </c>
      <c r="BV75" t="str">
        <f t="shared" ca="1" si="73"/>
        <v/>
      </c>
      <c r="BW75">
        <f t="shared" ca="1" si="74"/>
        <v>0</v>
      </c>
      <c r="BX75" t="str">
        <f t="shared" ca="1" si="75"/>
        <v/>
      </c>
      <c r="BY75">
        <f t="shared" ca="1" si="76"/>
        <v>0</v>
      </c>
      <c r="BZ75" t="str">
        <f t="shared" ca="1" si="77"/>
        <v/>
      </c>
      <c r="CA75">
        <f t="shared" ca="1" si="78"/>
        <v>0</v>
      </c>
      <c r="CB75" t="str">
        <f t="shared" ca="1" si="79"/>
        <v/>
      </c>
      <c r="CC75">
        <f t="shared" ca="1" si="80"/>
        <v>0</v>
      </c>
    </row>
    <row r="76" spans="2:81" ht="14.25" customHeight="1" x14ac:dyDescent="0.3">
      <c r="B76" s="55">
        <f t="shared" si="54"/>
        <v>73</v>
      </c>
      <c r="C76" s="56" t="s">
        <v>144</v>
      </c>
      <c r="D76" s="256" t="str">
        <f>'Member Wise Deposit Summary'!D76</f>
        <v>00971545732130</v>
      </c>
      <c r="E76" s="56">
        <v>1</v>
      </c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7"/>
      <c r="AY76" s="56"/>
      <c r="AZ76" s="56"/>
      <c r="BA76" s="56"/>
      <c r="BB76" s="56">
        <f t="shared" si="55"/>
        <v>0</v>
      </c>
      <c r="BC76" s="56">
        <f t="shared" si="56"/>
        <v>0</v>
      </c>
      <c r="BE76">
        <f ca="1">'Monthly Collection-2027'!CC76</f>
        <v>0</v>
      </c>
      <c r="BF76" t="str">
        <f t="shared" ca="1" si="57"/>
        <v/>
      </c>
      <c r="BG76">
        <f t="shared" ca="1" si="58"/>
        <v>0</v>
      </c>
      <c r="BH76" t="str">
        <f t="shared" ca="1" si="59"/>
        <v/>
      </c>
      <c r="BI76">
        <f t="shared" ca="1" si="60"/>
        <v>0</v>
      </c>
      <c r="BJ76" t="str">
        <f t="shared" ca="1" si="61"/>
        <v/>
      </c>
      <c r="BK76">
        <f t="shared" ca="1" si="62"/>
        <v>0</v>
      </c>
      <c r="BL76" t="str">
        <f t="shared" ca="1" si="63"/>
        <v/>
      </c>
      <c r="BM76">
        <f t="shared" ca="1" si="64"/>
        <v>0</v>
      </c>
      <c r="BN76" t="str">
        <f t="shared" ca="1" si="65"/>
        <v/>
      </c>
      <c r="BO76">
        <f t="shared" ca="1" si="66"/>
        <v>0</v>
      </c>
      <c r="BP76" t="str">
        <f t="shared" ca="1" si="67"/>
        <v/>
      </c>
      <c r="BQ76">
        <f t="shared" ca="1" si="68"/>
        <v>0</v>
      </c>
      <c r="BR76" t="str">
        <f t="shared" ca="1" si="69"/>
        <v/>
      </c>
      <c r="BS76">
        <f t="shared" ca="1" si="70"/>
        <v>0</v>
      </c>
      <c r="BT76" t="str">
        <f t="shared" ca="1" si="71"/>
        <v/>
      </c>
      <c r="BU76">
        <f t="shared" ca="1" si="72"/>
        <v>0</v>
      </c>
      <c r="BV76" t="str">
        <f t="shared" ca="1" si="73"/>
        <v/>
      </c>
      <c r="BW76">
        <f t="shared" ca="1" si="74"/>
        <v>0</v>
      </c>
      <c r="BX76" t="str">
        <f t="shared" ca="1" si="75"/>
        <v/>
      </c>
      <c r="BY76">
        <f t="shared" ca="1" si="76"/>
        <v>0</v>
      </c>
      <c r="BZ76" t="str">
        <f t="shared" ca="1" si="77"/>
        <v/>
      </c>
      <c r="CA76">
        <f t="shared" ca="1" si="78"/>
        <v>0</v>
      </c>
      <c r="CB76" t="str">
        <f t="shared" ca="1" si="79"/>
        <v/>
      </c>
      <c r="CC76">
        <f t="shared" ca="1" si="80"/>
        <v>0</v>
      </c>
    </row>
    <row r="77" spans="2:81" ht="14.25" customHeight="1" x14ac:dyDescent="0.3">
      <c r="B77" s="51">
        <f t="shared" si="54"/>
        <v>74</v>
      </c>
      <c r="C77" s="52" t="s">
        <v>145</v>
      </c>
      <c r="D77" s="16" t="str">
        <f>'Member Wise Deposit Summary'!D77</f>
        <v>00966504512844</v>
      </c>
      <c r="E77" s="52">
        <v>1</v>
      </c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3"/>
      <c r="AY77" s="52"/>
      <c r="AZ77" s="52"/>
      <c r="BA77" s="52"/>
      <c r="BB77" s="52">
        <f t="shared" si="55"/>
        <v>0</v>
      </c>
      <c r="BC77" s="52">
        <f t="shared" si="56"/>
        <v>0</v>
      </c>
      <c r="BE77">
        <f ca="1">'Monthly Collection-2027'!CC77</f>
        <v>0</v>
      </c>
      <c r="BF77" t="str">
        <f t="shared" ca="1" si="57"/>
        <v/>
      </c>
      <c r="BG77">
        <f t="shared" ca="1" si="58"/>
        <v>0</v>
      </c>
      <c r="BH77" t="str">
        <f t="shared" ca="1" si="59"/>
        <v/>
      </c>
      <c r="BI77">
        <f t="shared" ca="1" si="60"/>
        <v>0</v>
      </c>
      <c r="BJ77" t="str">
        <f t="shared" ca="1" si="61"/>
        <v/>
      </c>
      <c r="BK77">
        <f t="shared" ca="1" si="62"/>
        <v>0</v>
      </c>
      <c r="BL77" t="str">
        <f t="shared" ca="1" si="63"/>
        <v/>
      </c>
      <c r="BM77">
        <f t="shared" ca="1" si="64"/>
        <v>0</v>
      </c>
      <c r="BN77" t="str">
        <f t="shared" ca="1" si="65"/>
        <v/>
      </c>
      <c r="BO77">
        <f t="shared" ca="1" si="66"/>
        <v>0</v>
      </c>
      <c r="BP77" t="str">
        <f t="shared" ca="1" si="67"/>
        <v/>
      </c>
      <c r="BQ77">
        <f t="shared" ca="1" si="68"/>
        <v>0</v>
      </c>
      <c r="BR77" t="str">
        <f t="shared" ca="1" si="69"/>
        <v/>
      </c>
      <c r="BS77">
        <f t="shared" ca="1" si="70"/>
        <v>0</v>
      </c>
      <c r="BT77" t="str">
        <f t="shared" ca="1" si="71"/>
        <v/>
      </c>
      <c r="BU77">
        <f t="shared" ca="1" si="72"/>
        <v>0</v>
      </c>
      <c r="BV77" t="str">
        <f t="shared" ca="1" si="73"/>
        <v/>
      </c>
      <c r="BW77">
        <f t="shared" ca="1" si="74"/>
        <v>0</v>
      </c>
      <c r="BX77" t="str">
        <f t="shared" ca="1" si="75"/>
        <v/>
      </c>
      <c r="BY77">
        <f t="shared" ca="1" si="76"/>
        <v>0</v>
      </c>
      <c r="BZ77" t="str">
        <f t="shared" ca="1" si="77"/>
        <v/>
      </c>
      <c r="CA77">
        <f t="shared" ca="1" si="78"/>
        <v>0</v>
      </c>
      <c r="CB77" t="str">
        <f t="shared" ca="1" si="79"/>
        <v/>
      </c>
      <c r="CC77">
        <f t="shared" ca="1" si="80"/>
        <v>0</v>
      </c>
    </row>
    <row r="78" spans="2:81" ht="14.25" customHeight="1" x14ac:dyDescent="0.3">
      <c r="B78" s="55">
        <f t="shared" si="54"/>
        <v>75</v>
      </c>
      <c r="C78" s="56" t="s">
        <v>146</v>
      </c>
      <c r="D78" s="12">
        <f>'Member Wise Deposit Summary'!D78</f>
        <v>1608600387</v>
      </c>
      <c r="E78" s="56">
        <v>1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7"/>
      <c r="AY78" s="56"/>
      <c r="AZ78" s="56"/>
      <c r="BA78" s="56"/>
      <c r="BB78" s="56">
        <f t="shared" si="55"/>
        <v>0</v>
      </c>
      <c r="BC78" s="56">
        <f t="shared" si="56"/>
        <v>0</v>
      </c>
      <c r="BE78">
        <f ca="1">'Monthly Collection-2027'!CC78</f>
        <v>0</v>
      </c>
      <c r="BF78" t="str">
        <f t="shared" ca="1" si="57"/>
        <v/>
      </c>
      <c r="BG78">
        <f t="shared" ca="1" si="58"/>
        <v>0</v>
      </c>
      <c r="BH78" t="str">
        <f t="shared" ca="1" si="59"/>
        <v/>
      </c>
      <c r="BI78">
        <f t="shared" ca="1" si="60"/>
        <v>0</v>
      </c>
      <c r="BJ78" t="str">
        <f t="shared" ca="1" si="61"/>
        <v/>
      </c>
      <c r="BK78">
        <f t="shared" ca="1" si="62"/>
        <v>0</v>
      </c>
      <c r="BL78" t="str">
        <f t="shared" ca="1" si="63"/>
        <v/>
      </c>
      <c r="BM78">
        <f t="shared" ca="1" si="64"/>
        <v>0</v>
      </c>
      <c r="BN78" t="str">
        <f t="shared" ca="1" si="65"/>
        <v/>
      </c>
      <c r="BO78">
        <f t="shared" ca="1" si="66"/>
        <v>0</v>
      </c>
      <c r="BP78" t="str">
        <f t="shared" ca="1" si="67"/>
        <v/>
      </c>
      <c r="BQ78">
        <f t="shared" ca="1" si="68"/>
        <v>0</v>
      </c>
      <c r="BR78" t="str">
        <f t="shared" ca="1" si="69"/>
        <v/>
      </c>
      <c r="BS78">
        <f t="shared" ca="1" si="70"/>
        <v>0</v>
      </c>
      <c r="BT78" t="str">
        <f t="shared" ca="1" si="71"/>
        <v/>
      </c>
      <c r="BU78">
        <f t="shared" ca="1" si="72"/>
        <v>0</v>
      </c>
      <c r="BV78" t="str">
        <f t="shared" ca="1" si="73"/>
        <v/>
      </c>
      <c r="BW78">
        <f t="shared" ca="1" si="74"/>
        <v>0</v>
      </c>
      <c r="BX78" t="str">
        <f t="shared" ca="1" si="75"/>
        <v/>
      </c>
      <c r="BY78">
        <f t="shared" ca="1" si="76"/>
        <v>0</v>
      </c>
      <c r="BZ78" t="str">
        <f t="shared" ca="1" si="77"/>
        <v/>
      </c>
      <c r="CA78">
        <f t="shared" ca="1" si="78"/>
        <v>0</v>
      </c>
      <c r="CB78" t="str">
        <f t="shared" ca="1" si="79"/>
        <v/>
      </c>
      <c r="CC78">
        <f t="shared" ca="1" si="80"/>
        <v>0</v>
      </c>
    </row>
    <row r="79" spans="2:81" ht="14.25" customHeight="1" x14ac:dyDescent="0.3">
      <c r="B79" s="51">
        <f t="shared" si="54"/>
        <v>76</v>
      </c>
      <c r="C79" s="52" t="s">
        <v>147</v>
      </c>
      <c r="D79" s="16" t="str">
        <f>'Member Wise Deposit Summary'!D79</f>
        <v>00966554277305</v>
      </c>
      <c r="E79" s="52">
        <v>1</v>
      </c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3"/>
      <c r="AY79" s="52"/>
      <c r="AZ79" s="52"/>
      <c r="BA79" s="52"/>
      <c r="BB79" s="52">
        <f t="shared" si="55"/>
        <v>0</v>
      </c>
      <c r="BC79" s="52">
        <f t="shared" si="56"/>
        <v>0</v>
      </c>
      <c r="BE79">
        <f ca="1">'Monthly Collection-2027'!CC79</f>
        <v>0</v>
      </c>
      <c r="BF79" t="str">
        <f t="shared" ca="1" si="57"/>
        <v/>
      </c>
      <c r="BG79">
        <f t="shared" ca="1" si="58"/>
        <v>0</v>
      </c>
      <c r="BH79" t="str">
        <f t="shared" ca="1" si="59"/>
        <v/>
      </c>
      <c r="BI79">
        <f t="shared" ca="1" si="60"/>
        <v>0</v>
      </c>
      <c r="BJ79" t="str">
        <f t="shared" ca="1" si="61"/>
        <v/>
      </c>
      <c r="BK79">
        <f t="shared" ca="1" si="62"/>
        <v>0</v>
      </c>
      <c r="BL79" t="str">
        <f t="shared" ca="1" si="63"/>
        <v/>
      </c>
      <c r="BM79">
        <f t="shared" ca="1" si="64"/>
        <v>0</v>
      </c>
      <c r="BN79" t="str">
        <f t="shared" ca="1" si="65"/>
        <v/>
      </c>
      <c r="BO79">
        <f t="shared" ca="1" si="66"/>
        <v>0</v>
      </c>
      <c r="BP79" t="str">
        <f t="shared" ca="1" si="67"/>
        <v/>
      </c>
      <c r="BQ79">
        <f t="shared" ca="1" si="68"/>
        <v>0</v>
      </c>
      <c r="BR79" t="str">
        <f t="shared" ca="1" si="69"/>
        <v/>
      </c>
      <c r="BS79">
        <f t="shared" ca="1" si="70"/>
        <v>0</v>
      </c>
      <c r="BT79" t="str">
        <f t="shared" ca="1" si="71"/>
        <v/>
      </c>
      <c r="BU79">
        <f t="shared" ca="1" si="72"/>
        <v>0</v>
      </c>
      <c r="BV79" t="str">
        <f t="shared" ca="1" si="73"/>
        <v/>
      </c>
      <c r="BW79">
        <f t="shared" ca="1" si="74"/>
        <v>0</v>
      </c>
      <c r="BX79" t="str">
        <f t="shared" ca="1" si="75"/>
        <v/>
      </c>
      <c r="BY79">
        <f t="shared" ca="1" si="76"/>
        <v>0</v>
      </c>
      <c r="BZ79" t="str">
        <f t="shared" ca="1" si="77"/>
        <v/>
      </c>
      <c r="CA79">
        <f t="shared" ca="1" si="78"/>
        <v>0</v>
      </c>
      <c r="CB79" t="str">
        <f t="shared" ca="1" si="79"/>
        <v/>
      </c>
      <c r="CC79">
        <f t="shared" ca="1" si="80"/>
        <v>0</v>
      </c>
    </row>
    <row r="80" spans="2:81" ht="15" customHeight="1" x14ac:dyDescent="0.3">
      <c r="B80" s="59">
        <f t="shared" si="54"/>
        <v>77</v>
      </c>
      <c r="C80" s="60" t="s">
        <v>148</v>
      </c>
      <c r="D80" s="12">
        <f>'Member Wise Deposit Summary'!D80</f>
        <v>1812676040</v>
      </c>
      <c r="E80" s="60">
        <v>1</v>
      </c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1"/>
      <c r="AY80" s="60"/>
      <c r="AZ80" s="60"/>
      <c r="BA80" s="60"/>
      <c r="BB80" s="60">
        <f t="shared" si="55"/>
        <v>0</v>
      </c>
      <c r="BC80" s="60">
        <f t="shared" si="56"/>
        <v>0</v>
      </c>
      <c r="BE80">
        <f ca="1">'Monthly Collection-2027'!CC80</f>
        <v>0</v>
      </c>
      <c r="BF80" t="str">
        <f t="shared" ca="1" si="57"/>
        <v/>
      </c>
      <c r="BG80">
        <f t="shared" ca="1" si="58"/>
        <v>0</v>
      </c>
      <c r="BH80" t="str">
        <f t="shared" ca="1" si="59"/>
        <v/>
      </c>
      <c r="BI80">
        <f t="shared" ca="1" si="60"/>
        <v>0</v>
      </c>
      <c r="BJ80" t="str">
        <f t="shared" ca="1" si="61"/>
        <v/>
      </c>
      <c r="BK80">
        <f t="shared" ca="1" si="62"/>
        <v>0</v>
      </c>
      <c r="BL80" t="str">
        <f t="shared" ca="1" si="63"/>
        <v/>
      </c>
      <c r="BM80">
        <f t="shared" ca="1" si="64"/>
        <v>0</v>
      </c>
      <c r="BN80" t="str">
        <f t="shared" ca="1" si="65"/>
        <v/>
      </c>
      <c r="BO80">
        <f t="shared" ca="1" si="66"/>
        <v>0</v>
      </c>
      <c r="BP80" t="str">
        <f t="shared" ca="1" si="67"/>
        <v/>
      </c>
      <c r="BQ80">
        <f t="shared" ca="1" si="68"/>
        <v>0</v>
      </c>
      <c r="BR80" t="str">
        <f t="shared" ca="1" si="69"/>
        <v/>
      </c>
      <c r="BS80">
        <f t="shared" ca="1" si="70"/>
        <v>0</v>
      </c>
      <c r="BT80" t="str">
        <f t="shared" ca="1" si="71"/>
        <v/>
      </c>
      <c r="BU80">
        <f t="shared" ca="1" si="72"/>
        <v>0</v>
      </c>
      <c r="BV80" t="str">
        <f t="shared" ca="1" si="73"/>
        <v/>
      </c>
      <c r="BW80">
        <f t="shared" ca="1" si="74"/>
        <v>0</v>
      </c>
      <c r="BX80" t="str">
        <f t="shared" ca="1" si="75"/>
        <v/>
      </c>
      <c r="BY80">
        <f t="shared" ca="1" si="76"/>
        <v>0</v>
      </c>
      <c r="BZ80" t="str">
        <f t="shared" ca="1" si="77"/>
        <v/>
      </c>
      <c r="CA80">
        <f t="shared" ca="1" si="78"/>
        <v>0</v>
      </c>
      <c r="CB80" t="str">
        <f t="shared" ca="1" si="79"/>
        <v/>
      </c>
      <c r="CC80">
        <f t="shared" ca="1" si="80"/>
        <v>0</v>
      </c>
    </row>
    <row r="81" spans="2:55" ht="15" customHeight="1" x14ac:dyDescent="0.3">
      <c r="B81" s="299" t="s">
        <v>68</v>
      </c>
      <c r="C81" s="299"/>
      <c r="D81" s="299"/>
      <c r="E81" s="299"/>
      <c r="F81" s="66">
        <f t="shared" ref="F81:AK81" si="81">SUM(F4:F80)</f>
        <v>0</v>
      </c>
      <c r="G81" s="66">
        <f t="shared" si="81"/>
        <v>0</v>
      </c>
      <c r="H81" s="66">
        <f t="shared" si="81"/>
        <v>0</v>
      </c>
      <c r="I81" s="66">
        <f t="shared" si="81"/>
        <v>0</v>
      </c>
      <c r="J81" s="66">
        <f t="shared" si="81"/>
        <v>0</v>
      </c>
      <c r="K81" s="66">
        <f t="shared" si="81"/>
        <v>0</v>
      </c>
      <c r="L81" s="66">
        <f t="shared" si="81"/>
        <v>0</v>
      </c>
      <c r="M81" s="66">
        <f t="shared" si="81"/>
        <v>0</v>
      </c>
      <c r="N81" s="66">
        <f t="shared" si="81"/>
        <v>0</v>
      </c>
      <c r="O81" s="66">
        <f t="shared" si="81"/>
        <v>0</v>
      </c>
      <c r="P81" s="66">
        <f t="shared" si="81"/>
        <v>0</v>
      </c>
      <c r="Q81" s="66">
        <f t="shared" si="81"/>
        <v>0</v>
      </c>
      <c r="R81" s="66">
        <f t="shared" si="81"/>
        <v>0</v>
      </c>
      <c r="S81" s="66">
        <f t="shared" si="81"/>
        <v>0</v>
      </c>
      <c r="T81" s="66">
        <f t="shared" si="81"/>
        <v>0</v>
      </c>
      <c r="U81" s="66">
        <f t="shared" si="81"/>
        <v>0</v>
      </c>
      <c r="V81" s="66">
        <f t="shared" si="81"/>
        <v>0</v>
      </c>
      <c r="W81" s="66">
        <f t="shared" si="81"/>
        <v>0</v>
      </c>
      <c r="X81" s="66">
        <f t="shared" si="81"/>
        <v>0</v>
      </c>
      <c r="Y81" s="66">
        <f t="shared" si="81"/>
        <v>0</v>
      </c>
      <c r="Z81" s="66">
        <f t="shared" si="81"/>
        <v>0</v>
      </c>
      <c r="AA81" s="66">
        <f t="shared" si="81"/>
        <v>0</v>
      </c>
      <c r="AB81" s="66">
        <f t="shared" si="81"/>
        <v>0</v>
      </c>
      <c r="AC81" s="66">
        <f t="shared" si="81"/>
        <v>0</v>
      </c>
      <c r="AD81" s="66">
        <f t="shared" si="81"/>
        <v>0</v>
      </c>
      <c r="AE81" s="66">
        <f t="shared" si="81"/>
        <v>0</v>
      </c>
      <c r="AF81" s="66">
        <f t="shared" si="81"/>
        <v>0</v>
      </c>
      <c r="AG81" s="66">
        <f t="shared" si="81"/>
        <v>0</v>
      </c>
      <c r="AH81" s="66">
        <f t="shared" si="81"/>
        <v>0</v>
      </c>
      <c r="AI81" s="66">
        <f t="shared" si="81"/>
        <v>0</v>
      </c>
      <c r="AJ81" s="66">
        <f t="shared" si="81"/>
        <v>0</v>
      </c>
      <c r="AK81" s="66">
        <f t="shared" si="81"/>
        <v>0</v>
      </c>
      <c r="AL81" s="66">
        <f t="shared" ref="AL81:BC81" si="82">SUM(AL4:AL80)</f>
        <v>0</v>
      </c>
      <c r="AM81" s="66">
        <f t="shared" si="82"/>
        <v>0</v>
      </c>
      <c r="AN81" s="66">
        <f t="shared" si="82"/>
        <v>0</v>
      </c>
      <c r="AO81" s="66">
        <f t="shared" si="82"/>
        <v>0</v>
      </c>
      <c r="AP81" s="66">
        <f t="shared" si="82"/>
        <v>0</v>
      </c>
      <c r="AQ81" s="66">
        <f t="shared" si="82"/>
        <v>0</v>
      </c>
      <c r="AR81" s="66">
        <f t="shared" si="82"/>
        <v>0</v>
      </c>
      <c r="AS81" s="66">
        <f t="shared" si="82"/>
        <v>0</v>
      </c>
      <c r="AT81" s="66">
        <f t="shared" si="82"/>
        <v>0</v>
      </c>
      <c r="AU81" s="66">
        <f t="shared" si="82"/>
        <v>0</v>
      </c>
      <c r="AV81" s="66">
        <f t="shared" si="82"/>
        <v>0</v>
      </c>
      <c r="AW81" s="66">
        <f t="shared" si="82"/>
        <v>0</v>
      </c>
      <c r="AX81" s="66">
        <f t="shared" si="82"/>
        <v>0</v>
      </c>
      <c r="AY81" s="66">
        <f t="shared" si="82"/>
        <v>0</v>
      </c>
      <c r="AZ81" s="66">
        <f t="shared" si="82"/>
        <v>0</v>
      </c>
      <c r="BA81" s="66">
        <f t="shared" si="82"/>
        <v>0</v>
      </c>
      <c r="BB81" s="66">
        <f t="shared" si="82"/>
        <v>0</v>
      </c>
      <c r="BC81" s="67">
        <f t="shared" si="82"/>
        <v>0</v>
      </c>
    </row>
  </sheetData>
  <mergeCells count="19">
    <mergeCell ref="B81:E81"/>
    <mergeCell ref="AD2:AG2"/>
    <mergeCell ref="AH2:AK2"/>
    <mergeCell ref="AL2:AO2"/>
    <mergeCell ref="AP2:AS2"/>
    <mergeCell ref="J2:M2"/>
    <mergeCell ref="N2:Q2"/>
    <mergeCell ref="R2:U2"/>
    <mergeCell ref="V2:Y2"/>
    <mergeCell ref="Z2:AC2"/>
    <mergeCell ref="B2:B3"/>
    <mergeCell ref="C2:C3"/>
    <mergeCell ref="D2:D3"/>
    <mergeCell ref="E2:E3"/>
    <mergeCell ref="F2:I2"/>
    <mergeCell ref="AX2:BA2"/>
    <mergeCell ref="BB2:BB3"/>
    <mergeCell ref="BC2:BC3"/>
    <mergeCell ref="AT2:AW2"/>
  </mergeCells>
  <conditionalFormatting sqref="F4:F80">
    <cfRule type="expression" dxfId="140" priority="100">
      <formula>$BF4="R"</formula>
    </cfRule>
    <cfRule type="expression" dxfId="139" priority="101">
      <formula>$BF4="G"</formula>
    </cfRule>
  </conditionalFormatting>
  <conditionalFormatting sqref="J4:J80">
    <cfRule type="expression" dxfId="138" priority="102">
      <formula>$BH4="R"</formula>
    </cfRule>
    <cfRule type="expression" dxfId="137" priority="103">
      <formula>$BH4="G"</formula>
    </cfRule>
  </conditionalFormatting>
  <conditionalFormatting sqref="N4:N80">
    <cfRule type="expression" dxfId="136" priority="104">
      <formula>$BJ4="R"</formula>
    </cfRule>
    <cfRule type="expression" dxfId="135" priority="105">
      <formula>$BJ4="G"</formula>
    </cfRule>
  </conditionalFormatting>
  <conditionalFormatting sqref="R4:R80">
    <cfRule type="expression" dxfId="134" priority="106">
      <formula>$BL4="R"</formula>
    </cfRule>
    <cfRule type="expression" dxfId="133" priority="107">
      <formula>$BL4="G"</formula>
    </cfRule>
  </conditionalFormatting>
  <conditionalFormatting sqref="V4:V80">
    <cfRule type="expression" dxfId="132" priority="108">
      <formula>$BN4="R"</formula>
    </cfRule>
    <cfRule type="expression" dxfId="131" priority="109">
      <formula>$BN4="G"</formula>
    </cfRule>
  </conditionalFormatting>
  <conditionalFormatting sqref="Z4:Z80">
    <cfRule type="expression" dxfId="130" priority="110">
      <formula>$BP4="R"</formula>
    </cfRule>
    <cfRule type="expression" dxfId="129" priority="111">
      <formula>$BP4="G"</formula>
    </cfRule>
  </conditionalFormatting>
  <conditionalFormatting sqref="AD4:AD80">
    <cfRule type="expression" dxfId="128" priority="112">
      <formula>$BR4="R"</formula>
    </cfRule>
    <cfRule type="expression" dxfId="127" priority="113">
      <formula>$BR4="G"</formula>
    </cfRule>
  </conditionalFormatting>
  <conditionalFormatting sqref="AH4:AH80">
    <cfRule type="expression" dxfId="126" priority="114">
      <formula>$BT4="R"</formula>
    </cfRule>
    <cfRule type="expression" dxfId="125" priority="115">
      <formula>$BT4="G"</formula>
    </cfRule>
  </conditionalFormatting>
  <conditionalFormatting sqref="AL4:AL80">
    <cfRule type="expression" dxfId="124" priority="116">
      <formula>$BV4="R"</formula>
    </cfRule>
    <cfRule type="expression" dxfId="123" priority="117">
      <formula>$BV4="G"</formula>
    </cfRule>
  </conditionalFormatting>
  <conditionalFormatting sqref="AP4:AP80">
    <cfRule type="expression" dxfId="122" priority="118">
      <formula>$BX4="R"</formula>
    </cfRule>
    <cfRule type="expression" dxfId="121" priority="119">
      <formula>$BX4="G"</formula>
    </cfRule>
  </conditionalFormatting>
  <conditionalFormatting sqref="AT4:AT80">
    <cfRule type="expression" dxfId="120" priority="120">
      <formula>$BZ4="R"</formula>
    </cfRule>
    <cfRule type="expression" dxfId="119" priority="121">
      <formula>$BZ4="G"</formula>
    </cfRule>
  </conditionalFormatting>
  <conditionalFormatting sqref="AX4:AX80">
    <cfRule type="expression" dxfId="118" priority="122">
      <formula>$CB4="R"</formula>
    </cfRule>
    <cfRule type="expression" dxfId="117" priority="123">
      <formula>$CB4="G"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15" zoomScaleNormal="100" workbookViewId="0">
      <selection activeCell="C38" sqref="C38"/>
    </sheetView>
  </sheetViews>
  <sheetFormatPr defaultColWidth="8.6640625" defaultRowHeight="14.4" x14ac:dyDescent="0.3"/>
  <cols>
    <col min="1" max="2" width="15" style="1" customWidth="1"/>
    <col min="3" max="3" width="20.77734375" style="1" customWidth="1"/>
  </cols>
  <sheetData>
    <row r="1" spans="1:3" ht="19.5" customHeight="1" x14ac:dyDescent="0.3">
      <c r="A1" s="4" t="str">
        <f>HYPERLINK("#DASHBOARD!A1","⬅ Dashboard")</f>
        <v>⬅ Dashboard</v>
      </c>
    </row>
    <row r="2" spans="1:3" ht="45" customHeight="1" x14ac:dyDescent="0.3">
      <c r="B2" s="307" t="s">
        <v>150</v>
      </c>
      <c r="C2" s="308"/>
    </row>
    <row r="3" spans="1:3" ht="14.25" customHeight="1" x14ac:dyDescent="0.3">
      <c r="B3" s="145" t="s">
        <v>151</v>
      </c>
      <c r="C3" s="146" t="s">
        <v>152</v>
      </c>
    </row>
    <row r="4" spans="1:3" ht="14.25" customHeight="1" x14ac:dyDescent="0.3">
      <c r="B4" s="147" t="s">
        <v>153</v>
      </c>
      <c r="C4" s="148">
        <v>45615</v>
      </c>
    </row>
    <row r="5" spans="1:3" ht="14.25" customHeight="1" x14ac:dyDescent="0.3">
      <c r="B5" s="149" t="s">
        <v>154</v>
      </c>
      <c r="C5" s="150">
        <v>480000</v>
      </c>
    </row>
    <row r="6" spans="1:3" ht="14.25" customHeight="1" x14ac:dyDescent="0.3">
      <c r="B6" s="149" t="s">
        <v>155</v>
      </c>
      <c r="C6" s="150">
        <v>130000</v>
      </c>
    </row>
    <row r="7" spans="1:3" ht="14.25" customHeight="1" x14ac:dyDescent="0.3">
      <c r="B7" s="151" t="s">
        <v>156</v>
      </c>
      <c r="C7" s="152">
        <v>350000</v>
      </c>
    </row>
    <row r="8" spans="1:3" ht="14.25" customHeight="1" x14ac:dyDescent="0.3">
      <c r="B8" s="149" t="s">
        <v>157</v>
      </c>
      <c r="C8" s="150">
        <v>568000</v>
      </c>
    </row>
    <row r="9" spans="1:3" ht="14.25" customHeight="1" x14ac:dyDescent="0.3">
      <c r="B9" s="149" t="s">
        <v>158</v>
      </c>
      <c r="C9" s="150">
        <f>C13-C7</f>
        <v>88000</v>
      </c>
    </row>
    <row r="10" spans="1:3" ht="14.25" customHeight="1" x14ac:dyDescent="0.3">
      <c r="B10" s="149" t="s">
        <v>159</v>
      </c>
      <c r="C10" s="150" t="s">
        <v>160</v>
      </c>
    </row>
    <row r="11" spans="1:3" ht="14.25" customHeight="1" x14ac:dyDescent="0.3">
      <c r="B11" s="149" t="s">
        <v>161</v>
      </c>
      <c r="C11" s="150">
        <v>15000</v>
      </c>
    </row>
    <row r="12" spans="1:3" ht="14.25" customHeight="1" x14ac:dyDescent="0.3">
      <c r="B12" s="149" t="s">
        <v>162</v>
      </c>
      <c r="C12" s="150">
        <v>93000</v>
      </c>
    </row>
    <row r="13" spans="1:3" ht="14.25" customHeight="1" x14ac:dyDescent="0.3">
      <c r="B13" s="149" t="s">
        <v>163</v>
      </c>
      <c r="C13" s="150">
        <f>C8-C6</f>
        <v>438000</v>
      </c>
    </row>
    <row r="14" spans="1:3" ht="14.25" customHeight="1" x14ac:dyDescent="0.3">
      <c r="B14" s="149"/>
      <c r="C14" s="150"/>
    </row>
    <row r="15" spans="1:3" ht="14.25" customHeight="1" x14ac:dyDescent="0.3">
      <c r="B15" s="151" t="s">
        <v>164</v>
      </c>
      <c r="C15" s="152" t="s">
        <v>165</v>
      </c>
    </row>
    <row r="16" spans="1:3" ht="14.25" customHeight="1" x14ac:dyDescent="0.3">
      <c r="B16" s="149" t="s">
        <v>166</v>
      </c>
      <c r="C16" s="150">
        <v>15000</v>
      </c>
    </row>
    <row r="17" spans="2:3" ht="14.25" customHeight="1" x14ac:dyDescent="0.3">
      <c r="B17" s="149" t="s">
        <v>167</v>
      </c>
      <c r="C17" s="150">
        <v>15000</v>
      </c>
    </row>
    <row r="18" spans="2:3" ht="14.25" customHeight="1" x14ac:dyDescent="0.3">
      <c r="B18" s="149" t="s">
        <v>168</v>
      </c>
      <c r="C18" s="150">
        <v>15000</v>
      </c>
    </row>
    <row r="19" spans="2:3" ht="14.25" customHeight="1" x14ac:dyDescent="0.3">
      <c r="B19" s="149" t="s">
        <v>169</v>
      </c>
      <c r="C19" s="150">
        <v>15000</v>
      </c>
    </row>
    <row r="20" spans="2:3" ht="14.25" customHeight="1" x14ac:dyDescent="0.3">
      <c r="B20" s="149" t="s">
        <v>170</v>
      </c>
      <c r="C20" s="150">
        <v>15000</v>
      </c>
    </row>
    <row r="21" spans="2:3" ht="14.25" customHeight="1" x14ac:dyDescent="0.3">
      <c r="B21" s="149" t="s">
        <v>171</v>
      </c>
      <c r="C21" s="150">
        <v>15000</v>
      </c>
    </row>
    <row r="22" spans="2:3" ht="14.25" customHeight="1" x14ac:dyDescent="0.3">
      <c r="B22" s="149" t="s">
        <v>172</v>
      </c>
      <c r="C22" s="150">
        <v>15000</v>
      </c>
    </row>
    <row r="23" spans="2:3" ht="14.25" customHeight="1" x14ac:dyDescent="0.3">
      <c r="B23" s="149" t="s">
        <v>173</v>
      </c>
      <c r="C23" s="150">
        <v>15000</v>
      </c>
    </row>
    <row r="24" spans="2:3" ht="14.25" customHeight="1" x14ac:dyDescent="0.3">
      <c r="B24" s="153">
        <v>45910</v>
      </c>
      <c r="C24" s="150">
        <v>15000</v>
      </c>
    </row>
    <row r="25" spans="2:3" ht="14.25" customHeight="1" x14ac:dyDescent="0.3">
      <c r="B25" s="153">
        <v>45940</v>
      </c>
      <c r="C25" s="150">
        <v>15000</v>
      </c>
    </row>
    <row r="26" spans="2:3" ht="14.25" customHeight="1" x14ac:dyDescent="0.3">
      <c r="B26" s="153">
        <v>45971</v>
      </c>
      <c r="C26" s="150">
        <v>15000</v>
      </c>
    </row>
    <row r="27" spans="2:3" ht="14.25" customHeight="1" x14ac:dyDescent="0.3">
      <c r="B27" s="153">
        <v>46001</v>
      </c>
      <c r="C27" s="150">
        <v>15000</v>
      </c>
    </row>
    <row r="28" spans="2:3" ht="14.25" customHeight="1" x14ac:dyDescent="0.3">
      <c r="B28" s="153">
        <v>46032</v>
      </c>
      <c r="C28" s="150">
        <v>10000</v>
      </c>
    </row>
    <row r="29" spans="2:3" ht="14.25" customHeight="1" x14ac:dyDescent="0.3">
      <c r="B29" s="153">
        <v>46063</v>
      </c>
      <c r="C29" s="150">
        <v>15000</v>
      </c>
    </row>
    <row r="30" spans="2:3" ht="14.25" customHeight="1" x14ac:dyDescent="0.3">
      <c r="B30" s="153">
        <v>46091</v>
      </c>
      <c r="C30" s="150">
        <v>10000</v>
      </c>
    </row>
    <row r="31" spans="2:3" ht="14.25" customHeight="1" x14ac:dyDescent="0.3">
      <c r="B31" s="153">
        <v>46122</v>
      </c>
      <c r="C31" s="150">
        <v>15000</v>
      </c>
    </row>
    <row r="32" spans="2:3" ht="14.25" customHeight="1" x14ac:dyDescent="0.3">
      <c r="B32" s="153">
        <v>46152</v>
      </c>
      <c r="C32" s="150">
        <v>15000</v>
      </c>
    </row>
    <row r="33" spans="2:3" ht="14.25" customHeight="1" x14ac:dyDescent="0.3">
      <c r="B33" s="153">
        <v>46183</v>
      </c>
      <c r="C33" s="150">
        <v>10000</v>
      </c>
    </row>
    <row r="34" spans="2:3" ht="14.25" customHeight="1" x14ac:dyDescent="0.3">
      <c r="B34" s="153">
        <v>46213</v>
      </c>
      <c r="C34" s="150">
        <v>15000</v>
      </c>
    </row>
    <row r="35" spans="2:3" ht="14.25" customHeight="1" x14ac:dyDescent="0.3">
      <c r="B35" s="153">
        <v>46244</v>
      </c>
      <c r="C35" s="150">
        <v>10000</v>
      </c>
    </row>
    <row r="36" spans="2:3" ht="14.25" customHeight="1" x14ac:dyDescent="0.3">
      <c r="B36" s="153">
        <v>46275</v>
      </c>
      <c r="C36" s="150">
        <v>15000</v>
      </c>
    </row>
    <row r="37" spans="2:3" ht="14.25" customHeight="1" x14ac:dyDescent="0.3">
      <c r="B37" s="153">
        <v>46305</v>
      </c>
      <c r="C37" s="150">
        <v>15000</v>
      </c>
    </row>
    <row r="38" spans="2:3" ht="14.25" customHeight="1" x14ac:dyDescent="0.3">
      <c r="B38" s="153"/>
      <c r="C38" s="150"/>
    </row>
    <row r="39" spans="2:3" ht="14.25" customHeight="1" x14ac:dyDescent="0.3">
      <c r="B39" s="149"/>
      <c r="C39" s="150"/>
    </row>
    <row r="40" spans="2:3" ht="14.25" customHeight="1" x14ac:dyDescent="0.3">
      <c r="B40" s="151" t="s">
        <v>174</v>
      </c>
      <c r="C40" s="152">
        <f>SUBTOTAL(109,C16:C39)</f>
        <v>310000</v>
      </c>
    </row>
    <row r="41" spans="2:3" ht="15" customHeight="1" x14ac:dyDescent="0.3">
      <c r="B41" s="154" t="s">
        <v>175</v>
      </c>
      <c r="C41" s="155">
        <f>C13-C40</f>
        <v>128000</v>
      </c>
    </row>
  </sheetData>
  <mergeCells count="1">
    <mergeCell ref="B2:C2"/>
  </mergeCells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17" zoomScaleNormal="100" workbookViewId="0">
      <selection activeCell="C38" sqref="C38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" style="3" customWidth="1"/>
    <col min="4" max="4" width="4.5546875" style="3" customWidth="1"/>
    <col min="5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4.25" customHeight="1" x14ac:dyDescent="0.3">
      <c r="B2" s="307" t="s">
        <v>150</v>
      </c>
      <c r="C2" s="308"/>
    </row>
    <row r="3" spans="1:3" ht="14.25" customHeight="1" x14ac:dyDescent="0.3">
      <c r="B3" s="156" t="s">
        <v>151</v>
      </c>
      <c r="C3" s="157" t="s">
        <v>176</v>
      </c>
    </row>
    <row r="4" spans="1:3" ht="14.25" customHeight="1" x14ac:dyDescent="0.3">
      <c r="B4" s="147" t="s">
        <v>153</v>
      </c>
      <c r="C4" s="148">
        <v>45615</v>
      </c>
    </row>
    <row r="5" spans="1:3" ht="14.25" customHeight="1" x14ac:dyDescent="0.3">
      <c r="B5" s="158" t="s">
        <v>154</v>
      </c>
      <c r="C5" s="159">
        <v>430000</v>
      </c>
    </row>
    <row r="6" spans="1:3" ht="14.25" customHeight="1" x14ac:dyDescent="0.3">
      <c r="B6" s="158" t="s">
        <v>155</v>
      </c>
      <c r="C6" s="159">
        <v>180000</v>
      </c>
    </row>
    <row r="7" spans="1:3" ht="14.25" customHeight="1" x14ac:dyDescent="0.3">
      <c r="B7" s="160" t="s">
        <v>156</v>
      </c>
      <c r="C7" s="161">
        <v>250000</v>
      </c>
    </row>
    <row r="8" spans="1:3" ht="14.25" customHeight="1" x14ac:dyDescent="0.3">
      <c r="B8" s="158" t="s">
        <v>157</v>
      </c>
      <c r="C8" s="159">
        <v>474500</v>
      </c>
    </row>
    <row r="9" spans="1:3" ht="14.25" customHeight="1" x14ac:dyDescent="0.3">
      <c r="B9" s="158" t="s">
        <v>158</v>
      </c>
      <c r="C9" s="159">
        <f>C8-C5</f>
        <v>44500</v>
      </c>
    </row>
    <row r="10" spans="1:3" ht="14.25" customHeight="1" x14ac:dyDescent="0.3">
      <c r="B10" s="158" t="s">
        <v>159</v>
      </c>
      <c r="C10" s="159" t="s">
        <v>177</v>
      </c>
    </row>
    <row r="11" spans="1:3" ht="14.25" customHeight="1" x14ac:dyDescent="0.3">
      <c r="B11" s="158" t="s">
        <v>161</v>
      </c>
      <c r="C11" s="159">
        <v>15000</v>
      </c>
    </row>
    <row r="12" spans="1:3" ht="14.25" customHeight="1" x14ac:dyDescent="0.3">
      <c r="B12" s="158" t="s">
        <v>162</v>
      </c>
      <c r="C12" s="159">
        <v>12500</v>
      </c>
    </row>
    <row r="13" spans="1:3" ht="14.25" customHeight="1" x14ac:dyDescent="0.3">
      <c r="B13" s="158" t="s">
        <v>163</v>
      </c>
      <c r="C13" s="159">
        <v>294500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58" t="s">
        <v>166</v>
      </c>
      <c r="C16" s="159">
        <v>15000</v>
      </c>
    </row>
    <row r="17" spans="2:3" ht="14.25" customHeight="1" x14ac:dyDescent="0.3">
      <c r="B17" s="158" t="s">
        <v>167</v>
      </c>
      <c r="C17" s="159">
        <v>15000</v>
      </c>
    </row>
    <row r="18" spans="2:3" ht="14.25" customHeight="1" x14ac:dyDescent="0.3">
      <c r="B18" s="158" t="s">
        <v>168</v>
      </c>
      <c r="C18" s="159">
        <v>15000</v>
      </c>
    </row>
    <row r="19" spans="2:3" ht="14.25" customHeight="1" x14ac:dyDescent="0.3">
      <c r="B19" s="158" t="s">
        <v>169</v>
      </c>
      <c r="C19" s="159">
        <v>15000</v>
      </c>
    </row>
    <row r="20" spans="2:3" ht="14.25" customHeight="1" x14ac:dyDescent="0.3">
      <c r="B20" s="158" t="s">
        <v>170</v>
      </c>
      <c r="C20" s="159">
        <v>15000</v>
      </c>
    </row>
    <row r="21" spans="2:3" ht="14.25" customHeight="1" x14ac:dyDescent="0.3">
      <c r="B21" s="158" t="s">
        <v>171</v>
      </c>
      <c r="C21" s="159">
        <v>15000</v>
      </c>
    </row>
    <row r="22" spans="2:3" ht="14.25" customHeight="1" x14ac:dyDescent="0.3">
      <c r="B22" s="158" t="s">
        <v>172</v>
      </c>
      <c r="C22" s="159">
        <v>15000</v>
      </c>
    </row>
    <row r="23" spans="2:3" ht="14.25" customHeight="1" x14ac:dyDescent="0.3">
      <c r="B23" s="158" t="s">
        <v>173</v>
      </c>
      <c r="C23" s="159">
        <v>15000</v>
      </c>
    </row>
    <row r="24" spans="2:3" ht="14.25" customHeight="1" x14ac:dyDescent="0.3">
      <c r="B24" s="162">
        <v>45910</v>
      </c>
      <c r="C24" s="159">
        <v>15000</v>
      </c>
    </row>
    <row r="25" spans="2:3" ht="14.25" customHeight="1" x14ac:dyDescent="0.3">
      <c r="B25" s="162">
        <v>45940</v>
      </c>
      <c r="C25" s="159">
        <v>15000</v>
      </c>
    </row>
    <row r="26" spans="2:3" ht="14.25" customHeight="1" x14ac:dyDescent="0.3">
      <c r="B26" s="162">
        <v>45971</v>
      </c>
      <c r="C26" s="159">
        <v>15000</v>
      </c>
    </row>
    <row r="27" spans="2:3" ht="14.25" customHeight="1" x14ac:dyDescent="0.3">
      <c r="B27" s="162">
        <v>46001</v>
      </c>
      <c r="C27" s="159">
        <v>17000</v>
      </c>
    </row>
    <row r="28" spans="2:3" ht="14.25" customHeight="1" x14ac:dyDescent="0.3">
      <c r="B28" s="162">
        <v>46032</v>
      </c>
      <c r="C28" s="159">
        <v>10000</v>
      </c>
    </row>
    <row r="29" spans="2:3" ht="14.25" customHeight="1" x14ac:dyDescent="0.3">
      <c r="B29" s="162">
        <v>46063</v>
      </c>
      <c r="C29" s="159">
        <v>10000</v>
      </c>
    </row>
    <row r="30" spans="2:3" ht="14.25" customHeight="1" x14ac:dyDescent="0.3">
      <c r="B30" s="162">
        <v>46091</v>
      </c>
      <c r="C30" s="159">
        <v>10000</v>
      </c>
    </row>
    <row r="31" spans="2:3" ht="14.25" customHeight="1" x14ac:dyDescent="0.3">
      <c r="B31" s="162">
        <v>46122</v>
      </c>
      <c r="C31" s="159">
        <v>10000</v>
      </c>
    </row>
    <row r="32" spans="2:3" ht="14.25" customHeight="1" x14ac:dyDescent="0.3">
      <c r="B32" s="162">
        <v>46152</v>
      </c>
      <c r="C32" s="159">
        <v>10000</v>
      </c>
    </row>
    <row r="33" spans="2:3" ht="14.25" customHeight="1" x14ac:dyDescent="0.3">
      <c r="B33" s="162">
        <v>46183</v>
      </c>
      <c r="C33" s="159">
        <v>10000</v>
      </c>
    </row>
    <row r="34" spans="2:3" ht="14.25" customHeight="1" x14ac:dyDescent="0.3">
      <c r="B34" s="162">
        <v>46213</v>
      </c>
      <c r="C34" s="159">
        <v>10000</v>
      </c>
    </row>
    <row r="35" spans="2:3" ht="14.25" customHeight="1" x14ac:dyDescent="0.3">
      <c r="B35" s="167">
        <v>46244</v>
      </c>
      <c r="C35" s="168"/>
    </row>
    <row r="36" spans="2:3" ht="14.25" customHeight="1" x14ac:dyDescent="0.3">
      <c r="B36" s="162">
        <v>46275</v>
      </c>
      <c r="C36" s="159">
        <v>10000</v>
      </c>
    </row>
    <row r="37" spans="2:3" ht="14.25" customHeight="1" x14ac:dyDescent="0.3">
      <c r="B37" s="162">
        <v>46305</v>
      </c>
      <c r="C37" s="159">
        <v>10000</v>
      </c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272000</v>
      </c>
    </row>
    <row r="41" spans="2:3" ht="14.25" customHeight="1" x14ac:dyDescent="0.3">
      <c r="B41" s="163" t="s">
        <v>175</v>
      </c>
      <c r="C41" s="164">
        <f>C13-C40</f>
        <v>22500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26" zoomScaleNormal="100" workbookViewId="0"/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9.5" customHeight="1" x14ac:dyDescent="0.3">
      <c r="B2" s="307" t="s">
        <v>150</v>
      </c>
      <c r="C2" s="308"/>
    </row>
    <row r="3" spans="1:3" ht="14.25" customHeight="1" x14ac:dyDescent="0.3">
      <c r="B3" s="156" t="s">
        <v>151</v>
      </c>
      <c r="C3" s="157" t="s">
        <v>178</v>
      </c>
    </row>
    <row r="4" spans="1:3" ht="14.25" customHeight="1" x14ac:dyDescent="0.3">
      <c r="B4" s="147" t="s">
        <v>153</v>
      </c>
      <c r="C4" s="148">
        <v>45701</v>
      </c>
    </row>
    <row r="5" spans="1:3" ht="14.25" customHeight="1" x14ac:dyDescent="0.3">
      <c r="B5" s="158" t="s">
        <v>154</v>
      </c>
      <c r="C5" s="159">
        <v>290000</v>
      </c>
    </row>
    <row r="6" spans="1:3" ht="14.25" customHeight="1" x14ac:dyDescent="0.3">
      <c r="B6" s="158" t="s">
        <v>155</v>
      </c>
      <c r="C6" s="159">
        <v>140000</v>
      </c>
    </row>
    <row r="7" spans="1:3" ht="14.25" customHeight="1" x14ac:dyDescent="0.3">
      <c r="B7" s="160" t="s">
        <v>156</v>
      </c>
      <c r="C7" s="161">
        <v>150000</v>
      </c>
    </row>
    <row r="8" spans="1:3" ht="14.25" customHeight="1" x14ac:dyDescent="0.3">
      <c r="B8" s="158" t="s">
        <v>157</v>
      </c>
      <c r="C8" s="159">
        <v>309000</v>
      </c>
    </row>
    <row r="9" spans="1:3" ht="14.25" customHeight="1" x14ac:dyDescent="0.3">
      <c r="B9" s="158" t="s">
        <v>158</v>
      </c>
      <c r="C9" s="159">
        <v>19000</v>
      </c>
    </row>
    <row r="10" spans="1:3" ht="14.25" customHeight="1" x14ac:dyDescent="0.3">
      <c r="B10" s="158" t="s">
        <v>159</v>
      </c>
      <c r="C10" s="159" t="s">
        <v>179</v>
      </c>
    </row>
    <row r="11" spans="1:3" ht="14.25" customHeight="1" x14ac:dyDescent="0.3">
      <c r="B11" s="158" t="s">
        <v>161</v>
      </c>
      <c r="C11" s="159">
        <v>10000</v>
      </c>
    </row>
    <row r="12" spans="1:3" ht="14.25" customHeight="1" x14ac:dyDescent="0.3">
      <c r="B12" s="158" t="s">
        <v>162</v>
      </c>
      <c r="C12" s="159">
        <v>59000</v>
      </c>
    </row>
    <row r="13" spans="1:3" ht="14.25" customHeight="1" x14ac:dyDescent="0.3">
      <c r="B13" s="158" t="s">
        <v>163</v>
      </c>
      <c r="C13" s="159">
        <v>169000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58" t="s">
        <v>168</v>
      </c>
      <c r="C16" s="159">
        <v>15000</v>
      </c>
    </row>
    <row r="17" spans="2:3" ht="14.25" customHeight="1" x14ac:dyDescent="0.3">
      <c r="B17" s="158" t="s">
        <v>180</v>
      </c>
      <c r="C17" s="159">
        <v>15000</v>
      </c>
    </row>
    <row r="18" spans="2:3" ht="14.25" customHeight="1" x14ac:dyDescent="0.3">
      <c r="B18" s="158" t="s">
        <v>170</v>
      </c>
      <c r="C18" s="159">
        <v>10000</v>
      </c>
    </row>
    <row r="19" spans="2:3" ht="14.25" customHeight="1" x14ac:dyDescent="0.3">
      <c r="B19" s="158" t="s">
        <v>171</v>
      </c>
      <c r="C19" s="159">
        <v>10000</v>
      </c>
    </row>
    <row r="20" spans="2:3" ht="14.25" customHeight="1" x14ac:dyDescent="0.3">
      <c r="B20" s="158" t="s">
        <v>172</v>
      </c>
      <c r="C20" s="159">
        <v>10000</v>
      </c>
    </row>
    <row r="21" spans="2:3" ht="14.25" customHeight="1" x14ac:dyDescent="0.3">
      <c r="B21" s="158" t="s">
        <v>173</v>
      </c>
      <c r="C21" s="159">
        <v>10000</v>
      </c>
    </row>
    <row r="22" spans="2:3" ht="14.25" customHeight="1" x14ac:dyDescent="0.3">
      <c r="B22" s="162">
        <v>45910</v>
      </c>
      <c r="C22" s="159">
        <v>10000</v>
      </c>
    </row>
    <row r="23" spans="2:3" ht="14.25" customHeight="1" x14ac:dyDescent="0.3">
      <c r="B23" s="162">
        <v>45940</v>
      </c>
      <c r="C23" s="159">
        <v>10000</v>
      </c>
    </row>
    <row r="24" spans="2:3" ht="14.25" customHeight="1" x14ac:dyDescent="0.3">
      <c r="B24" s="162">
        <v>45971</v>
      </c>
      <c r="C24" s="159">
        <v>10000</v>
      </c>
    </row>
    <row r="25" spans="2:3" ht="14.25" customHeight="1" x14ac:dyDescent="0.3">
      <c r="B25" s="162">
        <v>46001</v>
      </c>
      <c r="C25" s="159">
        <v>10000</v>
      </c>
    </row>
    <row r="26" spans="2:3" ht="14.25" customHeight="1" x14ac:dyDescent="0.3">
      <c r="B26" s="162">
        <v>46032</v>
      </c>
      <c r="C26" s="159">
        <v>8000</v>
      </c>
    </row>
    <row r="27" spans="2:3" ht="14.25" customHeight="1" x14ac:dyDescent="0.3">
      <c r="B27" s="162">
        <v>46063</v>
      </c>
      <c r="C27" s="159">
        <v>10000</v>
      </c>
    </row>
    <row r="28" spans="2:3" ht="14.25" customHeight="1" x14ac:dyDescent="0.3">
      <c r="B28" s="162">
        <v>46091</v>
      </c>
      <c r="C28" s="159">
        <v>10000</v>
      </c>
    </row>
    <row r="29" spans="2:3" ht="14.25" customHeight="1" x14ac:dyDescent="0.3">
      <c r="B29" s="162">
        <v>46122</v>
      </c>
      <c r="C29" s="159">
        <v>30000</v>
      </c>
    </row>
    <row r="30" spans="2:3" ht="14.25" customHeight="1" x14ac:dyDescent="0.3">
      <c r="B30" s="162">
        <v>46152</v>
      </c>
      <c r="C30" s="159">
        <v>1000</v>
      </c>
    </row>
    <row r="31" spans="2:3" ht="14.25" hidden="1" customHeight="1" x14ac:dyDescent="0.3">
      <c r="B31" s="162"/>
      <c r="C31" s="159"/>
    </row>
    <row r="32" spans="2:3" ht="14.25" hidden="1" customHeight="1" x14ac:dyDescent="0.3">
      <c r="B32" s="162"/>
      <c r="C32" s="159"/>
    </row>
    <row r="33" spans="2:3" ht="14.25" hidden="1" customHeight="1" x14ac:dyDescent="0.3">
      <c r="B33" s="162"/>
      <c r="C33" s="159"/>
    </row>
    <row r="34" spans="2:3" ht="14.25" hidden="1" customHeight="1" x14ac:dyDescent="0.3">
      <c r="B34" s="162"/>
      <c r="C34" s="159"/>
    </row>
    <row r="35" spans="2:3" ht="14.25" hidden="1" customHeight="1" x14ac:dyDescent="0.3">
      <c r="B35" s="162"/>
      <c r="C35" s="159"/>
    </row>
    <row r="36" spans="2:3" ht="14.25" hidden="1" customHeight="1" x14ac:dyDescent="0.3">
      <c r="B36" s="162"/>
      <c r="C36" s="159"/>
    </row>
    <row r="37" spans="2:3" ht="14.25" hidden="1" customHeight="1" x14ac:dyDescent="0.3">
      <c r="B37" s="162"/>
      <c r="C37" s="159"/>
    </row>
    <row r="38" spans="2:3" ht="14.25" hidden="1" customHeight="1" x14ac:dyDescent="0.3">
      <c r="B38" s="162"/>
      <c r="C38" s="159"/>
    </row>
    <row r="39" spans="2:3" ht="14.25" hidden="1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169000</v>
      </c>
    </row>
    <row r="41" spans="2:3" ht="14.25" customHeight="1" x14ac:dyDescent="0.3">
      <c r="B41" s="163" t="s">
        <v>175</v>
      </c>
      <c r="C41" s="164">
        <f>C13-C40</f>
        <v>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22" zoomScaleNormal="100" workbookViewId="0">
      <selection activeCell="C33" sqref="C33"/>
    </sheetView>
  </sheetViews>
  <sheetFormatPr defaultColWidth="8.88671875" defaultRowHeight="14.4" x14ac:dyDescent="0.3"/>
  <cols>
    <col min="1" max="2" width="15" style="3" customWidth="1"/>
    <col min="3" max="3" width="20.77734375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3.5" customHeight="1" x14ac:dyDescent="0.3">
      <c r="B2" s="307" t="s">
        <v>150</v>
      </c>
      <c r="C2" s="308"/>
    </row>
    <row r="3" spans="1:3" ht="15" customHeight="1" x14ac:dyDescent="0.3">
      <c r="B3" s="165" t="s">
        <v>151</v>
      </c>
      <c r="C3" s="166" t="s">
        <v>181</v>
      </c>
    </row>
    <row r="4" spans="1:3" ht="14.25" customHeight="1" x14ac:dyDescent="0.3">
      <c r="B4" s="147" t="s">
        <v>153</v>
      </c>
      <c r="C4" s="148">
        <v>45797</v>
      </c>
    </row>
    <row r="5" spans="1:3" ht="14.25" customHeight="1" x14ac:dyDescent="0.3">
      <c r="B5" s="156" t="s">
        <v>154</v>
      </c>
      <c r="C5" s="157">
        <v>470000</v>
      </c>
    </row>
    <row r="6" spans="1:3" ht="14.25" customHeight="1" x14ac:dyDescent="0.3">
      <c r="B6" s="158" t="s">
        <v>155</v>
      </c>
      <c r="C6" s="159">
        <v>120000</v>
      </c>
    </row>
    <row r="7" spans="1:3" ht="14.25" customHeight="1" x14ac:dyDescent="0.3">
      <c r="B7" s="160" t="s">
        <v>156</v>
      </c>
      <c r="C7" s="161">
        <v>350000</v>
      </c>
    </row>
    <row r="8" spans="1:3" ht="14.25" customHeight="1" x14ac:dyDescent="0.3">
      <c r="B8" s="158" t="s">
        <v>157</v>
      </c>
      <c r="C8" s="159">
        <v>558000</v>
      </c>
    </row>
    <row r="9" spans="1:3" ht="14.25" customHeight="1" x14ac:dyDescent="0.3">
      <c r="B9" s="158" t="s">
        <v>158</v>
      </c>
      <c r="C9" s="159">
        <f>C8-C5</f>
        <v>88000</v>
      </c>
    </row>
    <row r="10" spans="1:3" ht="14.25" customHeight="1" x14ac:dyDescent="0.3">
      <c r="B10" s="158" t="s">
        <v>159</v>
      </c>
      <c r="C10" s="159" t="s">
        <v>160</v>
      </c>
    </row>
    <row r="11" spans="1:3" ht="14.25" customHeight="1" x14ac:dyDescent="0.3">
      <c r="B11" s="158" t="s">
        <v>161</v>
      </c>
      <c r="C11" s="159">
        <v>15000</v>
      </c>
    </row>
    <row r="12" spans="1:3" ht="14.25" customHeight="1" x14ac:dyDescent="0.3">
      <c r="B12" s="158" t="s">
        <v>162</v>
      </c>
      <c r="C12" s="159">
        <v>93000</v>
      </c>
    </row>
    <row r="13" spans="1:3" ht="14.25" customHeight="1" x14ac:dyDescent="0.3">
      <c r="B13" s="158" t="s">
        <v>163</v>
      </c>
      <c r="C13" s="159">
        <v>438000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58" t="s">
        <v>182</v>
      </c>
      <c r="C16" s="159">
        <v>15000</v>
      </c>
    </row>
    <row r="17" spans="2:3" ht="14.25" customHeight="1" x14ac:dyDescent="0.3">
      <c r="B17" s="158" t="s">
        <v>172</v>
      </c>
      <c r="C17" s="159">
        <v>15000</v>
      </c>
    </row>
    <row r="18" spans="2:3" ht="14.25" customHeight="1" x14ac:dyDescent="0.3">
      <c r="B18" s="158" t="s">
        <v>173</v>
      </c>
      <c r="C18" s="159">
        <v>15000</v>
      </c>
    </row>
    <row r="19" spans="2:3" ht="14.25" customHeight="1" x14ac:dyDescent="0.3">
      <c r="B19" s="162">
        <v>45910</v>
      </c>
      <c r="C19" s="159">
        <v>15000</v>
      </c>
    </row>
    <row r="20" spans="2:3" ht="14.25" customHeight="1" x14ac:dyDescent="0.3">
      <c r="B20" s="162">
        <v>45940</v>
      </c>
      <c r="C20" s="159">
        <v>15000</v>
      </c>
    </row>
    <row r="21" spans="2:3" ht="14.25" customHeight="1" x14ac:dyDescent="0.3">
      <c r="B21" s="162">
        <v>45971</v>
      </c>
      <c r="C21" s="159">
        <v>15000</v>
      </c>
    </row>
    <row r="22" spans="2:3" ht="14.25" customHeight="1" x14ac:dyDescent="0.3">
      <c r="B22" s="162">
        <v>46001</v>
      </c>
      <c r="C22" s="159">
        <v>15000</v>
      </c>
    </row>
    <row r="23" spans="2:3" ht="14.25" customHeight="1" x14ac:dyDescent="0.3">
      <c r="B23" s="162">
        <v>46032</v>
      </c>
      <c r="C23" s="159">
        <v>15000</v>
      </c>
    </row>
    <row r="24" spans="2:3" ht="14.25" customHeight="1" x14ac:dyDescent="0.3">
      <c r="B24" s="162">
        <v>46063</v>
      </c>
      <c r="C24" s="159">
        <v>15000</v>
      </c>
    </row>
    <row r="25" spans="2:3" ht="14.25" customHeight="1" x14ac:dyDescent="0.3">
      <c r="B25" s="162">
        <v>46091</v>
      </c>
      <c r="C25" s="159">
        <v>15000</v>
      </c>
    </row>
    <row r="26" spans="2:3" ht="14.25" customHeight="1" x14ac:dyDescent="0.3">
      <c r="B26" s="162">
        <v>46122</v>
      </c>
      <c r="C26" s="159">
        <v>15000</v>
      </c>
    </row>
    <row r="27" spans="2:3" ht="14.25" customHeight="1" x14ac:dyDescent="0.3">
      <c r="B27" s="162">
        <v>46152</v>
      </c>
      <c r="C27" s="159">
        <v>10000</v>
      </c>
    </row>
    <row r="28" spans="2:3" ht="14.25" customHeight="1" x14ac:dyDescent="0.3">
      <c r="B28" s="162">
        <v>46183</v>
      </c>
      <c r="C28" s="159">
        <v>10000</v>
      </c>
    </row>
    <row r="29" spans="2:3" ht="14.25" customHeight="1" x14ac:dyDescent="0.3">
      <c r="B29" s="162">
        <v>46213</v>
      </c>
      <c r="C29" s="159">
        <v>15000</v>
      </c>
    </row>
    <row r="30" spans="2:3" ht="14.25" customHeight="1" x14ac:dyDescent="0.3">
      <c r="B30" s="162">
        <v>46244</v>
      </c>
      <c r="C30" s="159">
        <v>10000</v>
      </c>
    </row>
    <row r="31" spans="2:3" ht="14.25" customHeight="1" x14ac:dyDescent="0.3">
      <c r="B31" s="162">
        <v>46275</v>
      </c>
      <c r="C31" s="159">
        <v>10000</v>
      </c>
    </row>
    <row r="32" spans="2:3" ht="14.25" customHeight="1" x14ac:dyDescent="0.3">
      <c r="B32" s="162">
        <v>46305</v>
      </c>
      <c r="C32" s="159">
        <v>12000</v>
      </c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232000</v>
      </c>
    </row>
    <row r="41" spans="2:3" ht="14.25" customHeight="1" x14ac:dyDescent="0.3">
      <c r="B41" s="163" t="s">
        <v>175</v>
      </c>
      <c r="C41" s="164">
        <f>C13-C40</f>
        <v>206000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18" zoomScaleNormal="100" workbookViewId="0">
      <selection activeCell="C28" sqref="C28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3.5" customHeight="1" x14ac:dyDescent="0.3">
      <c r="B2" s="307" t="s">
        <v>150</v>
      </c>
      <c r="C2" s="308"/>
    </row>
    <row r="3" spans="1:3" ht="15" customHeight="1" x14ac:dyDescent="0.3">
      <c r="B3" s="165" t="s">
        <v>151</v>
      </c>
      <c r="C3" s="166" t="s">
        <v>183</v>
      </c>
    </row>
    <row r="4" spans="1:3" ht="14.25" customHeight="1" x14ac:dyDescent="0.3">
      <c r="B4" s="147" t="s">
        <v>153</v>
      </c>
      <c r="C4" s="148">
        <v>45936</v>
      </c>
    </row>
    <row r="5" spans="1:3" ht="14.25" customHeight="1" x14ac:dyDescent="0.3">
      <c r="B5" s="156" t="s">
        <v>154</v>
      </c>
      <c r="C5" s="157">
        <v>390000</v>
      </c>
    </row>
    <row r="6" spans="1:3" ht="14.25" customHeight="1" x14ac:dyDescent="0.3">
      <c r="B6" s="158" t="s">
        <v>155</v>
      </c>
      <c r="C6" s="159">
        <v>90000</v>
      </c>
    </row>
    <row r="7" spans="1:3" ht="14.25" customHeight="1" x14ac:dyDescent="0.3">
      <c r="B7" s="160" t="s">
        <v>156</v>
      </c>
      <c r="C7" s="161">
        <v>300000</v>
      </c>
    </row>
    <row r="8" spans="1:3" ht="14.25" customHeight="1" x14ac:dyDescent="0.3">
      <c r="B8" s="158" t="s">
        <v>157</v>
      </c>
      <c r="C8" s="159">
        <v>465000</v>
      </c>
    </row>
    <row r="9" spans="1:3" ht="14.25" customHeight="1" x14ac:dyDescent="0.3">
      <c r="B9" s="158" t="s">
        <v>158</v>
      </c>
      <c r="C9" s="159">
        <f>C8-C5</f>
        <v>75000</v>
      </c>
    </row>
    <row r="10" spans="1:3" ht="14.25" customHeight="1" x14ac:dyDescent="0.3">
      <c r="B10" s="158" t="s">
        <v>159</v>
      </c>
      <c r="C10" s="159" t="s">
        <v>160</v>
      </c>
    </row>
    <row r="11" spans="1:3" ht="14.25" customHeight="1" x14ac:dyDescent="0.3">
      <c r="B11" s="158" t="s">
        <v>161</v>
      </c>
      <c r="C11" s="159">
        <v>13000</v>
      </c>
    </row>
    <row r="12" spans="1:3" ht="14.25" customHeight="1" x14ac:dyDescent="0.3">
      <c r="B12" s="158" t="s">
        <v>162</v>
      </c>
      <c r="C12" s="159">
        <v>76000</v>
      </c>
    </row>
    <row r="13" spans="1:3" ht="14.25" customHeight="1" x14ac:dyDescent="0.3">
      <c r="B13" s="158" t="s">
        <v>163</v>
      </c>
      <c r="C13" s="159">
        <f>(C11*23)+C12</f>
        <v>375000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45971</v>
      </c>
      <c r="C16" s="159">
        <v>11000</v>
      </c>
    </row>
    <row r="17" spans="2:3" ht="14.25" customHeight="1" x14ac:dyDescent="0.3">
      <c r="B17" s="162">
        <v>46001</v>
      </c>
      <c r="C17" s="159">
        <v>15000</v>
      </c>
    </row>
    <row r="18" spans="2:3" ht="14.25" customHeight="1" x14ac:dyDescent="0.3">
      <c r="B18" s="162">
        <v>46032</v>
      </c>
      <c r="C18" s="159">
        <v>13000</v>
      </c>
    </row>
    <row r="19" spans="2:3" ht="14.25" customHeight="1" x14ac:dyDescent="0.3">
      <c r="B19" s="162">
        <v>46063</v>
      </c>
      <c r="C19" s="159">
        <v>13000</v>
      </c>
    </row>
    <row r="20" spans="2:3" ht="14.25" customHeight="1" x14ac:dyDescent="0.3">
      <c r="B20" s="167">
        <v>46091</v>
      </c>
      <c r="C20" s="168"/>
    </row>
    <row r="21" spans="2:3" ht="14.25" customHeight="1" x14ac:dyDescent="0.3">
      <c r="B21" s="162">
        <v>46122</v>
      </c>
      <c r="C21" s="159">
        <v>13000</v>
      </c>
    </row>
    <row r="22" spans="2:3" ht="14.25" customHeight="1" x14ac:dyDescent="0.3">
      <c r="B22" s="162">
        <v>46152</v>
      </c>
      <c r="C22" s="159">
        <v>10000</v>
      </c>
    </row>
    <row r="23" spans="2:3" ht="14.25" customHeight="1" x14ac:dyDescent="0.3">
      <c r="B23" s="162">
        <v>46183</v>
      </c>
      <c r="C23" s="159">
        <v>10000</v>
      </c>
    </row>
    <row r="24" spans="2:3" ht="14.25" customHeight="1" x14ac:dyDescent="0.3">
      <c r="B24" s="162">
        <v>46213</v>
      </c>
      <c r="C24" s="159">
        <v>13000</v>
      </c>
    </row>
    <row r="25" spans="2:3" ht="14.25" customHeight="1" x14ac:dyDescent="0.3">
      <c r="B25" s="162">
        <v>46244</v>
      </c>
      <c r="C25" s="159">
        <v>13000</v>
      </c>
    </row>
    <row r="26" spans="2:3" ht="14.25" customHeight="1" x14ac:dyDescent="0.3">
      <c r="B26" s="162">
        <v>46275</v>
      </c>
      <c r="C26" s="159">
        <v>10000</v>
      </c>
    </row>
    <row r="27" spans="2:3" ht="14.25" customHeight="1" x14ac:dyDescent="0.3">
      <c r="B27" s="162">
        <v>46305</v>
      </c>
      <c r="C27" s="159">
        <v>10000</v>
      </c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131000</v>
      </c>
    </row>
    <row r="41" spans="2:3" ht="14.25" customHeight="1" x14ac:dyDescent="0.3">
      <c r="B41" s="163" t="s">
        <v>175</v>
      </c>
      <c r="C41" s="164">
        <f>C13-C40</f>
        <v>244000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19" zoomScaleNormal="100" workbookViewId="0">
      <selection activeCell="C26" sqref="C26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3.5" customHeight="1" x14ac:dyDescent="0.3">
      <c r="B2" s="307" t="s">
        <v>150</v>
      </c>
      <c r="C2" s="308"/>
    </row>
    <row r="3" spans="1:3" ht="15" customHeight="1" x14ac:dyDescent="0.3">
      <c r="B3" s="165" t="s">
        <v>151</v>
      </c>
      <c r="C3" s="166" t="s">
        <v>107</v>
      </c>
    </row>
    <row r="4" spans="1:3" ht="14.25" customHeight="1" x14ac:dyDescent="0.3">
      <c r="B4" s="147" t="s">
        <v>153</v>
      </c>
      <c r="C4" s="148">
        <v>45979</v>
      </c>
    </row>
    <row r="5" spans="1:3" ht="14.25" customHeight="1" x14ac:dyDescent="0.3">
      <c r="B5" s="156" t="s">
        <v>154</v>
      </c>
      <c r="C5" s="157">
        <v>650000</v>
      </c>
    </row>
    <row r="6" spans="1:3" ht="14.25" customHeight="1" x14ac:dyDescent="0.3">
      <c r="B6" s="158" t="s">
        <v>155</v>
      </c>
      <c r="C6" s="159">
        <v>350000</v>
      </c>
    </row>
    <row r="7" spans="1:3" ht="14.25" customHeight="1" x14ac:dyDescent="0.3">
      <c r="B7" s="160" t="s">
        <v>156</v>
      </c>
      <c r="C7" s="161">
        <v>300000</v>
      </c>
    </row>
    <row r="8" spans="1:3" ht="14.25" customHeight="1" x14ac:dyDescent="0.3">
      <c r="B8" s="158" t="s">
        <v>157</v>
      </c>
      <c r="C8" s="159">
        <v>687500</v>
      </c>
    </row>
    <row r="9" spans="1:3" ht="14.25" customHeight="1" x14ac:dyDescent="0.3">
      <c r="B9" s="158" t="s">
        <v>158</v>
      </c>
      <c r="C9" s="159">
        <f>C8-C5</f>
        <v>37500</v>
      </c>
    </row>
    <row r="10" spans="1:3" ht="14.25" customHeight="1" x14ac:dyDescent="0.3">
      <c r="B10" s="158" t="s">
        <v>159</v>
      </c>
      <c r="C10" s="159" t="s">
        <v>184</v>
      </c>
    </row>
    <row r="11" spans="1:3" ht="14.25" customHeight="1" x14ac:dyDescent="0.3">
      <c r="B11" s="158" t="s">
        <v>161</v>
      </c>
      <c r="C11" s="159">
        <v>10000</v>
      </c>
    </row>
    <row r="12" spans="1:3" ht="14.25" customHeight="1" x14ac:dyDescent="0.3">
      <c r="B12" s="158" t="s">
        <v>162</v>
      </c>
      <c r="C12" s="159">
        <v>227500</v>
      </c>
    </row>
    <row r="13" spans="1:3" ht="14.25" customHeight="1" x14ac:dyDescent="0.3">
      <c r="B13" s="158" t="s">
        <v>163</v>
      </c>
      <c r="C13" s="159">
        <f>(C11*11)+C12</f>
        <v>337500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46032</v>
      </c>
      <c r="C16" s="159">
        <v>10000</v>
      </c>
    </row>
    <row r="17" spans="2:3" ht="14.25" customHeight="1" x14ac:dyDescent="0.3">
      <c r="B17" s="162">
        <v>46063</v>
      </c>
      <c r="C17" s="159">
        <v>10000</v>
      </c>
    </row>
    <row r="18" spans="2:3" ht="14.25" customHeight="1" x14ac:dyDescent="0.3">
      <c r="B18" s="162">
        <v>46091</v>
      </c>
      <c r="C18" s="159">
        <v>10000</v>
      </c>
    </row>
    <row r="19" spans="2:3" ht="14.25" customHeight="1" x14ac:dyDescent="0.3">
      <c r="B19" s="162">
        <v>46122</v>
      </c>
      <c r="C19" s="159">
        <v>17500</v>
      </c>
    </row>
    <row r="20" spans="2:3" ht="14.25" customHeight="1" x14ac:dyDescent="0.3">
      <c r="B20" s="162">
        <v>46152</v>
      </c>
      <c r="C20" s="159">
        <v>10000</v>
      </c>
    </row>
    <row r="21" spans="2:3" ht="14.25" customHeight="1" x14ac:dyDescent="0.3">
      <c r="B21" s="162">
        <v>46183</v>
      </c>
      <c r="C21" s="159">
        <v>10000</v>
      </c>
    </row>
    <row r="22" spans="2:3" ht="14.25" customHeight="1" x14ac:dyDescent="0.3">
      <c r="B22" s="162">
        <v>46213</v>
      </c>
      <c r="C22" s="159">
        <v>10000</v>
      </c>
    </row>
    <row r="23" spans="2:3" ht="14.25" customHeight="1" x14ac:dyDescent="0.3">
      <c r="B23" s="162">
        <v>46244</v>
      </c>
      <c r="C23" s="159">
        <v>10000</v>
      </c>
    </row>
    <row r="24" spans="2:3" ht="14.25" customHeight="1" x14ac:dyDescent="0.3">
      <c r="B24" s="162">
        <v>46275</v>
      </c>
      <c r="C24" s="159">
        <v>10000</v>
      </c>
    </row>
    <row r="25" spans="2:3" ht="14.25" customHeight="1" x14ac:dyDescent="0.3">
      <c r="B25" s="162">
        <v>46305</v>
      </c>
      <c r="C25" s="159">
        <v>10000</v>
      </c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107500</v>
      </c>
    </row>
    <row r="41" spans="2:3" ht="14.25" customHeight="1" x14ac:dyDescent="0.3">
      <c r="B41" s="163" t="s">
        <v>175</v>
      </c>
      <c r="C41" s="164">
        <f>C13-C40</f>
        <v>230000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13" zoomScaleNormal="100" workbookViewId="0">
      <selection activeCell="B23" sqref="B23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3.5" customHeight="1" x14ac:dyDescent="0.3">
      <c r="B2" s="307" t="s">
        <v>150</v>
      </c>
      <c r="C2" s="308"/>
    </row>
    <row r="3" spans="1:3" ht="15" customHeight="1" x14ac:dyDescent="0.3">
      <c r="B3" s="165" t="s">
        <v>151</v>
      </c>
      <c r="C3" s="166" t="s">
        <v>185</v>
      </c>
    </row>
    <row r="4" spans="1:3" ht="14.25" customHeight="1" x14ac:dyDescent="0.3">
      <c r="B4" s="147" t="s">
        <v>153</v>
      </c>
      <c r="C4" s="148">
        <v>46072</v>
      </c>
    </row>
    <row r="5" spans="1:3" ht="14.25" customHeight="1" x14ac:dyDescent="0.3">
      <c r="B5" s="156" t="s">
        <v>154</v>
      </c>
      <c r="C5" s="157">
        <v>140000</v>
      </c>
    </row>
    <row r="6" spans="1:3" ht="14.25" customHeight="1" x14ac:dyDescent="0.3">
      <c r="B6" s="158" t="s">
        <v>155</v>
      </c>
      <c r="C6" s="159">
        <v>40000</v>
      </c>
    </row>
    <row r="7" spans="1:3" ht="14.25" customHeight="1" x14ac:dyDescent="0.3">
      <c r="B7" s="160" t="s">
        <v>156</v>
      </c>
      <c r="C7" s="161">
        <v>100000</v>
      </c>
    </row>
    <row r="8" spans="1:3" ht="14.25" customHeight="1" x14ac:dyDescent="0.3">
      <c r="B8" s="158" t="s">
        <v>157</v>
      </c>
      <c r="C8" s="159">
        <v>152500</v>
      </c>
    </row>
    <row r="9" spans="1:3" ht="14.25" customHeight="1" x14ac:dyDescent="0.3">
      <c r="B9" s="158" t="s">
        <v>158</v>
      </c>
      <c r="C9" s="159">
        <f>C8-C5</f>
        <v>12500</v>
      </c>
    </row>
    <row r="10" spans="1:3" ht="14.25" customHeight="1" x14ac:dyDescent="0.3">
      <c r="B10" s="158" t="s">
        <v>159</v>
      </c>
      <c r="C10" s="159" t="s">
        <v>184</v>
      </c>
    </row>
    <row r="11" spans="1:3" ht="14.25" customHeight="1" x14ac:dyDescent="0.3">
      <c r="B11" s="158" t="s">
        <v>161</v>
      </c>
      <c r="C11" s="159">
        <v>6000</v>
      </c>
    </row>
    <row r="12" spans="1:3" ht="14.25" customHeight="1" x14ac:dyDescent="0.3">
      <c r="B12" s="158" t="s">
        <v>162</v>
      </c>
      <c r="C12" s="159">
        <f>112500-(C11*11)</f>
        <v>46500</v>
      </c>
    </row>
    <row r="13" spans="1:3" ht="14.25" customHeight="1" x14ac:dyDescent="0.3">
      <c r="B13" s="158" t="s">
        <v>163</v>
      </c>
      <c r="C13" s="159">
        <f>(C11*11)+C12</f>
        <v>112500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46122</v>
      </c>
      <c r="C16" s="159">
        <v>6000</v>
      </c>
    </row>
    <row r="17" spans="2:3" ht="14.25" customHeight="1" x14ac:dyDescent="0.3">
      <c r="B17" s="162">
        <v>46152</v>
      </c>
      <c r="C17" s="159">
        <v>6000</v>
      </c>
    </row>
    <row r="18" spans="2:3" ht="14.25" customHeight="1" x14ac:dyDescent="0.3">
      <c r="B18" s="162">
        <v>46183</v>
      </c>
      <c r="C18" s="159">
        <v>6000</v>
      </c>
    </row>
    <row r="19" spans="2:3" ht="14.25" customHeight="1" x14ac:dyDescent="0.3">
      <c r="B19" s="162">
        <v>46213</v>
      </c>
      <c r="C19" s="159">
        <v>6000</v>
      </c>
    </row>
    <row r="20" spans="2:3" ht="14.25" customHeight="1" x14ac:dyDescent="0.3">
      <c r="B20" s="162">
        <v>46244</v>
      </c>
      <c r="C20" s="159">
        <v>6000</v>
      </c>
    </row>
    <row r="21" spans="2:3" ht="14.25" customHeight="1" x14ac:dyDescent="0.3">
      <c r="B21" s="162">
        <v>46275</v>
      </c>
      <c r="C21" s="159">
        <v>6000</v>
      </c>
    </row>
    <row r="22" spans="2:3" ht="14.25" customHeight="1" x14ac:dyDescent="0.3">
      <c r="B22" s="162">
        <v>46305</v>
      </c>
      <c r="C22" s="159">
        <v>6000</v>
      </c>
    </row>
    <row r="23" spans="2:3" ht="14.25" customHeight="1" x14ac:dyDescent="0.3">
      <c r="B23" s="158"/>
      <c r="C23" s="159"/>
    </row>
    <row r="24" spans="2:3" ht="14.25" customHeight="1" x14ac:dyDescent="0.3">
      <c r="B24" s="158"/>
      <c r="C24" s="159"/>
    </row>
    <row r="25" spans="2:3" ht="14.25" customHeight="1" x14ac:dyDescent="0.3">
      <c r="B25" s="158"/>
      <c r="C25" s="159"/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42000</v>
      </c>
    </row>
    <row r="41" spans="2:3" ht="14.25" customHeight="1" x14ac:dyDescent="0.3">
      <c r="B41" s="163" t="s">
        <v>175</v>
      </c>
      <c r="C41" s="164">
        <f>C13-C40</f>
        <v>70500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topLeftCell="A5" zoomScaleNormal="100" workbookViewId="0">
      <selection activeCell="C23" sqref="C23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x14ac:dyDescent="0.3">
      <c r="A1" s="4" t="str">
        <f>HYPERLINK("#DASHBOARD!A1","⬅ Dashboard")</f>
        <v>⬅ Dashboard</v>
      </c>
    </row>
    <row r="2" spans="1:3" ht="43.5" customHeight="1" x14ac:dyDescent="0.3">
      <c r="B2" s="307" t="s">
        <v>150</v>
      </c>
      <c r="C2" s="308"/>
    </row>
    <row r="3" spans="1:3" ht="15" customHeight="1" x14ac:dyDescent="0.3">
      <c r="B3" s="165" t="s">
        <v>151</v>
      </c>
      <c r="C3" s="166" t="s">
        <v>140</v>
      </c>
    </row>
    <row r="4" spans="1:3" ht="14.25" customHeight="1" x14ac:dyDescent="0.3">
      <c r="B4" s="147" t="s">
        <v>153</v>
      </c>
      <c r="C4" s="148">
        <v>46083</v>
      </c>
    </row>
    <row r="5" spans="1:3" ht="14.25" customHeight="1" x14ac:dyDescent="0.3">
      <c r="B5" s="156" t="s">
        <v>154</v>
      </c>
      <c r="C5" s="157">
        <v>400000</v>
      </c>
    </row>
    <row r="6" spans="1:3" ht="14.25" customHeight="1" x14ac:dyDescent="0.3">
      <c r="B6" s="158" t="s">
        <v>155</v>
      </c>
      <c r="C6" s="159">
        <v>100000</v>
      </c>
    </row>
    <row r="7" spans="1:3" ht="14.25" customHeight="1" x14ac:dyDescent="0.3">
      <c r="B7" s="160" t="s">
        <v>156</v>
      </c>
      <c r="C7" s="161">
        <v>300000</v>
      </c>
    </row>
    <row r="8" spans="1:3" ht="14.25" customHeight="1" x14ac:dyDescent="0.3">
      <c r="B8" s="158" t="s">
        <v>157</v>
      </c>
      <c r="C8" s="159">
        <v>437500</v>
      </c>
    </row>
    <row r="9" spans="1:3" ht="14.25" customHeight="1" x14ac:dyDescent="0.3">
      <c r="B9" s="158" t="s">
        <v>158</v>
      </c>
      <c r="C9" s="159">
        <f>C8-C5</f>
        <v>37500</v>
      </c>
    </row>
    <row r="10" spans="1:3" ht="14.25" customHeight="1" x14ac:dyDescent="0.3">
      <c r="B10" s="158" t="s">
        <v>159</v>
      </c>
      <c r="C10" s="159" t="s">
        <v>184</v>
      </c>
    </row>
    <row r="11" spans="1:3" ht="14.25" customHeight="1" x14ac:dyDescent="0.3">
      <c r="B11" s="158" t="s">
        <v>161</v>
      </c>
      <c r="C11" s="159">
        <v>12000</v>
      </c>
    </row>
    <row r="12" spans="1:3" ht="14.25" customHeight="1" x14ac:dyDescent="0.3">
      <c r="B12" s="158" t="s">
        <v>162</v>
      </c>
      <c r="C12" s="159">
        <f>(C7+C9)-(12000*11)</f>
        <v>205500</v>
      </c>
    </row>
    <row r="13" spans="1:3" ht="14.25" customHeight="1" x14ac:dyDescent="0.3">
      <c r="B13" s="158" t="s">
        <v>163</v>
      </c>
      <c r="C13" s="159">
        <f>(C11*11)+C12</f>
        <v>337500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46122</v>
      </c>
      <c r="C16" s="159">
        <v>12000</v>
      </c>
    </row>
    <row r="17" spans="2:3" ht="14.25" customHeight="1" x14ac:dyDescent="0.3">
      <c r="B17" s="162">
        <v>46152</v>
      </c>
      <c r="C17" s="159">
        <v>12000</v>
      </c>
    </row>
    <row r="18" spans="2:3" ht="14.25" customHeight="1" x14ac:dyDescent="0.3">
      <c r="B18" s="162">
        <v>46183</v>
      </c>
      <c r="C18" s="159">
        <v>12000</v>
      </c>
    </row>
    <row r="19" spans="2:3" ht="14.25" customHeight="1" x14ac:dyDescent="0.3">
      <c r="B19" s="162">
        <v>46213</v>
      </c>
      <c r="C19" s="159">
        <v>12000</v>
      </c>
    </row>
    <row r="20" spans="2:3" ht="14.25" customHeight="1" x14ac:dyDescent="0.3">
      <c r="B20" s="162">
        <v>46244</v>
      </c>
      <c r="C20" s="159">
        <v>10000</v>
      </c>
    </row>
    <row r="21" spans="2:3" ht="14.25" customHeight="1" x14ac:dyDescent="0.3">
      <c r="B21" s="162">
        <v>46275</v>
      </c>
      <c r="C21" s="159">
        <v>12000</v>
      </c>
    </row>
    <row r="22" spans="2:3" ht="14.25" customHeight="1" x14ac:dyDescent="0.3">
      <c r="B22" s="162">
        <v>46305</v>
      </c>
      <c r="C22" s="159">
        <v>12000</v>
      </c>
    </row>
    <row r="23" spans="2:3" ht="14.25" customHeight="1" x14ac:dyDescent="0.3">
      <c r="B23" s="158"/>
      <c r="C23" s="159"/>
    </row>
    <row r="24" spans="2:3" ht="14.25" customHeight="1" x14ac:dyDescent="0.3">
      <c r="B24" s="158"/>
      <c r="C24" s="159"/>
    </row>
    <row r="25" spans="2:3" ht="14.25" customHeight="1" x14ac:dyDescent="0.3">
      <c r="B25" s="158"/>
      <c r="C25" s="159"/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82000</v>
      </c>
    </row>
    <row r="41" spans="2:3" ht="14.25" customHeight="1" x14ac:dyDescent="0.3">
      <c r="B41" s="163" t="s">
        <v>175</v>
      </c>
      <c r="C41" s="164">
        <f>C13-C40</f>
        <v>255500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zoomScaleNormal="100" workbookViewId="0">
      <selection activeCell="C19" sqref="C19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thickBot="1" x14ac:dyDescent="0.35">
      <c r="A1" s="4" t="str">
        <f>HYPERLINK("#DASHBOARD!A1","⬅ Dashboard")</f>
        <v>⬅ Dashboard</v>
      </c>
    </row>
    <row r="2" spans="1:3" ht="43.5" customHeight="1" thickBot="1" x14ac:dyDescent="0.35">
      <c r="B2" s="307" t="s">
        <v>150</v>
      </c>
      <c r="C2" s="308"/>
    </row>
    <row r="3" spans="1:3" ht="15" customHeight="1" thickBot="1" x14ac:dyDescent="0.35">
      <c r="B3" s="165" t="s">
        <v>151</v>
      </c>
      <c r="C3" s="166" t="s">
        <v>89</v>
      </c>
    </row>
    <row r="4" spans="1:3" ht="14.25" customHeight="1" x14ac:dyDescent="0.3">
      <c r="B4" s="147" t="s">
        <v>153</v>
      </c>
      <c r="C4" s="148">
        <v>46198</v>
      </c>
    </row>
    <row r="5" spans="1:3" ht="14.25" customHeight="1" x14ac:dyDescent="0.3">
      <c r="B5" s="156" t="s">
        <v>154</v>
      </c>
      <c r="C5" s="157">
        <v>420000</v>
      </c>
    </row>
    <row r="6" spans="1:3" ht="14.25" customHeight="1" x14ac:dyDescent="0.3">
      <c r="B6" s="158" t="s">
        <v>155</v>
      </c>
      <c r="C6" s="159">
        <v>120000</v>
      </c>
    </row>
    <row r="7" spans="1:3" ht="14.25" customHeight="1" x14ac:dyDescent="0.3">
      <c r="B7" s="160" t="s">
        <v>156</v>
      </c>
      <c r="C7" s="161">
        <v>300000</v>
      </c>
    </row>
    <row r="8" spans="1:3" ht="14.25" customHeight="1" x14ac:dyDescent="0.3">
      <c r="B8" s="158" t="s">
        <v>157</v>
      </c>
      <c r="C8" s="159">
        <v>495000</v>
      </c>
    </row>
    <row r="9" spans="1:3" ht="14.25" customHeight="1" x14ac:dyDescent="0.3">
      <c r="B9" s="158" t="s">
        <v>158</v>
      </c>
      <c r="C9" s="159">
        <f>C8-C5</f>
        <v>75000</v>
      </c>
    </row>
    <row r="10" spans="1:3" ht="14.25" customHeight="1" x14ac:dyDescent="0.3">
      <c r="B10" s="158" t="s">
        <v>159</v>
      </c>
      <c r="C10" s="159" t="s">
        <v>160</v>
      </c>
    </row>
    <row r="11" spans="1:3" ht="14.25" customHeight="1" x14ac:dyDescent="0.3">
      <c r="B11" s="158" t="s">
        <v>161</v>
      </c>
      <c r="C11" s="159">
        <v>15000</v>
      </c>
    </row>
    <row r="12" spans="1:3" ht="14.25" customHeight="1" x14ac:dyDescent="0.3">
      <c r="B12" s="158" t="s">
        <v>162</v>
      </c>
      <c r="C12" s="159">
        <f>(C7+C9)-(15000*23)</f>
        <v>30000</v>
      </c>
    </row>
    <row r="13" spans="1:3" ht="14.25" customHeight="1" x14ac:dyDescent="0.3">
      <c r="B13" s="158" t="s">
        <v>163</v>
      </c>
      <c r="C13" s="159">
        <f>(C11*23)+C12</f>
        <v>375000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46244</v>
      </c>
      <c r="C16" s="159">
        <v>15000</v>
      </c>
    </row>
    <row r="17" spans="2:3" ht="14.25" customHeight="1" x14ac:dyDescent="0.3">
      <c r="B17" s="162">
        <v>46275</v>
      </c>
      <c r="C17" s="159">
        <v>15000</v>
      </c>
    </row>
    <row r="18" spans="2:3" ht="14.25" customHeight="1" x14ac:dyDescent="0.3">
      <c r="B18" s="162">
        <v>46305</v>
      </c>
      <c r="C18" s="159">
        <v>15000</v>
      </c>
    </row>
    <row r="19" spans="2:3" ht="14.25" customHeight="1" x14ac:dyDescent="0.3">
      <c r="B19" s="162"/>
      <c r="C19" s="159"/>
    </row>
    <row r="20" spans="2:3" ht="14.25" customHeight="1" x14ac:dyDescent="0.3">
      <c r="B20" s="158"/>
      <c r="C20" s="159"/>
    </row>
    <row r="21" spans="2:3" ht="14.25" customHeight="1" x14ac:dyDescent="0.3">
      <c r="B21" s="158"/>
      <c r="C21" s="159"/>
    </row>
    <row r="22" spans="2:3" ht="14.25" customHeight="1" x14ac:dyDescent="0.3">
      <c r="B22" s="158"/>
      <c r="C22" s="159"/>
    </row>
    <row r="23" spans="2:3" ht="14.25" customHeight="1" x14ac:dyDescent="0.3">
      <c r="B23" s="158"/>
      <c r="C23" s="159"/>
    </row>
    <row r="24" spans="2:3" ht="14.25" customHeight="1" x14ac:dyDescent="0.3">
      <c r="B24" s="158"/>
      <c r="C24" s="159"/>
    </row>
    <row r="25" spans="2:3" ht="14.25" customHeight="1" x14ac:dyDescent="0.3">
      <c r="B25" s="158"/>
      <c r="C25" s="159"/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45000</v>
      </c>
    </row>
    <row r="41" spans="2:3" ht="14.25" customHeight="1" x14ac:dyDescent="0.3">
      <c r="B41" s="163" t="s">
        <v>175</v>
      </c>
      <c r="C41" s="164">
        <f>C13-C40</f>
        <v>330000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zoomScaleNormal="100" workbookViewId="0">
      <selection activeCell="C17" sqref="C17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thickBot="1" x14ac:dyDescent="0.35">
      <c r="A1" s="4" t="str">
        <f>HYPERLINK("#DASHBOARD!A1","⬅ Dashboard")</f>
        <v>⬅ Dashboard</v>
      </c>
    </row>
    <row r="2" spans="1:3" ht="43.5" customHeight="1" thickBot="1" x14ac:dyDescent="0.35">
      <c r="B2" s="307" t="s">
        <v>150</v>
      </c>
      <c r="C2" s="308"/>
    </row>
    <row r="3" spans="1:3" ht="15" customHeight="1" thickBot="1" x14ac:dyDescent="0.35">
      <c r="B3" s="165" t="s">
        <v>151</v>
      </c>
      <c r="C3" s="166" t="s">
        <v>350</v>
      </c>
    </row>
    <row r="4" spans="1:3" ht="14.25" customHeight="1" x14ac:dyDescent="0.3">
      <c r="B4" s="147" t="s">
        <v>153</v>
      </c>
      <c r="C4" s="148">
        <v>46263</v>
      </c>
    </row>
    <row r="5" spans="1:3" ht="14.25" customHeight="1" x14ac:dyDescent="0.3">
      <c r="B5" s="156" t="s">
        <v>154</v>
      </c>
      <c r="C5" s="157">
        <v>140000</v>
      </c>
    </row>
    <row r="6" spans="1:3" ht="14.25" customHeight="1" x14ac:dyDescent="0.3">
      <c r="B6" s="158" t="s">
        <v>155</v>
      </c>
      <c r="C6" s="159">
        <v>40000</v>
      </c>
    </row>
    <row r="7" spans="1:3" ht="14.25" customHeight="1" x14ac:dyDescent="0.3">
      <c r="B7" s="160" t="s">
        <v>156</v>
      </c>
      <c r="C7" s="161">
        <v>100000</v>
      </c>
    </row>
    <row r="8" spans="1:3" ht="14.25" customHeight="1" x14ac:dyDescent="0.3">
      <c r="B8" s="158" t="s">
        <v>157</v>
      </c>
      <c r="C8" s="159">
        <v>153000</v>
      </c>
    </row>
    <row r="9" spans="1:3" ht="14.25" customHeight="1" x14ac:dyDescent="0.3">
      <c r="B9" s="158" t="s">
        <v>158</v>
      </c>
      <c r="C9" s="159">
        <f>C8-C5</f>
        <v>13000</v>
      </c>
    </row>
    <row r="10" spans="1:3" ht="14.25" customHeight="1" x14ac:dyDescent="0.3">
      <c r="B10" s="158" t="s">
        <v>159</v>
      </c>
      <c r="C10" s="159" t="s">
        <v>184</v>
      </c>
    </row>
    <row r="11" spans="1:3" ht="14.25" customHeight="1" x14ac:dyDescent="0.3">
      <c r="B11" s="158" t="s">
        <v>161</v>
      </c>
      <c r="C11" s="159">
        <v>10000</v>
      </c>
    </row>
    <row r="12" spans="1:3" ht="14.25" customHeight="1" x14ac:dyDescent="0.3">
      <c r="B12" s="158" t="s">
        <v>162</v>
      </c>
      <c r="C12" s="159">
        <f>(C7+C9)-(C11*11)</f>
        <v>3000</v>
      </c>
    </row>
    <row r="13" spans="1:3" ht="14.25" customHeight="1" x14ac:dyDescent="0.3">
      <c r="B13" s="158" t="s">
        <v>163</v>
      </c>
      <c r="C13" s="159">
        <f>(C11*11)+C12</f>
        <v>113000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46305</v>
      </c>
      <c r="C16" s="159">
        <v>10000</v>
      </c>
    </row>
    <row r="17" spans="2:3" ht="14.25" customHeight="1" x14ac:dyDescent="0.3">
      <c r="B17" s="162"/>
      <c r="C17" s="159"/>
    </row>
    <row r="18" spans="2:3" ht="14.25" customHeight="1" x14ac:dyDescent="0.3">
      <c r="B18" s="162"/>
      <c r="C18" s="159"/>
    </row>
    <row r="19" spans="2:3" ht="14.25" customHeight="1" x14ac:dyDescent="0.3">
      <c r="B19" s="162"/>
      <c r="C19" s="159"/>
    </row>
    <row r="20" spans="2:3" ht="14.25" customHeight="1" x14ac:dyDescent="0.3">
      <c r="B20" s="162"/>
      <c r="C20" s="159"/>
    </row>
    <row r="21" spans="2:3" ht="14.25" customHeight="1" x14ac:dyDescent="0.3">
      <c r="B21" s="158"/>
      <c r="C21" s="159"/>
    </row>
    <row r="22" spans="2:3" ht="14.25" customHeight="1" x14ac:dyDescent="0.3">
      <c r="B22" s="158"/>
      <c r="C22" s="159"/>
    </row>
    <row r="23" spans="2:3" ht="14.25" customHeight="1" x14ac:dyDescent="0.3">
      <c r="B23" s="158"/>
      <c r="C23" s="159"/>
    </row>
    <row r="24" spans="2:3" ht="14.25" customHeight="1" x14ac:dyDescent="0.3">
      <c r="B24" s="158"/>
      <c r="C24" s="159"/>
    </row>
    <row r="25" spans="2:3" ht="14.25" customHeight="1" x14ac:dyDescent="0.3">
      <c r="B25" s="158"/>
      <c r="C25" s="159"/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10000</v>
      </c>
    </row>
    <row r="41" spans="2:3" ht="14.25" customHeight="1" x14ac:dyDescent="0.3">
      <c r="B41" s="163" t="s">
        <v>175</v>
      </c>
      <c r="C41" s="164">
        <f>C13-C40</f>
        <v>103000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showGridLines="0" zoomScaleNormal="100" workbookViewId="0">
      <selection activeCell="C17" sqref="C17"/>
    </sheetView>
  </sheetViews>
  <sheetFormatPr defaultColWidth="8.88671875" defaultRowHeight="14.4" x14ac:dyDescent="0.3"/>
  <cols>
    <col min="1" max="1" width="15" style="3" customWidth="1"/>
    <col min="2" max="2" width="14.44140625" style="3" customWidth="1"/>
    <col min="3" max="3" width="20.77734375" style="3" customWidth="1"/>
    <col min="4" max="16384" width="8.88671875" style="3"/>
  </cols>
  <sheetData>
    <row r="1" spans="1:3" ht="19.5" customHeight="1" thickBot="1" x14ac:dyDescent="0.35">
      <c r="A1" s="4" t="str">
        <f>HYPERLINK("#DASHBOARD!A1","⬅ Dashboard")</f>
        <v>⬅ Dashboard</v>
      </c>
    </row>
    <row r="2" spans="1:3" ht="43.5" customHeight="1" thickBot="1" x14ac:dyDescent="0.35">
      <c r="B2" s="307" t="s">
        <v>150</v>
      </c>
      <c r="C2" s="308"/>
    </row>
    <row r="3" spans="1:3" ht="15" customHeight="1" thickBot="1" x14ac:dyDescent="0.35">
      <c r="B3" s="165" t="s">
        <v>151</v>
      </c>
      <c r="C3" s="166" t="s">
        <v>352</v>
      </c>
    </row>
    <row r="4" spans="1:3" ht="14.25" customHeight="1" x14ac:dyDescent="0.3">
      <c r="B4" s="147" t="s">
        <v>153</v>
      </c>
      <c r="C4" s="148">
        <v>46282</v>
      </c>
    </row>
    <row r="5" spans="1:3" ht="14.25" customHeight="1" x14ac:dyDescent="0.3">
      <c r="B5" s="156" t="s">
        <v>154</v>
      </c>
      <c r="C5" s="157">
        <v>183000</v>
      </c>
    </row>
    <row r="6" spans="1:3" ht="14.25" customHeight="1" x14ac:dyDescent="0.3">
      <c r="B6" s="158" t="s">
        <v>155</v>
      </c>
      <c r="C6" s="159">
        <v>33000</v>
      </c>
    </row>
    <row r="7" spans="1:3" ht="14.25" customHeight="1" x14ac:dyDescent="0.3">
      <c r="B7" s="160" t="s">
        <v>156</v>
      </c>
      <c r="C7" s="161">
        <f>C5-C6</f>
        <v>150000</v>
      </c>
    </row>
    <row r="8" spans="1:3" ht="14.25" customHeight="1" x14ac:dyDescent="0.3">
      <c r="B8" s="158" t="s">
        <v>157</v>
      </c>
      <c r="C8" s="159">
        <v>202500</v>
      </c>
    </row>
    <row r="9" spans="1:3" ht="14.25" customHeight="1" x14ac:dyDescent="0.3">
      <c r="B9" s="158" t="s">
        <v>158</v>
      </c>
      <c r="C9" s="159">
        <f>C8-C5</f>
        <v>19500</v>
      </c>
    </row>
    <row r="10" spans="1:3" ht="14.25" customHeight="1" x14ac:dyDescent="0.3">
      <c r="B10" s="158" t="s">
        <v>159</v>
      </c>
      <c r="C10" s="159" t="s">
        <v>184</v>
      </c>
    </row>
    <row r="11" spans="1:3" ht="14.25" customHeight="1" x14ac:dyDescent="0.3">
      <c r="B11" s="158" t="s">
        <v>161</v>
      </c>
      <c r="C11" s="159">
        <v>10000</v>
      </c>
    </row>
    <row r="12" spans="1:3" ht="14.25" customHeight="1" x14ac:dyDescent="0.3">
      <c r="B12" s="158" t="s">
        <v>162</v>
      </c>
      <c r="C12" s="159">
        <f>(C7+C9)-(C11*11)</f>
        <v>59500</v>
      </c>
    </row>
    <row r="13" spans="1:3" ht="14.25" customHeight="1" x14ac:dyDescent="0.3">
      <c r="B13" s="158" t="s">
        <v>163</v>
      </c>
      <c r="C13" s="159">
        <f>(C11*11)+C12</f>
        <v>169500</v>
      </c>
    </row>
    <row r="14" spans="1:3" ht="14.25" customHeight="1" x14ac:dyDescent="0.3">
      <c r="B14" s="158"/>
      <c r="C14" s="159"/>
    </row>
    <row r="15" spans="1:3" ht="14.25" customHeight="1" x14ac:dyDescent="0.3">
      <c r="B15" s="160" t="s">
        <v>164</v>
      </c>
      <c r="C15" s="161" t="s">
        <v>165</v>
      </c>
    </row>
    <row r="16" spans="1:3" ht="14.25" customHeight="1" x14ac:dyDescent="0.3">
      <c r="B16" s="162">
        <v>46305</v>
      </c>
      <c r="C16" s="159">
        <v>10000</v>
      </c>
    </row>
    <row r="17" spans="2:3" ht="14.25" customHeight="1" x14ac:dyDescent="0.3">
      <c r="B17" s="162"/>
      <c r="C17" s="159"/>
    </row>
    <row r="18" spans="2:3" ht="14.25" customHeight="1" x14ac:dyDescent="0.3">
      <c r="B18" s="162"/>
      <c r="C18" s="159"/>
    </row>
    <row r="19" spans="2:3" ht="14.25" customHeight="1" x14ac:dyDescent="0.3">
      <c r="B19" s="162"/>
      <c r="C19" s="159"/>
    </row>
    <row r="20" spans="2:3" ht="14.25" customHeight="1" x14ac:dyDescent="0.3">
      <c r="B20" s="162"/>
      <c r="C20" s="159"/>
    </row>
    <row r="21" spans="2:3" ht="14.25" customHeight="1" x14ac:dyDescent="0.3">
      <c r="B21" s="158"/>
      <c r="C21" s="159"/>
    </row>
    <row r="22" spans="2:3" ht="14.25" customHeight="1" x14ac:dyDescent="0.3">
      <c r="B22" s="158"/>
      <c r="C22" s="159"/>
    </row>
    <row r="23" spans="2:3" ht="14.25" customHeight="1" x14ac:dyDescent="0.3">
      <c r="B23" s="158"/>
      <c r="C23" s="159"/>
    </row>
    <row r="24" spans="2:3" ht="14.25" customHeight="1" x14ac:dyDescent="0.3">
      <c r="B24" s="158"/>
      <c r="C24" s="159"/>
    </row>
    <row r="25" spans="2:3" ht="14.25" customHeight="1" x14ac:dyDescent="0.3">
      <c r="B25" s="158"/>
      <c r="C25" s="159"/>
    </row>
    <row r="26" spans="2:3" ht="14.25" customHeight="1" x14ac:dyDescent="0.3">
      <c r="B26" s="158"/>
      <c r="C26" s="159"/>
    </row>
    <row r="27" spans="2:3" ht="14.25" customHeight="1" x14ac:dyDescent="0.3">
      <c r="B27" s="158"/>
      <c r="C27" s="159"/>
    </row>
    <row r="28" spans="2:3" ht="14.25" customHeight="1" x14ac:dyDescent="0.3">
      <c r="B28" s="158"/>
      <c r="C28" s="159"/>
    </row>
    <row r="29" spans="2:3" ht="14.25" customHeight="1" x14ac:dyDescent="0.3">
      <c r="B29" s="158"/>
      <c r="C29" s="159"/>
    </row>
    <row r="30" spans="2:3" ht="14.25" customHeight="1" x14ac:dyDescent="0.3">
      <c r="B30" s="158"/>
      <c r="C30" s="159"/>
    </row>
    <row r="31" spans="2:3" ht="14.25" customHeight="1" x14ac:dyDescent="0.3">
      <c r="B31" s="158"/>
      <c r="C31" s="159"/>
    </row>
    <row r="32" spans="2:3" ht="14.25" customHeight="1" x14ac:dyDescent="0.3">
      <c r="B32" s="158"/>
      <c r="C32" s="159"/>
    </row>
    <row r="33" spans="2:3" ht="14.25" customHeight="1" x14ac:dyDescent="0.3">
      <c r="B33" s="158"/>
      <c r="C33" s="159"/>
    </row>
    <row r="34" spans="2:3" ht="14.25" customHeight="1" x14ac:dyDescent="0.3">
      <c r="B34" s="158"/>
      <c r="C34" s="159"/>
    </row>
    <row r="35" spans="2:3" ht="14.25" customHeight="1" x14ac:dyDescent="0.3">
      <c r="B35" s="158"/>
      <c r="C35" s="159"/>
    </row>
    <row r="36" spans="2:3" ht="14.25" customHeight="1" x14ac:dyDescent="0.3">
      <c r="B36" s="158"/>
      <c r="C36" s="159"/>
    </row>
    <row r="37" spans="2:3" ht="14.25" customHeight="1" x14ac:dyDescent="0.3">
      <c r="B37" s="158"/>
      <c r="C37" s="159"/>
    </row>
    <row r="38" spans="2:3" ht="14.25" customHeight="1" x14ac:dyDescent="0.3">
      <c r="B38" s="158"/>
      <c r="C38" s="159"/>
    </row>
    <row r="39" spans="2:3" ht="14.25" customHeight="1" x14ac:dyDescent="0.3">
      <c r="B39" s="158"/>
      <c r="C39" s="159"/>
    </row>
    <row r="40" spans="2:3" ht="14.25" customHeight="1" x14ac:dyDescent="0.3">
      <c r="B40" s="160" t="s">
        <v>174</v>
      </c>
      <c r="C40" s="161">
        <f>SUBTOTAL(109,C16:C39)</f>
        <v>10000</v>
      </c>
    </row>
    <row r="41" spans="2:3" ht="14.25" customHeight="1" x14ac:dyDescent="0.3">
      <c r="B41" s="163" t="s">
        <v>175</v>
      </c>
      <c r="C41" s="164">
        <f>C13-C40</f>
        <v>159500</v>
      </c>
    </row>
  </sheetData>
  <mergeCells count="1">
    <mergeCell ref="B2:C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opLeftCell="D1" zoomScaleNormal="100" workbookViewId="0">
      <selection activeCell="J6" sqref="J6"/>
    </sheetView>
  </sheetViews>
  <sheetFormatPr defaultColWidth="8.88671875" defaultRowHeight="14.4" x14ac:dyDescent="0.3"/>
  <cols>
    <col min="1" max="1" width="15" style="68" customWidth="1"/>
    <col min="2" max="2" width="12" style="68" customWidth="1"/>
    <col min="3" max="3" width="17.6640625" style="68" bestFit="1" customWidth="1"/>
    <col min="4" max="4" width="17.77734375" style="68" customWidth="1"/>
    <col min="5" max="5" width="17.21875" style="68" customWidth="1"/>
    <col min="6" max="6" width="19.77734375" style="68" customWidth="1"/>
    <col min="7" max="7" width="12.5546875" style="68" customWidth="1"/>
    <col min="8" max="8" width="10.77734375" style="68" customWidth="1"/>
    <col min="9" max="10" width="18" style="68" customWidth="1"/>
    <col min="11" max="11" width="19.109375" style="68" customWidth="1"/>
    <col min="12" max="12" width="25.21875" style="68" customWidth="1"/>
    <col min="13" max="13" width="22.33203125" style="68" customWidth="1"/>
    <col min="14" max="14" width="45.21875" style="68" customWidth="1"/>
    <col min="15" max="15" width="2.109375" style="68" customWidth="1"/>
    <col min="16" max="16384" width="8.88671875" style="68"/>
  </cols>
  <sheetData>
    <row r="1" spans="1:16" ht="19.5" customHeight="1" thickBot="1" x14ac:dyDescent="0.35">
      <c r="A1" s="4" t="str">
        <f>HYPERLINK("#DASHBOARD!A1","⬅ Dashboard")</f>
        <v>⬅ Dashboard</v>
      </c>
    </row>
    <row r="2" spans="1:16" ht="30" customHeight="1" thickBot="1" x14ac:dyDescent="0.35">
      <c r="B2" s="309" t="s">
        <v>150</v>
      </c>
      <c r="C2" s="310"/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1"/>
    </row>
    <row r="3" spans="1:16" s="69" customFormat="1" ht="43.5" customHeight="1" x14ac:dyDescent="0.3">
      <c r="B3" s="211" t="s">
        <v>186</v>
      </c>
      <c r="C3" s="212" t="s">
        <v>151</v>
      </c>
      <c r="D3" s="212" t="s">
        <v>187</v>
      </c>
      <c r="E3" s="212" t="s">
        <v>188</v>
      </c>
      <c r="F3" s="212" t="s">
        <v>189</v>
      </c>
      <c r="G3" s="212" t="s">
        <v>190</v>
      </c>
      <c r="H3" s="212" t="s">
        <v>158</v>
      </c>
      <c r="I3" s="212" t="s">
        <v>191</v>
      </c>
      <c r="J3" s="212" t="s">
        <v>358</v>
      </c>
      <c r="K3" s="212" t="s">
        <v>351</v>
      </c>
      <c r="L3" s="212" t="s">
        <v>193</v>
      </c>
      <c r="M3" s="212" t="s">
        <v>194</v>
      </c>
      <c r="N3" s="213" t="s">
        <v>195</v>
      </c>
    </row>
    <row r="4" spans="1:16" ht="15" customHeight="1" x14ac:dyDescent="0.3">
      <c r="B4" s="214">
        <v>1</v>
      </c>
      <c r="C4" s="210" t="s">
        <v>152</v>
      </c>
      <c r="D4" s="210">
        <v>24</v>
      </c>
      <c r="E4" s="210">
        <f>COUNTA('CNG 1 (Zohir Ahmed)'!$C$16:$C$39)</f>
        <v>22</v>
      </c>
      <c r="F4" s="210">
        <f>'CNG 1 (Zohir Ahmed)'!C7</f>
        <v>350000</v>
      </c>
      <c r="G4" s="210">
        <f>'CNG 1 (Zohir Ahmed)'!C13</f>
        <v>438000</v>
      </c>
      <c r="H4" s="210">
        <f>G4-F4</f>
        <v>88000</v>
      </c>
      <c r="I4" s="210">
        <f>'CNG 1 (Zohir Ahmed)'!C40</f>
        <v>310000</v>
      </c>
      <c r="J4" s="210">
        <f>F4-I4</f>
        <v>40000</v>
      </c>
      <c r="K4" s="210">
        <f>G4-I4</f>
        <v>128000</v>
      </c>
      <c r="L4" s="215">
        <f>I4/F4</f>
        <v>0.88571428571428568</v>
      </c>
      <c r="M4" s="215">
        <f>I4/G4</f>
        <v>0.70776255707762559</v>
      </c>
      <c r="N4" s="216"/>
      <c r="P4" s="70"/>
    </row>
    <row r="5" spans="1:16" ht="15" customHeight="1" x14ac:dyDescent="0.3">
      <c r="B5" s="217">
        <v>2</v>
      </c>
      <c r="C5" s="208" t="s">
        <v>176</v>
      </c>
      <c r="D5" s="208">
        <v>24</v>
      </c>
      <c r="E5" s="208">
        <f>COUNTA('CNG 2 (Abu Taher)'!$C$16:$C$39)</f>
        <v>21</v>
      </c>
      <c r="F5" s="208">
        <f>'CNG 2 (Abu Taher)'!C7</f>
        <v>250000</v>
      </c>
      <c r="G5" s="208">
        <f>'CNG 2 (Abu Taher)'!C13</f>
        <v>294500</v>
      </c>
      <c r="H5" s="208">
        <f t="shared" ref="H5:H13" si="0">G5-F5</f>
        <v>44500</v>
      </c>
      <c r="I5" s="208">
        <f>'CNG 2 (Abu Taher)'!C40</f>
        <v>272000</v>
      </c>
      <c r="J5" s="210">
        <f t="shared" ref="J5:J14" si="1">F5-I5</f>
        <v>-22000</v>
      </c>
      <c r="K5" s="208">
        <f t="shared" ref="K5:K8" si="2">G5-I5</f>
        <v>22500</v>
      </c>
      <c r="L5" s="218">
        <f t="shared" ref="L5:L11" si="3">I5/F5</f>
        <v>1.0880000000000001</v>
      </c>
      <c r="M5" s="218">
        <f t="shared" ref="M5:M12" si="4">I5/G5</f>
        <v>0.92359932088285224</v>
      </c>
      <c r="N5" s="219"/>
      <c r="P5" s="70"/>
    </row>
    <row r="6" spans="1:16" ht="43.2" x14ac:dyDescent="0.3">
      <c r="B6" s="220">
        <v>3</v>
      </c>
      <c r="C6" s="209" t="s">
        <v>178</v>
      </c>
      <c r="D6" s="209">
        <v>12</v>
      </c>
      <c r="E6" s="209">
        <f>COUNTA('CNG 3 (Zahedul Islam)'!$C$16:$C$39)</f>
        <v>15</v>
      </c>
      <c r="F6" s="209">
        <f>'CNG 3 (Zahedul Islam)'!C7</f>
        <v>150000</v>
      </c>
      <c r="G6" s="209">
        <f>'CNG 3 (Zahedul Islam)'!C13</f>
        <v>169000</v>
      </c>
      <c r="H6" s="209">
        <f t="shared" si="0"/>
        <v>19000</v>
      </c>
      <c r="I6" s="209">
        <f>'CNG 3 (Zahedul Islam)'!C40</f>
        <v>169000</v>
      </c>
      <c r="J6" s="209">
        <f t="shared" si="1"/>
        <v>-19000</v>
      </c>
      <c r="K6" s="209">
        <f>G6-I6</f>
        <v>0</v>
      </c>
      <c r="L6" s="221">
        <f t="shared" si="3"/>
        <v>1.1266666666666667</v>
      </c>
      <c r="M6" s="221">
        <f t="shared" si="4"/>
        <v>1</v>
      </c>
      <c r="N6" s="222" t="s">
        <v>196</v>
      </c>
      <c r="P6" s="70"/>
    </row>
    <row r="7" spans="1:16" ht="15" customHeight="1" x14ac:dyDescent="0.3">
      <c r="B7" s="217">
        <v>4</v>
      </c>
      <c r="C7" s="208" t="s">
        <v>181</v>
      </c>
      <c r="D7" s="208">
        <v>24</v>
      </c>
      <c r="E7" s="208">
        <f>COUNTA('CNG 4 (Sajal Barua)'!$C$16:$C$39)</f>
        <v>17</v>
      </c>
      <c r="F7" s="208">
        <f>Table4[[#This Row],[Sajal Barua]]</f>
        <v>350000</v>
      </c>
      <c r="G7" s="208">
        <f>'CNG 4 (Sajal Barua)'!C13</f>
        <v>438000</v>
      </c>
      <c r="H7" s="208">
        <f t="shared" si="0"/>
        <v>88000</v>
      </c>
      <c r="I7" s="208">
        <f>'CNG 4 (Sajal Barua)'!C40</f>
        <v>232000</v>
      </c>
      <c r="J7" s="210">
        <f t="shared" si="1"/>
        <v>118000</v>
      </c>
      <c r="K7" s="208">
        <f t="shared" si="2"/>
        <v>206000</v>
      </c>
      <c r="L7" s="218">
        <f t="shared" si="3"/>
        <v>0.66285714285714281</v>
      </c>
      <c r="M7" s="218">
        <f t="shared" si="4"/>
        <v>0.52968036529680362</v>
      </c>
      <c r="N7" s="219"/>
      <c r="P7" s="70"/>
    </row>
    <row r="8" spans="1:16" ht="15" customHeight="1" x14ac:dyDescent="0.3">
      <c r="B8" s="214">
        <v>5</v>
      </c>
      <c r="C8" s="210" t="s">
        <v>183</v>
      </c>
      <c r="D8" s="210">
        <v>24</v>
      </c>
      <c r="E8" s="210">
        <f>COUNTA('CNG 5 (Nurul Abser)'!$C$16:$C$39)</f>
        <v>11</v>
      </c>
      <c r="F8" s="210">
        <f>'CNG 5 (Nurul Abser)'!C7</f>
        <v>300000</v>
      </c>
      <c r="G8" s="210">
        <f>'CNG 5 (Nurul Abser)'!C13</f>
        <v>375000</v>
      </c>
      <c r="H8" s="210">
        <f t="shared" si="0"/>
        <v>75000</v>
      </c>
      <c r="I8" s="210">
        <f>'CNG 5 (Nurul Abser)'!C40</f>
        <v>131000</v>
      </c>
      <c r="J8" s="210">
        <f t="shared" si="1"/>
        <v>169000</v>
      </c>
      <c r="K8" s="210">
        <f t="shared" si="2"/>
        <v>244000</v>
      </c>
      <c r="L8" s="215">
        <f t="shared" si="3"/>
        <v>0.43666666666666665</v>
      </c>
      <c r="M8" s="215">
        <f t="shared" si="4"/>
        <v>0.34933333333333333</v>
      </c>
      <c r="N8" s="216"/>
      <c r="P8" s="70"/>
    </row>
    <row r="9" spans="1:16" ht="15" customHeight="1" x14ac:dyDescent="0.3">
      <c r="B9" s="217">
        <v>6</v>
      </c>
      <c r="C9" s="208" t="s">
        <v>107</v>
      </c>
      <c r="D9" s="208">
        <v>12</v>
      </c>
      <c r="E9" s="208">
        <f>COUNTA('CNG 6 (Abdul Malek)'!$C$16:$C$39)</f>
        <v>10</v>
      </c>
      <c r="F9" s="208">
        <f>'CNG 6 (Abdul Malek)'!C7</f>
        <v>300000</v>
      </c>
      <c r="G9" s="208">
        <f>'CNG 6 (Abdul Malek)'!C13</f>
        <v>337500</v>
      </c>
      <c r="H9" s="208">
        <f t="shared" si="0"/>
        <v>37500</v>
      </c>
      <c r="I9" s="208">
        <f>'CNG 6 (Abdul Malek)'!C40</f>
        <v>107500</v>
      </c>
      <c r="J9" s="210">
        <f t="shared" si="1"/>
        <v>192500</v>
      </c>
      <c r="K9" s="208">
        <f t="shared" ref="K9:K14" si="5">G9-I9</f>
        <v>230000</v>
      </c>
      <c r="L9" s="218">
        <f t="shared" si="3"/>
        <v>0.35833333333333334</v>
      </c>
      <c r="M9" s="218">
        <f t="shared" si="4"/>
        <v>0.31851851851851853</v>
      </c>
      <c r="N9" s="219"/>
      <c r="P9" s="70"/>
    </row>
    <row r="10" spans="1:16" ht="15" customHeight="1" x14ac:dyDescent="0.3">
      <c r="B10" s="214">
        <v>7</v>
      </c>
      <c r="C10" s="210" t="s">
        <v>185</v>
      </c>
      <c r="D10" s="210">
        <v>12</v>
      </c>
      <c r="E10" s="210">
        <f>COUNTA('Auto Rikshwa 7 (Kamal Uddin)'!$C$16:$C$39)</f>
        <v>7</v>
      </c>
      <c r="F10" s="210">
        <f>'Auto Rikshwa 7 (Kamal Uddin)'!C7</f>
        <v>100000</v>
      </c>
      <c r="G10" s="210">
        <f>'Auto Rikshwa 7 (Kamal Uddin)'!C13</f>
        <v>112500</v>
      </c>
      <c r="H10" s="210">
        <f t="shared" si="0"/>
        <v>12500</v>
      </c>
      <c r="I10" s="210">
        <f>'Auto Rikshwa 7 (Kamal Uddin)'!C40</f>
        <v>42000</v>
      </c>
      <c r="J10" s="210">
        <f t="shared" si="1"/>
        <v>58000</v>
      </c>
      <c r="K10" s="210">
        <f t="shared" si="5"/>
        <v>70500</v>
      </c>
      <c r="L10" s="215">
        <f t="shared" si="3"/>
        <v>0.42</v>
      </c>
      <c r="M10" s="215">
        <f t="shared" si="4"/>
        <v>0.37333333333333335</v>
      </c>
      <c r="N10" s="216"/>
      <c r="P10" s="70"/>
    </row>
    <row r="11" spans="1:16" ht="15" customHeight="1" x14ac:dyDescent="0.3">
      <c r="B11" s="217">
        <v>8</v>
      </c>
      <c r="C11" s="208" t="s">
        <v>140</v>
      </c>
      <c r="D11" s="208">
        <v>12</v>
      </c>
      <c r="E11" s="208">
        <f>COUNTA('CNG 8 (Md. Yousof)'!$C$16:$C$39)</f>
        <v>7</v>
      </c>
      <c r="F11" s="208">
        <f>'CNG 8 (Md. Yousof)'!C7</f>
        <v>300000</v>
      </c>
      <c r="G11" s="208">
        <f>'CNG 8 (Md. Yousof)'!C13</f>
        <v>337500</v>
      </c>
      <c r="H11" s="208">
        <f t="shared" si="0"/>
        <v>37500</v>
      </c>
      <c r="I11" s="208">
        <f>'CNG 8 (Md. Yousof)'!C40</f>
        <v>82000</v>
      </c>
      <c r="J11" s="210">
        <f t="shared" si="1"/>
        <v>218000</v>
      </c>
      <c r="K11" s="208">
        <f t="shared" si="5"/>
        <v>255500</v>
      </c>
      <c r="L11" s="218">
        <f t="shared" si="3"/>
        <v>0.27333333333333332</v>
      </c>
      <c r="M11" s="218">
        <f>I11/G11</f>
        <v>0.24296296296296296</v>
      </c>
      <c r="N11" s="219"/>
      <c r="P11" s="70"/>
    </row>
    <row r="12" spans="1:16" ht="15" customHeight="1" x14ac:dyDescent="0.3">
      <c r="B12" s="214">
        <v>9</v>
      </c>
      <c r="C12" s="210" t="s">
        <v>89</v>
      </c>
      <c r="D12" s="210">
        <v>24</v>
      </c>
      <c r="E12" s="210">
        <f>COUNTA('CNG 9 (Md. Alamgir'!$C$16:$C$39)</f>
        <v>3</v>
      </c>
      <c r="F12" s="210">
        <f>'CNG 9 (Md. Alamgir'!C7</f>
        <v>300000</v>
      </c>
      <c r="G12" s="210">
        <f>'CNG 9 (Md. Alamgir'!C13</f>
        <v>375000</v>
      </c>
      <c r="H12" s="210">
        <f t="shared" si="0"/>
        <v>75000</v>
      </c>
      <c r="I12" s="210">
        <f>'CNG 9 (Md. Alamgir'!C40</f>
        <v>45000</v>
      </c>
      <c r="J12" s="210">
        <f t="shared" si="1"/>
        <v>255000</v>
      </c>
      <c r="K12" s="210">
        <f t="shared" si="5"/>
        <v>330000</v>
      </c>
      <c r="L12" s="215">
        <f>I12/F12</f>
        <v>0.15</v>
      </c>
      <c r="M12" s="215">
        <f t="shared" si="4"/>
        <v>0.12</v>
      </c>
      <c r="N12" s="216"/>
      <c r="P12" s="70"/>
    </row>
    <row r="13" spans="1:16" ht="15" customHeight="1" x14ac:dyDescent="0.3">
      <c r="B13" s="217">
        <v>10</v>
      </c>
      <c r="C13" s="208" t="s">
        <v>350</v>
      </c>
      <c r="D13" s="208">
        <v>12</v>
      </c>
      <c r="E13" s="208">
        <f>COUNTA('Auto Rikshwa 10 (Norul Alam)'!$C$16:$C$39)</f>
        <v>1</v>
      </c>
      <c r="F13" s="208">
        <f>'Auto Rikshwa 10 (Norul Alam)'!C7</f>
        <v>100000</v>
      </c>
      <c r="G13" s="208">
        <f>Table47893[[#This Row],[Norul Alam (Babul)]]</f>
        <v>113000</v>
      </c>
      <c r="H13" s="208">
        <f t="shared" si="0"/>
        <v>13000</v>
      </c>
      <c r="I13" s="208">
        <f>'Auto Rikshwa 10 (Norul Alam)'!C40</f>
        <v>10000</v>
      </c>
      <c r="J13" s="210">
        <f t="shared" si="1"/>
        <v>90000</v>
      </c>
      <c r="K13" s="208">
        <f t="shared" si="5"/>
        <v>103000</v>
      </c>
      <c r="L13" s="218">
        <f>I13/F13</f>
        <v>0.1</v>
      </c>
      <c r="M13" s="218">
        <f>I13/G13</f>
        <v>8.8495575221238937E-2</v>
      </c>
      <c r="N13" s="219"/>
      <c r="P13" s="70"/>
    </row>
    <row r="14" spans="1:16" ht="15" customHeight="1" x14ac:dyDescent="0.3">
      <c r="B14" s="214">
        <v>11</v>
      </c>
      <c r="C14" s="210" t="s">
        <v>352</v>
      </c>
      <c r="D14" s="210">
        <v>12</v>
      </c>
      <c r="E14" s="210">
        <f>COUNTA('Auto Rikshwa 11 (Norul Amin)'!$C$16:$C$39)</f>
        <v>1</v>
      </c>
      <c r="F14" s="210">
        <f>'Auto Rikshwa 11 (Norul Amin)'!C7</f>
        <v>150000</v>
      </c>
      <c r="G14" s="210">
        <f>'Auto Rikshwa 11 (Norul Amin)'!C13</f>
        <v>169500</v>
      </c>
      <c r="H14" s="210">
        <f>G14-F14</f>
        <v>19500</v>
      </c>
      <c r="I14" s="210">
        <f>'Auto Rikshwa 11 (Norul Amin)'!C40</f>
        <v>10000</v>
      </c>
      <c r="J14" s="210">
        <f t="shared" si="1"/>
        <v>140000</v>
      </c>
      <c r="K14" s="210">
        <f t="shared" si="5"/>
        <v>159500</v>
      </c>
      <c r="L14" s="215">
        <f>I14/F14</f>
        <v>6.6666666666666666E-2</v>
      </c>
      <c r="M14" s="215">
        <f>I14/G14</f>
        <v>5.8997050147492625E-2</v>
      </c>
      <c r="N14" s="216"/>
      <c r="P14" s="70"/>
    </row>
    <row r="15" spans="1:16" ht="15" customHeight="1" thickBot="1" x14ac:dyDescent="0.35">
      <c r="B15" s="223" t="s">
        <v>42</v>
      </c>
      <c r="C15" s="224"/>
      <c r="D15" s="224"/>
      <c r="E15" s="224"/>
      <c r="F15" s="224">
        <f t="shared" ref="F15:K15" si="6">SUM(F4:F14)</f>
        <v>2650000</v>
      </c>
      <c r="G15" s="224">
        <f t="shared" si="6"/>
        <v>3159500</v>
      </c>
      <c r="H15" s="224">
        <f t="shared" si="6"/>
        <v>509500</v>
      </c>
      <c r="I15" s="224">
        <f t="shared" si="6"/>
        <v>1410500</v>
      </c>
      <c r="J15" s="224">
        <f t="shared" si="6"/>
        <v>1239500</v>
      </c>
      <c r="K15" s="224">
        <f t="shared" si="6"/>
        <v>1749000</v>
      </c>
      <c r="L15" s="225">
        <f>I15/F15</f>
        <v>0.53226415094339619</v>
      </c>
      <c r="M15" s="225">
        <f>I15/G15</f>
        <v>0.44643139737300208</v>
      </c>
      <c r="N15" s="207"/>
    </row>
    <row r="20" spans="8:11" ht="14.25" customHeight="1" x14ac:dyDescent="0.3">
      <c r="H20" s="71"/>
    </row>
    <row r="21" spans="8:11" ht="14.25" customHeight="1" x14ac:dyDescent="0.3">
      <c r="K21" s="71"/>
    </row>
    <row r="22" spans="8:11" ht="14.25" customHeight="1" x14ac:dyDescent="0.3">
      <c r="K22" s="71"/>
    </row>
    <row r="23" spans="8:11" ht="14.25" customHeight="1" x14ac:dyDescent="0.3">
      <c r="K23" s="71"/>
    </row>
    <row r="24" spans="8:11" ht="14.25" customHeight="1" x14ac:dyDescent="0.3">
      <c r="I24" s="71"/>
      <c r="J24" s="71"/>
    </row>
  </sheetData>
  <mergeCells count="1">
    <mergeCell ref="B2:N2"/>
  </mergeCells>
  <pageMargins left="0.74791666666666701" right="0.74791666666666701" top="0.98402777777777795" bottom="0.98402777777777795" header="0.511811023622047" footer="0.511811023622047"/>
  <pageSetup paperSize="9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GridLines="0" workbookViewId="0"/>
  </sheetViews>
  <sheetFormatPr defaultRowHeight="14.4" x14ac:dyDescent="0.3"/>
  <cols>
    <col min="1" max="1" width="13.21875" style="193" bestFit="1" customWidth="1"/>
    <col min="2" max="2" width="14.44140625" style="193" bestFit="1" customWidth="1"/>
    <col min="3" max="3" width="20.77734375" style="193" bestFit="1" customWidth="1"/>
    <col min="4" max="4" width="2.109375" style="193" customWidth="1"/>
    <col min="5" max="5" width="16.44140625" style="193" customWidth="1"/>
    <col min="6" max="6" width="20.6640625" style="193" customWidth="1"/>
    <col min="7" max="16384" width="8.88671875" style="193"/>
  </cols>
  <sheetData>
    <row r="1" spans="1:6" ht="15" thickBot="1" x14ac:dyDescent="0.35">
      <c r="A1" s="4" t="str">
        <f>HYPERLINK("#DASHBOARD!A1","⬅ Dashboard")</f>
        <v>⬅ Dashboard</v>
      </c>
    </row>
    <row r="2" spans="1:6" ht="43.8" customHeight="1" x14ac:dyDescent="0.3">
      <c r="B2" s="312" t="s">
        <v>150</v>
      </c>
      <c r="C2" s="313"/>
      <c r="E2" s="312" t="s">
        <v>150</v>
      </c>
      <c r="F2" s="313"/>
    </row>
    <row r="3" spans="1:6" x14ac:dyDescent="0.3">
      <c r="B3" s="194" t="s">
        <v>164</v>
      </c>
      <c r="C3" s="195" t="s">
        <v>165</v>
      </c>
      <c r="E3" s="194" t="s">
        <v>164</v>
      </c>
      <c r="F3" s="195" t="s">
        <v>165</v>
      </c>
    </row>
    <row r="4" spans="1:6" x14ac:dyDescent="0.3">
      <c r="B4" s="196">
        <v>45667</v>
      </c>
      <c r="C4" s="197">
        <f>'CNG 1 (Zohir Ahmed)'!C16+'CNG 2 (Abu Taher)'!C16</f>
        <v>30000</v>
      </c>
      <c r="E4" s="196">
        <v>46032</v>
      </c>
      <c r="F4" s="197">
        <f>'CNG 1 (Zohir Ahmed)'!C28+'CNG 2 (Abu Taher)'!C28+'CNG 3 (Zahedul Islam)'!C26+'CNG 4 (Sajal Barua)'!C23+'CNG 5 (Nurul Abser)'!C18+'CNG 6 (Abdul Malek)'!C16</f>
        <v>66000</v>
      </c>
    </row>
    <row r="5" spans="1:6" x14ac:dyDescent="0.3">
      <c r="B5" s="198">
        <v>45698</v>
      </c>
      <c r="C5" s="199">
        <f>'CNG 1 (Zohir Ahmed)'!C17+'CNG 2 (Abu Taher)'!C17</f>
        <v>30000</v>
      </c>
      <c r="E5" s="198">
        <v>46063</v>
      </c>
      <c r="F5" s="199">
        <f>'CNG 1 (Zohir Ahmed)'!C29+'CNG 2 (Abu Taher)'!C29+'CNG 3 (Zahedul Islam)'!C27+'CNG 4 (Sajal Barua)'!C24+'CNG 5 (Nurul Abser)'!C19+'CNG 6 (Abdul Malek)'!C17</f>
        <v>73000</v>
      </c>
    </row>
    <row r="6" spans="1:6" x14ac:dyDescent="0.3">
      <c r="B6" s="196">
        <v>45726</v>
      </c>
      <c r="C6" s="197">
        <f>'CNG 1 (Zohir Ahmed)'!C18+'CNG 2 (Abu Taher)'!C18+'CNG 3 (Zahedul Islam)'!C16</f>
        <v>45000</v>
      </c>
      <c r="E6" s="196">
        <v>46091</v>
      </c>
      <c r="F6" s="197">
        <f>'CNG 1 (Zohir Ahmed)'!C30+'CNG 2 (Abu Taher)'!C30+'CNG 3 (Zahedul Islam)'!C28+'CNG 4 (Sajal Barua)'!C25+'CNG 5 (Nurul Abser)'!C20+'CNG 6 (Abdul Malek)'!C18</f>
        <v>55000</v>
      </c>
    </row>
    <row r="7" spans="1:6" x14ac:dyDescent="0.3">
      <c r="B7" s="198">
        <v>45757</v>
      </c>
      <c r="C7" s="199">
        <f>'CNG 1 (Zohir Ahmed)'!C19+'CNG 2 (Abu Taher)'!C19+'CNG 3 (Zahedul Islam)'!C17</f>
        <v>45000</v>
      </c>
      <c r="E7" s="198">
        <v>46122</v>
      </c>
      <c r="F7" s="199">
        <f>'CNG 1 (Zohir Ahmed)'!C31+'CNG 2 (Abu Taher)'!C31+'CNG 3 (Zahedul Islam)'!C29+'CNG 4 (Sajal Barua)'!C26+'CNG 5 (Nurul Abser)'!C21+'CNG 6 (Abdul Malek)'!C19+'Auto Rikshwa 7 (Kamal Uddin)'!C16+'CNG 8 (Md. Yousof)'!C16</f>
        <v>118500</v>
      </c>
    </row>
    <row r="8" spans="1:6" x14ac:dyDescent="0.3">
      <c r="B8" s="196">
        <v>45787</v>
      </c>
      <c r="C8" s="197">
        <f>'CNG 1 (Zohir Ahmed)'!C20+'CNG 2 (Abu Taher)'!C20+'CNG 3 (Zahedul Islam)'!C18+'CNG 4 (Sajal Barua)'!C16</f>
        <v>55000</v>
      </c>
      <c r="E8" s="196">
        <v>46152</v>
      </c>
      <c r="F8" s="197">
        <f>'CNG 1 (Zohir Ahmed)'!C32+'CNG 2 (Abu Taher)'!C32+'CNG 3 (Zahedul Islam)'!C30+'CNG 4 (Sajal Barua)'!C27+'CNG 5 (Nurul Abser)'!C22+'CNG 6 (Abdul Malek)'!C20+'Auto Rikshwa 7 (Kamal Uddin)'!C17+'CNG 8 (Md. Yousof)'!C17</f>
        <v>74000</v>
      </c>
    </row>
    <row r="9" spans="1:6" x14ac:dyDescent="0.3">
      <c r="B9" s="198">
        <v>45818</v>
      </c>
      <c r="C9" s="199">
        <f>'CNG 1 (Zohir Ahmed)'!C21+'CNG 2 (Abu Taher)'!C21+'CNG 3 (Zahedul Islam)'!C19</f>
        <v>40000</v>
      </c>
      <c r="E9" s="198">
        <v>46183</v>
      </c>
      <c r="F9" s="199">
        <f>'CNG 1 (Zohir Ahmed)'!C33+'CNG 2 (Abu Taher)'!C33+'CNG 3 (Zahedul Islam)'!C31+'CNG 4 (Sajal Barua)'!C28+'CNG 5 (Nurul Abser)'!C23+'CNG 6 (Abdul Malek)'!C21+'Auto Rikshwa 7 (Kamal Uddin)'!C18+'CNG 8 (Md. Yousof)'!C18</f>
        <v>68000</v>
      </c>
    </row>
    <row r="10" spans="1:6" x14ac:dyDescent="0.3">
      <c r="B10" s="196">
        <v>45848</v>
      </c>
      <c r="C10" s="197">
        <f>'CNG 1 (Zohir Ahmed)'!C22+'CNG 2 (Abu Taher)'!C22+'CNG 3 (Zahedul Islam)'!C20+'CNG 4 (Sajal Barua)'!C17</f>
        <v>55000</v>
      </c>
      <c r="E10" s="196">
        <v>46213</v>
      </c>
      <c r="F10" s="197">
        <f>'CNG 1 (Zohir Ahmed)'!C34+'CNG 2 (Abu Taher)'!C34+'CNG 3 (Zahedul Islam)'!C32+'CNG 4 (Sajal Barua)'!C29+'CNG 5 (Nurul Abser)'!C24+'CNG 6 (Abdul Malek)'!C22+'Auto Rikshwa 7 (Kamal Uddin)'!C19+'CNG 8 (Md. Yousof)'!C19</f>
        <v>81000</v>
      </c>
    </row>
    <row r="11" spans="1:6" x14ac:dyDescent="0.3">
      <c r="B11" s="198">
        <v>45879</v>
      </c>
      <c r="C11" s="199">
        <f>'CNG 1 (Zohir Ahmed)'!C23+'CNG 2 (Abu Taher)'!C23+'CNG 3 (Zahedul Islam)'!C21+'CNG 4 (Sajal Barua)'!C18</f>
        <v>55000</v>
      </c>
      <c r="E11" s="198">
        <v>46244</v>
      </c>
      <c r="F11" s="199">
        <f>'CNG 1 (Zohir Ahmed)'!C35+'CNG 2 (Abu Taher)'!C35+'CNG 3 (Zahedul Islam)'!C33+'CNG 4 (Sajal Barua)'!C30+'CNG 5 (Nurul Abser)'!C25+'CNG 6 (Abdul Malek)'!C23+'Auto Rikshwa 7 (Kamal Uddin)'!C20+'CNG 8 (Md. Yousof)'!C20+'CNG 9 (Md. Alamgir'!C16</f>
        <v>74000</v>
      </c>
    </row>
    <row r="12" spans="1:6" x14ac:dyDescent="0.3">
      <c r="B12" s="196">
        <v>45910</v>
      </c>
      <c r="C12" s="197">
        <f>'CNG 1 (Zohir Ahmed)'!C24+'CNG 2 (Abu Taher)'!C24+'CNG 3 (Zahedul Islam)'!C22+'CNG 4 (Sajal Barua)'!C19</f>
        <v>55000</v>
      </c>
      <c r="E12" s="196">
        <v>46275</v>
      </c>
      <c r="F12" s="197">
        <f>'CNG 1 (Zohir Ahmed)'!C36+'CNG 2 (Abu Taher)'!C36+'CNG 3 (Zahedul Islam)'!C34+'CNG 4 (Sajal Barua)'!C31+'CNG 5 (Nurul Abser)'!C26+'CNG 6 (Abdul Malek)'!C24+'Auto Rikshwa 7 (Kamal Uddin)'!C21+'CNG 8 (Md. Yousof)'!C21+'CNG 9 (Md. Alamgir'!C17</f>
        <v>88000</v>
      </c>
    </row>
    <row r="13" spans="1:6" x14ac:dyDescent="0.3">
      <c r="B13" s="198">
        <v>45940</v>
      </c>
      <c r="C13" s="199">
        <f>'CNG 1 (Zohir Ahmed)'!C25+'CNG 2 (Abu Taher)'!C25+'CNG 3 (Zahedul Islam)'!C23+'CNG 4 (Sajal Barua)'!C20</f>
        <v>55000</v>
      </c>
      <c r="E13" s="198">
        <v>46305</v>
      </c>
      <c r="F13" s="199">
        <f>'CNG 1 (Zohir Ahmed)'!C37+'CNG 2 (Abu Taher)'!C37+'CNG 3 (Zahedul Islam)'!C35+'CNG 4 (Sajal Barua)'!C32+'CNG 5 (Nurul Abser)'!C27+'CNG 6 (Abdul Malek)'!C25+'Auto Rikshwa 7 (Kamal Uddin)'!C22+'CNG 8 (Md. Yousof)'!C22+'CNG 9 (Md. Alamgir'!C18+'Auto Rikshwa 10 (Norul Alam)'!C16+'Auto Rikshwa 11 (Norul Amin)'!C16</f>
        <v>110000</v>
      </c>
    </row>
    <row r="14" spans="1:6" x14ac:dyDescent="0.3">
      <c r="B14" s="196">
        <v>45971</v>
      </c>
      <c r="C14" s="197">
        <f>'CNG 1 (Zohir Ahmed)'!C26+'CNG 2 (Abu Taher)'!C26+'CNG 3 (Zahedul Islam)'!C24+'CNG 4 (Sajal Barua)'!C21+'CNG 5 (Nurul Abser)'!C16</f>
        <v>66000</v>
      </c>
      <c r="E14" s="196">
        <v>46336</v>
      </c>
      <c r="F14" s="197">
        <f>'CNG 1 (Zohir Ahmed)'!C38+'CNG 2 (Abu Taher)'!C38+'CNG 3 (Zahedul Islam)'!C36+'CNG 4 (Sajal Barua)'!C33+'CNG 5 (Nurul Abser)'!C28+'CNG 6 (Abdul Malek)'!C26+'Auto Rikshwa 7 (Kamal Uddin)'!C23+'CNG 8 (Md. Yousof)'!C23+'CNG 9 (Md. Alamgir'!C19+'Auto Rikshwa 10 (Norul Alam)'!C17+'Auto Rikshwa 11 (Norul Amin)'!C17</f>
        <v>0</v>
      </c>
    </row>
    <row r="15" spans="1:6" x14ac:dyDescent="0.3">
      <c r="B15" s="198">
        <v>46001</v>
      </c>
      <c r="C15" s="199">
        <f>'CNG 1 (Zohir Ahmed)'!C27+'CNG 2 (Abu Taher)'!C27+'CNG 3 (Zahedul Islam)'!C25+'CNG 4 (Sajal Barua)'!C22+'CNG 5 (Nurul Abser)'!C17</f>
        <v>72000</v>
      </c>
      <c r="E15" s="198">
        <v>46366</v>
      </c>
      <c r="F15" s="199">
        <f>'CNG 1 (Zohir Ahmed)'!C39+'CNG 2 (Abu Taher)'!C39+'CNG 3 (Zahedul Islam)'!C37+'CNG 4 (Sajal Barua)'!C34+'CNG 5 (Nurul Abser)'!C29+'CNG 6 (Abdul Malek)'!C27+'Auto Rikshwa 7 (Kamal Uddin)'!C24+'CNG 8 (Md. Yousof)'!C24+'CNG 9 (Md. Alamgir'!C20+'Auto Rikshwa 10 (Norul Alam)'!C18+'Auto Rikshwa 11 (Norul Amin)'!C18</f>
        <v>0</v>
      </c>
    </row>
    <row r="16" spans="1:6" ht="15" thickBot="1" x14ac:dyDescent="0.35">
      <c r="B16" s="200" t="s">
        <v>332</v>
      </c>
      <c r="C16" s="201">
        <f>SUBTOTAL(109,C4:C15)</f>
        <v>603000</v>
      </c>
      <c r="E16" s="200" t="s">
        <v>332</v>
      </c>
      <c r="F16" s="201">
        <f>SUBTOTAL(109,F4:F15)</f>
        <v>807500</v>
      </c>
    </row>
  </sheetData>
  <mergeCells count="2">
    <mergeCell ref="B2:C2"/>
    <mergeCell ref="E2:F2"/>
  </mergeCells>
  <pageMargins left="0.75" right="0.75" top="1" bottom="1" header="0.5" footer="0.5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ED7D31"/>
  </sheetPr>
  <dimension ref="A1:H21"/>
  <sheetViews>
    <sheetView showGridLines="0" zoomScaleNormal="100" workbookViewId="0">
      <selection activeCell="C14" sqref="C14"/>
    </sheetView>
  </sheetViews>
  <sheetFormatPr defaultColWidth="8.6640625" defaultRowHeight="14.4" x14ac:dyDescent="0.3"/>
  <cols>
    <col min="1" max="1" width="29.77734375" style="1" bestFit="1" customWidth="1"/>
    <col min="2" max="2" width="20" style="1" customWidth="1"/>
    <col min="3" max="3" width="25" style="1" customWidth="1"/>
    <col min="4" max="4" width="20" style="1" customWidth="1"/>
  </cols>
  <sheetData>
    <row r="1" spans="1:8" ht="42" customHeight="1" x14ac:dyDescent="0.3">
      <c r="A1" s="261" t="str">
        <f>HYPERLINK("#DASHBOARD!A1","⬅ Dashboard")</f>
        <v>⬅ Dashboard</v>
      </c>
      <c r="B1" s="261"/>
      <c r="C1" s="261"/>
      <c r="D1" s="261"/>
    </row>
    <row r="2" spans="1:8" ht="27.75" customHeight="1" x14ac:dyDescent="0.3">
      <c r="A2" s="314" t="s">
        <v>219</v>
      </c>
      <c r="B2" s="314"/>
      <c r="C2" s="314"/>
      <c r="D2" s="314"/>
    </row>
    <row r="3" spans="1:8" ht="18" customHeight="1" x14ac:dyDescent="0.3">
      <c r="A3" s="315" t="s">
        <v>220</v>
      </c>
      <c r="B3" s="315"/>
      <c r="C3" s="315"/>
      <c r="D3" s="315"/>
    </row>
    <row r="4" spans="1:8" ht="21.75" customHeight="1" x14ac:dyDescent="0.3">
      <c r="A4" s="73" t="s">
        <v>221</v>
      </c>
      <c r="B4" s="73" t="s">
        <v>222</v>
      </c>
      <c r="C4" s="73" t="s">
        <v>223</v>
      </c>
      <c r="D4" s="73" t="s">
        <v>222</v>
      </c>
    </row>
    <row r="5" spans="1:8" ht="18" customHeight="1" x14ac:dyDescent="0.3">
      <c r="A5" s="74" t="s">
        <v>224</v>
      </c>
      <c r="B5" s="75">
        <f>'Month Wise Collection Summary'!C77</f>
        <v>4493000</v>
      </c>
      <c r="C5" s="74" t="s">
        <v>225</v>
      </c>
      <c r="D5" s="75">
        <f>(COUNTIF('Month Wise Collection Summary'!C4:C10,"&gt;0")+COUNTIF('Month Wise Collection Summary'!C12:C23,"&gt;0")+COUNTIF('Month Wise Collection Summary'!C25:C36,"&gt;0")+COUNTIF('Month Wise Collection Summary'!C38:C49,"&gt;0")+COUNTIF('Month Wise Collection Summary'!C51:C62,"&gt;0")+COUNTIF('Month Wise Collection Summary'!C64:C75,"&gt;0"))*50000</f>
        <v>2050000</v>
      </c>
    </row>
    <row r="6" spans="1:8" ht="18" customHeight="1" x14ac:dyDescent="0.3">
      <c r="A6" s="76" t="s">
        <v>226</v>
      </c>
      <c r="B6" s="77">
        <f>'Month Wise Collection Summary'!D77</f>
        <v>216000</v>
      </c>
      <c r="C6" s="76" t="s">
        <v>227</v>
      </c>
      <c r="D6" s="77">
        <v>500000</v>
      </c>
    </row>
    <row r="7" spans="1:8" ht="18" customHeight="1" x14ac:dyDescent="0.3">
      <c r="A7" s="74" t="s">
        <v>45</v>
      </c>
      <c r="B7" s="75">
        <f>'Month Wise Collection Summary'!E77</f>
        <v>375000</v>
      </c>
      <c r="C7" s="74" t="s">
        <v>228</v>
      </c>
      <c r="D7" s="237">
        <f>324002.67-172.5+217450-50000</f>
        <v>491280.16999999993</v>
      </c>
      <c r="E7" s="232"/>
      <c r="F7" s="232"/>
    </row>
    <row r="8" spans="1:8" ht="18" customHeight="1" x14ac:dyDescent="0.3">
      <c r="A8" s="76" t="s">
        <v>229</v>
      </c>
      <c r="B8" s="77">
        <f>'Month Wise Collection Summary'!F77</f>
        <v>23150</v>
      </c>
      <c r="C8" s="76" t="s">
        <v>230</v>
      </c>
      <c r="D8" s="77">
        <f>'CNG Summary'!F15-'CNG Summary'!I15</f>
        <v>1239500</v>
      </c>
      <c r="E8" s="232"/>
    </row>
    <row r="9" spans="1:8" ht="18" customHeight="1" x14ac:dyDescent="0.3">
      <c r="A9" s="74" t="s">
        <v>231</v>
      </c>
      <c r="B9" s="75">
        <f>'Member Wise Deposit Summary'!F81</f>
        <v>12500</v>
      </c>
      <c r="C9" s="74" t="s">
        <v>232</v>
      </c>
      <c r="D9" s="75">
        <f>IFERROR(SUM('Loan Collection Summary'!F4:F27),0)-IFERROR(SUM('Loan Collection Summary'!O4:O27),0)</f>
        <v>758600</v>
      </c>
      <c r="H9" s="232"/>
    </row>
    <row r="10" spans="1:8" ht="18" customHeight="1" x14ac:dyDescent="0.3">
      <c r="A10" s="76" t="s">
        <v>340</v>
      </c>
      <c r="B10" s="77">
        <f>'Profit &amp; Loss'!C12</f>
        <v>2800</v>
      </c>
      <c r="C10" s="76" t="s">
        <v>233</v>
      </c>
      <c r="D10" s="77">
        <f>'Month Wise Collection Summary'!H77</f>
        <v>83069.83</v>
      </c>
    </row>
    <row r="11" spans="1:8" ht="21.75" customHeight="1" x14ac:dyDescent="0.3">
      <c r="A11" s="78" t="s">
        <v>234</v>
      </c>
      <c r="B11" s="238">
        <f>SUM(B5:B10)</f>
        <v>5122450</v>
      </c>
      <c r="C11" s="78" t="s">
        <v>235</v>
      </c>
      <c r="D11" s="238">
        <f>SUM(D5:D10)</f>
        <v>5122450</v>
      </c>
    </row>
    <row r="13" spans="1:8" ht="18" customHeight="1" x14ac:dyDescent="0.3">
      <c r="A13" s="79" t="s">
        <v>236</v>
      </c>
      <c r="B13" s="80">
        <f>B11</f>
        <v>5122450</v>
      </c>
      <c r="C13" s="81"/>
      <c r="D13" s="81"/>
    </row>
    <row r="14" spans="1:8" ht="18" customHeight="1" x14ac:dyDescent="0.3">
      <c r="A14" s="79" t="s">
        <v>237</v>
      </c>
      <c r="B14" s="80">
        <f>D5+D6+D7+D8+D9+D10</f>
        <v>5122450</v>
      </c>
      <c r="C14" s="81"/>
      <c r="D14" s="81"/>
    </row>
    <row r="15" spans="1:8" ht="18" customHeight="1" x14ac:dyDescent="0.3">
      <c r="A15" s="79" t="s">
        <v>238</v>
      </c>
      <c r="B15" s="239">
        <f>B13-B14</f>
        <v>0</v>
      </c>
      <c r="C15" s="81"/>
      <c r="D15" s="81"/>
    </row>
    <row r="16" spans="1:8" x14ac:dyDescent="0.3">
      <c r="F16" s="232"/>
    </row>
    <row r="17" spans="1:4" ht="15" customHeight="1" x14ac:dyDescent="0.3">
      <c r="A17" s="316" t="s">
        <v>28</v>
      </c>
      <c r="B17" s="316"/>
      <c r="C17" s="316"/>
      <c r="D17" s="316"/>
    </row>
    <row r="18" spans="1:4" ht="30" customHeight="1" x14ac:dyDescent="0.3">
      <c r="A18" s="317" t="str">
        <f>IF(ABS(B15)&lt;1,"✔ BALANCED","⚠ WARNING — MISMATCH DETECTED")</f>
        <v>✔ BALANCED</v>
      </c>
      <c r="B18" s="317"/>
      <c r="C18" s="317"/>
      <c r="D18" s="317"/>
    </row>
    <row r="19" spans="1:4" ht="15" customHeight="1" x14ac:dyDescent="0.3"/>
    <row r="20" spans="1:4" ht="18" customHeight="1" x14ac:dyDescent="0.3">
      <c r="A20" s="82" t="s">
        <v>239</v>
      </c>
      <c r="B20" s="83">
        <f>(B5+B6+B7+B8+B9)-D10</f>
        <v>5036580.17</v>
      </c>
      <c r="C20" s="84" t="s">
        <v>240</v>
      </c>
    </row>
    <row r="21" spans="1:4" x14ac:dyDescent="0.3">
      <c r="B21" s="2"/>
    </row>
  </sheetData>
  <mergeCells count="5">
    <mergeCell ref="A1:D1"/>
    <mergeCell ref="A2:D2"/>
    <mergeCell ref="A3:D3"/>
    <mergeCell ref="A17:D17"/>
    <mergeCell ref="A18:D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2"/>
  <sheetViews>
    <sheetView showGridLines="0" topLeftCell="A4" zoomScaleNormal="100" workbookViewId="0">
      <selection activeCell="F25" sqref="F25"/>
    </sheetView>
  </sheetViews>
  <sheetFormatPr defaultColWidth="8.88671875" defaultRowHeight="14.4" x14ac:dyDescent="0.3"/>
  <cols>
    <col min="1" max="1" width="15" style="5" customWidth="1"/>
    <col min="2" max="2" width="7.33203125" style="5" customWidth="1"/>
    <col min="3" max="3" width="10.44140625" style="5" customWidth="1"/>
    <col min="4" max="4" width="22.21875" style="5" customWidth="1"/>
    <col min="5" max="5" width="16.109375" style="5" customWidth="1"/>
    <col min="6" max="6" width="11.109375" style="5" customWidth="1"/>
    <col min="7" max="7" width="18.77734375" style="5" customWidth="1"/>
    <col min="8" max="8" width="17.6640625" style="5" customWidth="1"/>
    <col min="9" max="9" width="8.6640625" style="5" customWidth="1"/>
    <col min="10" max="10" width="16.77734375" style="5" customWidth="1"/>
    <col min="11" max="11" width="22.109375" style="5" customWidth="1"/>
    <col min="12" max="12" width="11.21875" style="5" customWidth="1"/>
    <col min="13" max="13" width="11.5546875" style="5" customWidth="1"/>
    <col min="14" max="14" width="10.44140625" style="5" customWidth="1"/>
    <col min="15" max="15" width="10" style="5" customWidth="1"/>
    <col min="16" max="16" width="9.88671875" style="5" customWidth="1"/>
    <col min="17" max="17" width="8.44140625" style="5" customWidth="1"/>
    <col min="18" max="18" width="65.77734375" style="5" customWidth="1"/>
    <col min="19" max="19" width="8.88671875" style="5"/>
    <col min="20" max="20" width="7.21875" style="5" hidden="1" customWidth="1"/>
    <col min="21" max="16384" width="8.88671875" style="5"/>
  </cols>
  <sheetData>
    <row r="1" spans="1:20" ht="19.5" customHeight="1" x14ac:dyDescent="0.3">
      <c r="A1" s="4" t="str">
        <f>HYPERLINK("#DASHBOARD!A1","⬅ Dashboard")</f>
        <v>⬅ Dashboard</v>
      </c>
    </row>
    <row r="2" spans="1:20" s="45" customFormat="1" ht="43.5" customHeight="1" x14ac:dyDescent="0.3">
      <c r="B2" s="318" t="s">
        <v>150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</row>
    <row r="3" spans="1:20" s="46" customFormat="1" ht="57" customHeight="1" x14ac:dyDescent="0.3">
      <c r="B3" s="169" t="s">
        <v>197</v>
      </c>
      <c r="C3" s="169" t="s">
        <v>35</v>
      </c>
      <c r="D3" s="169" t="s">
        <v>198</v>
      </c>
      <c r="E3" s="169" t="s">
        <v>37</v>
      </c>
      <c r="F3" s="169" t="s">
        <v>199</v>
      </c>
      <c r="G3" s="169" t="s">
        <v>200</v>
      </c>
      <c r="H3" s="169" t="s">
        <v>201</v>
      </c>
      <c r="I3" s="169" t="s">
        <v>202</v>
      </c>
      <c r="J3" s="169" t="s">
        <v>203</v>
      </c>
      <c r="K3" s="169" t="s">
        <v>204</v>
      </c>
      <c r="L3" s="169" t="s">
        <v>205</v>
      </c>
      <c r="M3" s="169" t="s">
        <v>206</v>
      </c>
      <c r="N3" s="169" t="s">
        <v>207</v>
      </c>
      <c r="O3" s="169" t="s">
        <v>191</v>
      </c>
      <c r="P3" s="169" t="s">
        <v>192</v>
      </c>
      <c r="Q3" s="169" t="s">
        <v>208</v>
      </c>
      <c r="R3" s="169" t="s">
        <v>195</v>
      </c>
      <c r="T3" s="46" t="s">
        <v>354</v>
      </c>
    </row>
    <row r="4" spans="1:20" ht="14.25" customHeight="1" x14ac:dyDescent="0.3">
      <c r="B4" s="170">
        <v>1</v>
      </c>
      <c r="C4" s="170">
        <v>33</v>
      </c>
      <c r="D4" s="170" t="s">
        <v>103</v>
      </c>
      <c r="E4" s="171">
        <v>1831797810</v>
      </c>
      <c r="F4" s="170">
        <v>80000</v>
      </c>
      <c r="G4" s="172">
        <v>45379</v>
      </c>
      <c r="H4" s="170" t="s">
        <v>209</v>
      </c>
      <c r="I4" s="173">
        <v>0.18</v>
      </c>
      <c r="J4" s="172">
        <v>45689</v>
      </c>
      <c r="K4" s="174" t="str">
        <f t="shared" ref="K4:K13" si="0">IFERROR(DATEDIF(G4,J4,"Y") &amp; " Years " &amp; DATEDIF(G4,J4,"YM") &amp; " Months " &amp; DATEDIF(G4,J4,"MD") &amp; " Days",0)</f>
        <v>0 Years 10 Months 4 Days</v>
      </c>
      <c r="L4" s="174">
        <f>IFERROR(CEILING(DATEDIF(G4,J4,"M"),6),0)</f>
        <v>12</v>
      </c>
      <c r="M4" s="174">
        <f ca="1">IF(Table16[[#This Row],[Paid %]]&gt;98%,0,IF(Table16[[#This Row],[Paid %]]=100%,0,F4*I4*(CEILING(DATEDIF(G4,TODAY(),"M"),6)/12)))</f>
        <v>0</v>
      </c>
      <c r="N4" s="174">
        <f>IF(J4="","",F4*I4*(L4/12)+F4)</f>
        <v>94400</v>
      </c>
      <c r="O4" s="170">
        <v>94400</v>
      </c>
      <c r="P4" s="170">
        <f ca="1">IFERROR(N4-O4,0)+Table16[[#This Row],[Till Date Payble Interest]]</f>
        <v>0</v>
      </c>
      <c r="Q4" s="72">
        <f t="shared" ref="Q4:Q11" si="1">IFERROR(O4/N4,0)</f>
        <v>1</v>
      </c>
      <c r="R4" s="175" t="s">
        <v>210</v>
      </c>
      <c r="T4" s="5">
        <f>Table16[[#This Row],[Collected Amount]]-Table16[[#This Row],[Loan Amount]]</f>
        <v>14400</v>
      </c>
    </row>
    <row r="5" spans="1:20" ht="14.25" customHeight="1" x14ac:dyDescent="0.3">
      <c r="B5" s="170">
        <v>2</v>
      </c>
      <c r="C5" s="170">
        <v>26</v>
      </c>
      <c r="D5" s="170" t="s">
        <v>96</v>
      </c>
      <c r="E5" s="171">
        <v>1865394799</v>
      </c>
      <c r="F5" s="170">
        <v>100000</v>
      </c>
      <c r="G5" s="172">
        <v>45414</v>
      </c>
      <c r="H5" s="170" t="s">
        <v>211</v>
      </c>
      <c r="I5" s="173">
        <v>0.18</v>
      </c>
      <c r="J5" s="172">
        <v>45964</v>
      </c>
      <c r="K5" s="174" t="str">
        <f t="shared" si="0"/>
        <v>1 Years 6 Months 1 Days</v>
      </c>
      <c r="L5" s="174">
        <f t="shared" ref="L5:L11" si="2">IFERROR(CEILING(DATEDIF(G5,J5,"M"),6),0)</f>
        <v>18</v>
      </c>
      <c r="M5" s="174">
        <f ca="1">IF(Table16[[#This Row],[Paid %]]&gt;98%,0,IF(Table16[[#This Row],[Paid %]]=100%,0,F5*I5*(CEILING(DATEDIF(G5,TODAY(),"M"),6)/12)))</f>
        <v>45000</v>
      </c>
      <c r="N5" s="174">
        <f t="shared" ref="N5:N18" si="3">IF(J5="","",F5*I5*(L5/12)+F5)</f>
        <v>127000</v>
      </c>
      <c r="O5" s="175">
        <v>27000</v>
      </c>
      <c r="P5" s="170">
        <f>IFERROR(N5-O5,0)</f>
        <v>100000</v>
      </c>
      <c r="Q5" s="72">
        <f t="shared" si="1"/>
        <v>0.2125984251968504</v>
      </c>
      <c r="R5" s="170" t="s">
        <v>212</v>
      </c>
      <c r="T5" s="5">
        <v>27000</v>
      </c>
    </row>
    <row r="6" spans="1:20" ht="14.25" customHeight="1" x14ac:dyDescent="0.3">
      <c r="B6" s="170">
        <v>3</v>
      </c>
      <c r="C6" s="170">
        <v>22</v>
      </c>
      <c r="D6" s="170" t="s">
        <v>86</v>
      </c>
      <c r="E6" s="171">
        <v>1873812598</v>
      </c>
      <c r="F6" s="170">
        <v>10000</v>
      </c>
      <c r="G6" s="172">
        <v>45456</v>
      </c>
      <c r="H6" s="170">
        <v>22</v>
      </c>
      <c r="I6" s="173">
        <v>0.18</v>
      </c>
      <c r="J6" s="172">
        <v>45897</v>
      </c>
      <c r="K6" s="174" t="str">
        <f t="shared" si="0"/>
        <v>1 Years 2 Months 15 Days</v>
      </c>
      <c r="L6" s="174">
        <f t="shared" si="2"/>
        <v>18</v>
      </c>
      <c r="M6" s="174">
        <f ca="1">IF(Table16[[#This Row],[Paid %]]&gt;98%,0,IF(Table16[[#This Row],[Paid %]]=100%,0,F6*I6*(CEILING(DATEDIF(G6,TODAY(),"M"),6)/12)))</f>
        <v>4500</v>
      </c>
      <c r="N6" s="174">
        <f t="shared" si="3"/>
        <v>12700</v>
      </c>
      <c r="O6" s="175">
        <v>2700</v>
      </c>
      <c r="P6" s="170">
        <f t="shared" ref="P6:P11" si="4">IFERROR(N6-O6,0)</f>
        <v>10000</v>
      </c>
      <c r="Q6" s="72">
        <f t="shared" si="1"/>
        <v>0.2125984251968504</v>
      </c>
      <c r="R6" s="170" t="s">
        <v>213</v>
      </c>
      <c r="T6" s="5">
        <v>2700</v>
      </c>
    </row>
    <row r="7" spans="1:20" ht="14.25" customHeight="1" x14ac:dyDescent="0.3">
      <c r="B7" s="170">
        <v>4</v>
      </c>
      <c r="C7" s="170">
        <v>39</v>
      </c>
      <c r="D7" s="170" t="s">
        <v>109</v>
      </c>
      <c r="E7" s="171">
        <v>1873807617</v>
      </c>
      <c r="F7" s="170">
        <v>100000</v>
      </c>
      <c r="G7" s="172">
        <v>45671</v>
      </c>
      <c r="H7" s="170">
        <v>42</v>
      </c>
      <c r="I7" s="173">
        <v>0.18</v>
      </c>
      <c r="J7" s="172">
        <v>46036</v>
      </c>
      <c r="K7" s="174" t="str">
        <f t="shared" si="0"/>
        <v>1 Years 0 Months 0 Days</v>
      </c>
      <c r="L7" s="174">
        <f t="shared" si="2"/>
        <v>12</v>
      </c>
      <c r="M7" s="174">
        <f ca="1">IF(Table16[[#This Row],[Paid %]]&gt;98%,0,IF(Table16[[#This Row],[Paid %]]=100%,0,F7*I7*(CEILING(DATEDIF(G7,TODAY(),"M"),6)/12)))</f>
        <v>0</v>
      </c>
      <c r="N7" s="174">
        <f t="shared" si="3"/>
        <v>118000</v>
      </c>
      <c r="O7" s="170">
        <v>118000</v>
      </c>
      <c r="P7" s="170">
        <f t="shared" si="4"/>
        <v>0</v>
      </c>
      <c r="Q7" s="72">
        <f t="shared" si="1"/>
        <v>1</v>
      </c>
      <c r="R7" s="175" t="s">
        <v>210</v>
      </c>
      <c r="T7" s="5">
        <f>Table16[[#This Row],[Collected Amount]]-Table16[[#This Row],[Loan Amount]]</f>
        <v>18000</v>
      </c>
    </row>
    <row r="8" spans="1:20" ht="14.25" customHeight="1" x14ac:dyDescent="0.3">
      <c r="B8" s="170">
        <v>5</v>
      </c>
      <c r="C8" s="170">
        <v>41</v>
      </c>
      <c r="D8" s="170" t="s">
        <v>111</v>
      </c>
      <c r="E8" s="171">
        <v>1830621990</v>
      </c>
      <c r="F8" s="170">
        <v>10000</v>
      </c>
      <c r="G8" s="172">
        <v>45676</v>
      </c>
      <c r="H8" s="170">
        <v>41</v>
      </c>
      <c r="I8" s="173">
        <v>0.18</v>
      </c>
      <c r="J8" s="172">
        <v>45923</v>
      </c>
      <c r="K8" s="174" t="str">
        <f>IFERROR(DATEDIF(G8,J8,"Y") &amp; " Years " &amp; DATEDIF(G8,J8,"YM") &amp; " Months " &amp; DATEDIF(G8,J8,"MD") &amp; " Days",0)</f>
        <v>0 Years 8 Months 4 Days</v>
      </c>
      <c r="L8" s="174">
        <f t="shared" si="2"/>
        <v>12</v>
      </c>
      <c r="M8" s="174">
        <f ca="1">IF(Table16[[#This Row],[Paid %]]&gt;98%,0,IF(Table16[[#This Row],[Paid %]]=100%,0,F8*I8*(CEILING(DATEDIF(G8,TODAY(),"M"),6)/12)))</f>
        <v>0</v>
      </c>
      <c r="N8" s="174">
        <f t="shared" si="3"/>
        <v>11800</v>
      </c>
      <c r="O8" s="170">
        <v>11800</v>
      </c>
      <c r="P8" s="170">
        <f t="shared" si="4"/>
        <v>0</v>
      </c>
      <c r="Q8" s="72">
        <f t="shared" si="1"/>
        <v>1</v>
      </c>
      <c r="R8" s="175" t="s">
        <v>210</v>
      </c>
      <c r="T8" s="5">
        <f>Table16[[#This Row],[Collected Amount]]-Table16[[#This Row],[Loan Amount]]</f>
        <v>1800</v>
      </c>
    </row>
    <row r="9" spans="1:20" ht="14.25" customHeight="1" x14ac:dyDescent="0.3">
      <c r="B9" s="176">
        <v>6</v>
      </c>
      <c r="C9" s="176">
        <v>45</v>
      </c>
      <c r="D9" s="176" t="s">
        <v>101</v>
      </c>
      <c r="E9" s="177">
        <v>1840409753</v>
      </c>
      <c r="F9" s="176">
        <v>150000</v>
      </c>
      <c r="G9" s="178">
        <v>45707</v>
      </c>
      <c r="H9" s="176" t="s">
        <v>214</v>
      </c>
      <c r="I9" s="179">
        <v>0.18</v>
      </c>
      <c r="J9" s="178">
        <v>46080</v>
      </c>
      <c r="K9" s="180" t="str">
        <f>IFERROR(DATEDIF(G9,J9,"Y") &amp; " Years " &amp; DATEDIF(G9,J9,"YM") &amp; " Months " &amp; DATEDIF(G9,J9,"MD") &amp; " Days",0)</f>
        <v>1 Years 0 Months 8 Days</v>
      </c>
      <c r="L9" s="176">
        <f t="shared" si="2"/>
        <v>12</v>
      </c>
      <c r="M9" s="180">
        <f ca="1">IF(Table16[[#This Row],[Paid %]]&gt;98%,0,IF(Table16[[#This Row],[Paid %]]=100%,0,F9*I9*(CEILING(DATEDIF(G9,TODAY(),"M"),6)/12)))</f>
        <v>0</v>
      </c>
      <c r="N9" s="180">
        <f>IF(J9="","",F9*I9*(L9/12)+F9)</f>
        <v>177000</v>
      </c>
      <c r="O9" s="176">
        <v>176000</v>
      </c>
      <c r="P9" s="181">
        <f>IFERROR(N9-O9,0)</f>
        <v>1000</v>
      </c>
      <c r="Q9" s="234">
        <f t="shared" si="1"/>
        <v>0.99435028248587576</v>
      </c>
      <c r="R9" s="176" t="s">
        <v>215</v>
      </c>
      <c r="T9" s="5">
        <f>Table16[[#This Row],[Collected Amount]]-Table16[[#This Row],[Loan Amount]]</f>
        <v>26000</v>
      </c>
    </row>
    <row r="10" spans="1:20" ht="14.25" customHeight="1" x14ac:dyDescent="0.3">
      <c r="B10" s="170">
        <v>7</v>
      </c>
      <c r="C10" s="170">
        <v>43</v>
      </c>
      <c r="D10" s="170" t="s">
        <v>113</v>
      </c>
      <c r="E10" s="182">
        <v>971503520518</v>
      </c>
      <c r="F10" s="170">
        <v>50000</v>
      </c>
      <c r="G10" s="172">
        <v>45733</v>
      </c>
      <c r="H10" s="170" t="s">
        <v>214</v>
      </c>
      <c r="I10" s="173">
        <v>0.18</v>
      </c>
      <c r="J10" s="172">
        <v>46080</v>
      </c>
      <c r="K10" s="174" t="str">
        <f t="shared" si="0"/>
        <v>0 Years 11 Months 10 Days</v>
      </c>
      <c r="L10" s="170">
        <f t="shared" si="2"/>
        <v>12</v>
      </c>
      <c r="M10" s="174">
        <f ca="1">IF(Table16[[#This Row],[Paid %]]&gt;98%,0,IF(Table16[[#This Row],[Paid %]]=100%,0,F10*I10*(CEILING(DATEDIF(G10,TODAY(),"M"),6)/12)))</f>
        <v>0</v>
      </c>
      <c r="N10" s="174">
        <f t="shared" si="3"/>
        <v>59000</v>
      </c>
      <c r="O10" s="170">
        <v>59000</v>
      </c>
      <c r="P10" s="170">
        <f t="shared" si="4"/>
        <v>0</v>
      </c>
      <c r="Q10" s="72">
        <f t="shared" si="1"/>
        <v>1</v>
      </c>
      <c r="R10" s="175" t="s">
        <v>210</v>
      </c>
      <c r="T10" s="5">
        <f>Table16[[#This Row],[Collected Amount]]-Table16[[#This Row],[Loan Amount]]</f>
        <v>9000</v>
      </c>
    </row>
    <row r="11" spans="1:20" ht="14.25" customHeight="1" x14ac:dyDescent="0.3">
      <c r="B11" s="170">
        <v>8</v>
      </c>
      <c r="C11" s="170">
        <v>7</v>
      </c>
      <c r="D11" s="170" t="s">
        <v>77</v>
      </c>
      <c r="E11" s="171">
        <v>1885946523</v>
      </c>
      <c r="F11" s="170">
        <v>50000</v>
      </c>
      <c r="G11" s="172">
        <v>45832</v>
      </c>
      <c r="H11" s="170" t="s">
        <v>216</v>
      </c>
      <c r="I11" s="173">
        <v>0.18</v>
      </c>
      <c r="J11" s="172">
        <v>46180</v>
      </c>
      <c r="K11" s="174" t="str">
        <f t="shared" si="0"/>
        <v>0 Years 11 Months 14 Days</v>
      </c>
      <c r="L11" s="170">
        <f t="shared" si="2"/>
        <v>12</v>
      </c>
      <c r="M11" s="174">
        <f ca="1">IF(Table16[[#This Row],[Paid %]]&gt;98%,0,IF(Table16[[#This Row],[Paid %]]=100%,0,F11*I11*(CEILING(DATEDIF(G11,TODAY(),"M"),6)/12)))</f>
        <v>0</v>
      </c>
      <c r="N11" s="174">
        <f t="shared" si="3"/>
        <v>59000</v>
      </c>
      <c r="O11" s="170">
        <v>59000</v>
      </c>
      <c r="P11" s="170">
        <f t="shared" si="4"/>
        <v>0</v>
      </c>
      <c r="Q11" s="72">
        <f t="shared" si="1"/>
        <v>1</v>
      </c>
      <c r="R11" s="175" t="s">
        <v>210</v>
      </c>
      <c r="T11" s="5">
        <f>Table16[[#This Row],[Collected Amount]]-Table16[[#This Row],[Loan Amount]]</f>
        <v>9000</v>
      </c>
    </row>
    <row r="12" spans="1:20" ht="14.25" customHeight="1" x14ac:dyDescent="0.3">
      <c r="B12" s="176">
        <v>9</v>
      </c>
      <c r="C12" s="176">
        <v>9</v>
      </c>
      <c r="D12" s="176" t="s">
        <v>79</v>
      </c>
      <c r="E12" s="177">
        <v>1811938007</v>
      </c>
      <c r="F12" s="176">
        <v>200000</v>
      </c>
      <c r="G12" s="178">
        <v>45883</v>
      </c>
      <c r="H12" s="176" t="s">
        <v>217</v>
      </c>
      <c r="I12" s="179">
        <v>0.18</v>
      </c>
      <c r="J12" s="178">
        <v>46187</v>
      </c>
      <c r="K12" s="180" t="str">
        <f t="shared" si="0"/>
        <v>0 Years 10 Months 0 Days</v>
      </c>
      <c r="L12" s="176">
        <f>IFERROR(CEILING(DATEDIF(G12,J12,"M"),6),0)</f>
        <v>12</v>
      </c>
      <c r="M12" s="180">
        <f ca="1">IF(Table16[[#This Row],[Paid %]]&gt;98%,0,IF(Table16[[#This Row],[Paid %]]=100%,0,F12*I12*(CEILING(DATEDIF(G12,TODAY(),"M"),6)/12)))</f>
        <v>0</v>
      </c>
      <c r="N12" s="180">
        <f t="shared" si="3"/>
        <v>236000</v>
      </c>
      <c r="O12" s="176">
        <v>233500</v>
      </c>
      <c r="P12" s="181">
        <f>IFERROR(N12-O12,0)</f>
        <v>2500</v>
      </c>
      <c r="Q12" s="234">
        <f>IFERROR(O12/N12,0)</f>
        <v>0.98940677966101698</v>
      </c>
      <c r="R12" s="176" t="s">
        <v>336</v>
      </c>
      <c r="T12" s="5">
        <f>Table16[[#This Row],[Collected Amount]]-Table16[[#This Row],[Loan Amount]]</f>
        <v>33500</v>
      </c>
    </row>
    <row r="13" spans="1:20" ht="14.25" customHeight="1" x14ac:dyDescent="0.3">
      <c r="B13" s="170">
        <v>10</v>
      </c>
      <c r="C13" s="170">
        <v>41</v>
      </c>
      <c r="D13" s="170" t="s">
        <v>111</v>
      </c>
      <c r="E13" s="171">
        <v>1830621990</v>
      </c>
      <c r="F13" s="170">
        <v>50000</v>
      </c>
      <c r="G13" s="172">
        <v>45923</v>
      </c>
      <c r="H13" s="170">
        <v>41</v>
      </c>
      <c r="I13" s="173">
        <v>0.18</v>
      </c>
      <c r="J13" s="172"/>
      <c r="K13" s="174">
        <f t="shared" si="0"/>
        <v>0</v>
      </c>
      <c r="L13" s="170">
        <f t="shared" ref="L13" si="5">IFERROR(CEILING(DATEDIF(G13,J13,"M"),6),0)</f>
        <v>0</v>
      </c>
      <c r="M13" s="174">
        <f ca="1">IF(Table16[[#This Row],[Paid %]]&gt;98%,0,IF(Table16[[#This Row],[Paid %]]=100%,0,F13*I13*(CEILING(DATEDIF(G13,TODAY(),"M"),6)/12)))</f>
        <v>9000</v>
      </c>
      <c r="N13" s="174" t="str">
        <f t="shared" si="3"/>
        <v/>
      </c>
      <c r="O13" s="170"/>
      <c r="P13" s="174">
        <f t="shared" ref="P13" si="6">IFERROR(N13-O13,0)</f>
        <v>0</v>
      </c>
      <c r="Q13" s="183">
        <f t="shared" ref="Q13" si="7">IFERROR(O13/N13,0)</f>
        <v>0</v>
      </c>
      <c r="R13" s="170"/>
    </row>
    <row r="14" spans="1:20" ht="14.25" customHeight="1" x14ac:dyDescent="0.3">
      <c r="B14" s="170">
        <v>11</v>
      </c>
      <c r="C14" s="170">
        <v>24</v>
      </c>
      <c r="D14" s="170" t="s">
        <v>94</v>
      </c>
      <c r="E14" s="171">
        <v>1860493163</v>
      </c>
      <c r="F14" s="170">
        <v>25000</v>
      </c>
      <c r="G14" s="172">
        <v>45972</v>
      </c>
      <c r="H14" s="170">
        <v>24</v>
      </c>
      <c r="I14" s="173">
        <v>0.18</v>
      </c>
      <c r="J14" s="184"/>
      <c r="K14" s="174">
        <f t="shared" ref="K14:K19" si="8">IFERROR(DATEDIF(G14,J14,"Y") &amp; " Years " &amp; DATEDIF(G14,J14,"YM") &amp; " Months " &amp; DATEDIF(G14,J14,"MD") &amp; " Days",0)</f>
        <v>0</v>
      </c>
      <c r="L14" s="170">
        <f t="shared" ref="L14:L19" si="9">IFERROR(CEILING(DATEDIF(G14,J14,"M"),6),0)</f>
        <v>0</v>
      </c>
      <c r="M14" s="174">
        <f ca="1">IF(Table16[[#This Row],[Paid %]]&gt;98%,0,IF(Table16[[#This Row],[Paid %]]=100%,0,F14*I14*(CEILING(DATEDIF(G14,TODAY(),"M"),6)/12)))</f>
        <v>4500</v>
      </c>
      <c r="N14" s="174" t="str">
        <f t="shared" si="3"/>
        <v/>
      </c>
      <c r="O14" s="170"/>
      <c r="P14" s="174">
        <f t="shared" ref="P14:P19" si="10">IFERROR(N14-O14,0)</f>
        <v>0</v>
      </c>
      <c r="Q14" s="173">
        <f t="shared" ref="Q14:Q19" si="11">IFERROR(O14/N14,0)</f>
        <v>0</v>
      </c>
      <c r="R14" s="170"/>
    </row>
    <row r="15" spans="1:20" ht="14.25" customHeight="1" x14ac:dyDescent="0.3">
      <c r="B15" s="170">
        <v>12</v>
      </c>
      <c r="C15" s="170">
        <v>63</v>
      </c>
      <c r="D15" s="170" t="s">
        <v>134</v>
      </c>
      <c r="E15" s="171">
        <v>1827204517</v>
      </c>
      <c r="F15" s="170">
        <v>100000</v>
      </c>
      <c r="G15" s="172">
        <v>46036</v>
      </c>
      <c r="H15" s="170" t="s">
        <v>349</v>
      </c>
      <c r="I15" s="173">
        <v>0.18</v>
      </c>
      <c r="J15" s="184"/>
      <c r="K15" s="174">
        <f t="shared" si="8"/>
        <v>0</v>
      </c>
      <c r="L15" s="170">
        <f t="shared" si="9"/>
        <v>0</v>
      </c>
      <c r="M15" s="174">
        <f ca="1">IF(Table16[[#This Row],[Paid %]]&gt;98%,0,IF(Table16[[#This Row],[Paid %]]=100%,0,F15*I15*(CEILING(DATEDIF(G15,TODAY(),"M"),6)/12)))</f>
        <v>18000</v>
      </c>
      <c r="N15" s="174" t="str">
        <f t="shared" si="3"/>
        <v/>
      </c>
      <c r="O15" s="170"/>
      <c r="P15" s="174">
        <f t="shared" si="10"/>
        <v>0</v>
      </c>
      <c r="Q15" s="173">
        <f t="shared" si="11"/>
        <v>0</v>
      </c>
      <c r="R15" s="170"/>
    </row>
    <row r="16" spans="1:20" ht="14.25" customHeight="1" x14ac:dyDescent="0.3">
      <c r="B16" s="170">
        <v>13</v>
      </c>
      <c r="C16" s="170">
        <v>39</v>
      </c>
      <c r="D16" s="170" t="s">
        <v>109</v>
      </c>
      <c r="E16" s="171">
        <v>1873807617</v>
      </c>
      <c r="F16" s="170">
        <v>50000</v>
      </c>
      <c r="G16" s="172">
        <v>46036</v>
      </c>
      <c r="H16" s="170">
        <v>39</v>
      </c>
      <c r="I16" s="173">
        <v>0.18</v>
      </c>
      <c r="J16" s="184"/>
      <c r="K16" s="174">
        <f t="shared" si="8"/>
        <v>0</v>
      </c>
      <c r="L16" s="170">
        <f t="shared" si="9"/>
        <v>0</v>
      </c>
      <c r="M16" s="174">
        <f ca="1">IF(Table16[[#This Row],[Paid %]]&gt;98%,0,IF(Table16[[#This Row],[Paid %]]=100%,0,F16*I16*(CEILING(DATEDIF(G16,TODAY(),"M"),6)/12)))</f>
        <v>9000</v>
      </c>
      <c r="N16" s="174" t="str">
        <f t="shared" si="3"/>
        <v/>
      </c>
      <c r="O16" s="170"/>
      <c r="P16" s="174">
        <f t="shared" si="10"/>
        <v>0</v>
      </c>
      <c r="Q16" s="173">
        <f t="shared" si="11"/>
        <v>0</v>
      </c>
      <c r="R16" s="170"/>
    </row>
    <row r="17" spans="2:18" ht="14.25" customHeight="1" x14ac:dyDescent="0.3">
      <c r="B17" s="185">
        <v>14</v>
      </c>
      <c r="C17" s="186">
        <v>43</v>
      </c>
      <c r="D17" s="170" t="s">
        <v>113</v>
      </c>
      <c r="E17" s="187" t="s">
        <v>218</v>
      </c>
      <c r="F17" s="186">
        <v>100000</v>
      </c>
      <c r="G17" s="188">
        <v>46081</v>
      </c>
      <c r="H17" s="170" t="s">
        <v>369</v>
      </c>
      <c r="I17" s="173">
        <v>0.18</v>
      </c>
      <c r="J17" s="189"/>
      <c r="K17" s="174">
        <f t="shared" si="8"/>
        <v>0</v>
      </c>
      <c r="L17" s="186">
        <f t="shared" si="9"/>
        <v>0</v>
      </c>
      <c r="M17" s="190">
        <f ca="1">IF(Table16[[#This Row],[Paid %]]&gt;98%,0,IF(Table16[[#This Row],[Paid %]]=100%,0,F17*I17*(CEILING(DATEDIF(G17,TODAY(),"M"),6)/12)))</f>
        <v>18000</v>
      </c>
      <c r="N17" s="174" t="str">
        <f t="shared" si="3"/>
        <v/>
      </c>
      <c r="O17" s="186"/>
      <c r="P17" s="190">
        <f t="shared" si="10"/>
        <v>0</v>
      </c>
      <c r="Q17" s="191">
        <f t="shared" si="11"/>
        <v>0</v>
      </c>
      <c r="R17" s="192"/>
    </row>
    <row r="18" spans="2:18" x14ac:dyDescent="0.3">
      <c r="B18" s="204">
        <v>15</v>
      </c>
      <c r="C18" s="170">
        <v>49</v>
      </c>
      <c r="D18" s="170" t="s">
        <v>118</v>
      </c>
      <c r="E18" s="205">
        <v>1834470639</v>
      </c>
      <c r="F18" s="170">
        <v>100000</v>
      </c>
      <c r="G18" s="188">
        <v>46154</v>
      </c>
      <c r="H18" s="170" t="s">
        <v>333</v>
      </c>
      <c r="I18" s="173">
        <v>0.18</v>
      </c>
      <c r="J18" s="184"/>
      <c r="K18" s="174">
        <f t="shared" si="8"/>
        <v>0</v>
      </c>
      <c r="L18" s="170">
        <f t="shared" si="9"/>
        <v>0</v>
      </c>
      <c r="M18" s="174">
        <f ca="1">IF(Table16[[#This Row],[Paid %]]&gt;98%,0,IF(Table16[[#This Row],[Paid %]]=100%,0,F18*I18*(CEILING(DATEDIF(G18,TODAY(),"M"),6)/12)))</f>
        <v>9000</v>
      </c>
      <c r="N18" s="174" t="str">
        <f t="shared" si="3"/>
        <v/>
      </c>
      <c r="O18" s="170"/>
      <c r="P18" s="174">
        <f t="shared" si="10"/>
        <v>0</v>
      </c>
      <c r="Q18" s="173">
        <f t="shared" si="11"/>
        <v>0</v>
      </c>
      <c r="R18" s="206"/>
    </row>
    <row r="19" spans="2:18" x14ac:dyDescent="0.3">
      <c r="B19" s="226">
        <v>16</v>
      </c>
      <c r="C19" s="227">
        <v>62</v>
      </c>
      <c r="D19" s="227" t="s">
        <v>92</v>
      </c>
      <c r="E19" s="228">
        <v>1885316318</v>
      </c>
      <c r="F19" s="227">
        <v>25000</v>
      </c>
      <c r="G19" s="188">
        <v>46156</v>
      </c>
      <c r="H19" s="227">
        <v>62</v>
      </c>
      <c r="I19" s="173">
        <v>0.18</v>
      </c>
      <c r="J19" s="227"/>
      <c r="K19" s="230">
        <f t="shared" si="8"/>
        <v>0</v>
      </c>
      <c r="L19" s="227">
        <f t="shared" si="9"/>
        <v>0</v>
      </c>
      <c r="M19" s="230">
        <f ca="1">IF(Table16[[#This Row],[Paid %]]&gt;98%,0,IF(Table16[[#This Row],[Paid %]]=100%,0,F19*I19*(CEILING(DATEDIF(G19,TODAY(),"M"),6)/12)))</f>
        <v>2250</v>
      </c>
      <c r="N19" s="227"/>
      <c r="O19" s="227"/>
      <c r="P19" s="230">
        <f t="shared" si="10"/>
        <v>0</v>
      </c>
      <c r="Q19" s="229">
        <f t="shared" si="11"/>
        <v>0</v>
      </c>
      <c r="R19" s="231"/>
    </row>
    <row r="20" spans="2:18" x14ac:dyDescent="0.3">
      <c r="B20" s="226">
        <v>17</v>
      </c>
      <c r="C20" s="227">
        <v>59</v>
      </c>
      <c r="D20" s="227" t="s">
        <v>131</v>
      </c>
      <c r="E20" s="228">
        <v>1817246488</v>
      </c>
      <c r="F20" s="227">
        <v>200000</v>
      </c>
      <c r="G20" s="233">
        <v>46187</v>
      </c>
      <c r="H20" s="227" t="s">
        <v>337</v>
      </c>
      <c r="I20" s="173">
        <v>0.18</v>
      </c>
      <c r="J20" s="227"/>
      <c r="K20" s="230">
        <f>IFERROR(DATEDIF(G20,J20,"Y") &amp; " Years " &amp; DATEDIF(G20,J20,"YM") &amp; " Months " &amp; DATEDIF(G20,J20,"MD") &amp; " Days",0)</f>
        <v>0</v>
      </c>
      <c r="L20" s="227">
        <f>IFERROR(CEILING(DATEDIF(G20,J20,"M"),6),0)</f>
        <v>0</v>
      </c>
      <c r="M20" s="230">
        <f ca="1">IF(Table16[[#This Row],[Paid %]]&gt;98%,0,IF(Table16[[#This Row],[Paid %]]=100%,0,F20*I20*(CEILING(DATEDIF(G20,TODAY(),"M"),6)/12)))</f>
        <v>18000</v>
      </c>
      <c r="N20" s="227"/>
      <c r="O20" s="227"/>
      <c r="P20" s="230">
        <f>IFERROR(N20-O20,0)</f>
        <v>0</v>
      </c>
      <c r="Q20" s="229">
        <f>IFERROR(O20/N20,0)</f>
        <v>0</v>
      </c>
      <c r="R20" s="231"/>
    </row>
    <row r="21" spans="2:18" x14ac:dyDescent="0.3">
      <c r="B21" s="226">
        <v>18</v>
      </c>
      <c r="C21" s="227">
        <v>59</v>
      </c>
      <c r="D21" s="227" t="s">
        <v>131</v>
      </c>
      <c r="E21" s="228">
        <v>1817246488</v>
      </c>
      <c r="F21" s="227">
        <v>100000</v>
      </c>
      <c r="G21" s="233">
        <v>46187</v>
      </c>
      <c r="H21" s="227">
        <v>4</v>
      </c>
      <c r="I21" s="173">
        <v>0.18</v>
      </c>
      <c r="J21" s="227"/>
      <c r="K21" s="230">
        <f>IFERROR(DATEDIF(G21,J21,"Y") &amp; " Years " &amp; DATEDIF(G21,J21,"YM") &amp; " Months " &amp; DATEDIF(G21,J21,"MD") &amp; " Days",0)</f>
        <v>0</v>
      </c>
      <c r="L21" s="227">
        <f>IFERROR(CEILING(DATEDIF(G21,J21,"M"),6),0)</f>
        <v>0</v>
      </c>
      <c r="M21" s="230">
        <f ca="1">IF(Table16[[#This Row],[Paid %]]&gt;98%,0,IF(Table16[[#This Row],[Paid %]]=100%,0,F21*I21*(CEILING(DATEDIF(G21,TODAY(),"M"),6)/12)))</f>
        <v>9000</v>
      </c>
      <c r="N21" s="227"/>
      <c r="O21" s="227"/>
      <c r="P21" s="230">
        <f>IFERROR(N21-O21,0)</f>
        <v>0</v>
      </c>
      <c r="Q21" s="229">
        <f>IFERROR(O21/N21,0)</f>
        <v>0</v>
      </c>
      <c r="R21" s="231"/>
    </row>
    <row r="22" spans="2:18" x14ac:dyDescent="0.3">
      <c r="B22" s="226">
        <v>19</v>
      </c>
      <c r="C22" s="227">
        <v>7</v>
      </c>
      <c r="D22" s="170" t="s">
        <v>77</v>
      </c>
      <c r="E22" s="171">
        <v>1885946523</v>
      </c>
      <c r="F22" s="227">
        <v>40000</v>
      </c>
      <c r="G22" s="233">
        <v>46209</v>
      </c>
      <c r="H22" s="227">
        <v>7</v>
      </c>
      <c r="I22" s="173">
        <v>0.18</v>
      </c>
      <c r="J22" s="227"/>
      <c r="K22" s="230">
        <f>IFERROR(DATEDIF(G22,J22,"Y") &amp; " Years " &amp; DATEDIF(G22,J22,"YM") &amp; " Months " &amp; DATEDIF(G22,J22,"MD") &amp; " Days",0)</f>
        <v>0</v>
      </c>
      <c r="L22" s="227">
        <f>IFERROR(CEILING(DATEDIF(G22,J22,"M"),6),0)</f>
        <v>0</v>
      </c>
      <c r="M22" s="230">
        <f ca="1">IF(Table16[[#This Row],[Paid %]]&gt;98%,0,IF(Table16[[#This Row],[Paid %]]=100%,0,F22*I22*(CEILING(DATEDIF(G22,TODAY(),"M"),6)/12)))</f>
        <v>3600</v>
      </c>
      <c r="N22" s="227"/>
      <c r="O22" s="227"/>
      <c r="P22" s="230">
        <f>IFERROR(N22-O22,0)</f>
        <v>0</v>
      </c>
      <c r="Q22" s="229">
        <f>IFERROR(O22/N22,0)</f>
        <v>0</v>
      </c>
      <c r="R22" s="231"/>
    </row>
  </sheetData>
  <mergeCells count="1">
    <mergeCell ref="B2:R2"/>
  </mergeCells>
  <conditionalFormatting sqref="B4:Q11 B13:Q19 M20 I20:I22">
    <cfRule type="expression" dxfId="42" priority="4">
      <formula>$Q4=100%</formula>
    </cfRule>
  </conditionalFormatting>
  <conditionalFormatting sqref="B13:Q13 G14 I14:I22">
    <cfRule type="expression" dxfId="41" priority="3">
      <formula>$Q13=100%</formula>
    </cfRule>
  </conditionalFormatting>
  <conditionalFormatting sqref="B12:Q12">
    <cfRule type="expression" dxfId="40" priority="2">
      <formula>$Q12=100%</formula>
    </cfRule>
  </conditionalFormatting>
  <conditionalFormatting sqref="D22:E22">
    <cfRule type="expression" dxfId="39" priority="1">
      <formula>$Q22=100%</formula>
    </cfRule>
  </conditionalFormatting>
  <pageMargins left="0.75" right="0.75" top="1" bottom="1" header="0.511811023622047" footer="0.511811023622047"/>
  <pageSetup orientation="portrait" horizontalDpi="300" verticalDpi="300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opLeftCell="A13" zoomScaleNormal="100" workbookViewId="0">
      <selection activeCell="C29" sqref="C29"/>
    </sheetView>
  </sheetViews>
  <sheetFormatPr defaultColWidth="8.6640625" defaultRowHeight="14.4" x14ac:dyDescent="0.3"/>
  <cols>
    <col min="1" max="1" width="15" style="1" customWidth="1"/>
    <col min="2" max="2" width="36" style="1" customWidth="1"/>
    <col min="3" max="3" width="22" style="1" customWidth="1"/>
    <col min="4" max="4" width="27.21875" style="1" customWidth="1"/>
    <col min="5" max="6" width="22" style="1" customWidth="1"/>
    <col min="7" max="7" width="3" style="1" customWidth="1"/>
  </cols>
  <sheetData>
    <row r="1" spans="1:6" ht="19.5" customHeight="1" x14ac:dyDescent="0.3">
      <c r="A1" s="4" t="str">
        <f>HYPERLINK("#DASHBOARD!A1","⬅ Dashboard")</f>
        <v>⬅ Dashboard</v>
      </c>
    </row>
    <row r="2" spans="1:6" ht="39.75" customHeight="1" x14ac:dyDescent="0.3">
      <c r="B2" s="321" t="s">
        <v>241</v>
      </c>
      <c r="C2" s="321"/>
      <c r="D2" s="321"/>
      <c r="E2" s="321"/>
      <c r="F2" s="321"/>
    </row>
    <row r="3" spans="1:6" ht="7.5" customHeight="1" x14ac:dyDescent="0.3"/>
    <row r="4" spans="1:6" ht="24" customHeight="1" x14ac:dyDescent="0.3">
      <c r="B4" s="85" t="s">
        <v>242</v>
      </c>
      <c r="C4" s="86" t="s">
        <v>243</v>
      </c>
      <c r="D4" s="86" t="s">
        <v>244</v>
      </c>
      <c r="E4" s="86" t="s">
        <v>245</v>
      </c>
      <c r="F4" s="87" t="s">
        <v>246</v>
      </c>
    </row>
    <row r="5" spans="1:6" ht="19.5" customHeight="1" x14ac:dyDescent="0.3">
      <c r="B5" s="322" t="s">
        <v>247</v>
      </c>
      <c r="C5" s="322"/>
      <c r="D5" s="322"/>
      <c r="E5" s="322"/>
      <c r="F5" s="322"/>
    </row>
    <row r="6" spans="1:6" ht="21.75" customHeight="1" x14ac:dyDescent="0.3">
      <c r="B6" s="88" t="s">
        <v>225</v>
      </c>
      <c r="C6" s="89">
        <f>(COUNTIF('Month Wise Collection Summary'!C4:C10,"&gt;0")+COUNTIF('Month Wise Collection Summary'!C12:C23,"&gt;0")+COUNTIF('Month Wise Collection Summary'!C25:C36,"&gt;0")+COUNTIF('Month Wise Collection Summary'!C38:C49,"&gt;0")+COUNTIF('Month Wise Collection Summary'!C51:C62,"&gt;0")+COUNTIF('Month Wise Collection Summary'!C64:C75,"&gt;0"))*50000</f>
        <v>2050000</v>
      </c>
      <c r="D6" s="89">
        <f>C6</f>
        <v>2050000</v>
      </c>
      <c r="E6" s="90">
        <f>D6-C6</f>
        <v>0</v>
      </c>
      <c r="F6" s="91" t="s">
        <v>248</v>
      </c>
    </row>
    <row r="7" spans="1:6" ht="21.75" customHeight="1" x14ac:dyDescent="0.3">
      <c r="B7" s="88" t="s">
        <v>227</v>
      </c>
      <c r="C7" s="89">
        <v>500000</v>
      </c>
      <c r="D7" s="89">
        <v>587221.84</v>
      </c>
      <c r="E7" s="90">
        <f>D7-C7</f>
        <v>87221.839999999967</v>
      </c>
      <c r="F7" s="91" t="s">
        <v>248</v>
      </c>
    </row>
    <row r="8" spans="1:6" ht="21.75" customHeight="1" x14ac:dyDescent="0.3">
      <c r="B8" s="92" t="s">
        <v>249</v>
      </c>
      <c r="C8" s="93">
        <v>0</v>
      </c>
      <c r="D8" s="93">
        <v>0</v>
      </c>
      <c r="E8" s="94">
        <f>D8-C8</f>
        <v>0</v>
      </c>
      <c r="F8" s="95" t="s">
        <v>248</v>
      </c>
    </row>
    <row r="9" spans="1:6" s="96" customFormat="1" ht="21.75" customHeight="1" x14ac:dyDescent="0.3">
      <c r="B9" s="97"/>
      <c r="C9" s="98"/>
      <c r="D9" s="98"/>
      <c r="E9" s="98"/>
      <c r="F9" s="99"/>
    </row>
    <row r="10" spans="1:6" ht="24" customHeight="1" x14ac:dyDescent="0.3">
      <c r="B10" s="100" t="s">
        <v>242</v>
      </c>
      <c r="C10" s="100" t="s">
        <v>243</v>
      </c>
      <c r="D10" s="101" t="s">
        <v>250</v>
      </c>
      <c r="E10" s="101" t="s">
        <v>251</v>
      </c>
      <c r="F10" s="100" t="s">
        <v>246</v>
      </c>
    </row>
    <row r="11" spans="1:6" ht="19.5" customHeight="1" x14ac:dyDescent="0.3">
      <c r="B11" s="323" t="s">
        <v>252</v>
      </c>
      <c r="C11" s="323"/>
      <c r="D11" s="323"/>
      <c r="E11" s="323"/>
      <c r="F11" s="323"/>
    </row>
    <row r="12" spans="1:6" ht="21.75" customHeight="1" x14ac:dyDescent="0.3">
      <c r="B12" s="102" t="s">
        <v>253</v>
      </c>
      <c r="C12" s="103">
        <f>'CNG Summary'!F15</f>
        <v>2650000</v>
      </c>
      <c r="D12" s="103">
        <f>'CNG Summary'!I15</f>
        <v>1410500</v>
      </c>
      <c r="E12" s="103">
        <f>D12-C12</f>
        <v>-1239500</v>
      </c>
      <c r="F12" s="104" t="s">
        <v>254</v>
      </c>
    </row>
    <row r="13" spans="1:6" ht="21.75" customHeight="1" x14ac:dyDescent="0.3">
      <c r="B13" s="105"/>
      <c r="C13" s="106"/>
      <c r="D13" s="106"/>
      <c r="E13" s="106"/>
      <c r="F13" s="107"/>
    </row>
    <row r="14" spans="1:6" ht="21.75" customHeight="1" x14ac:dyDescent="0.3">
      <c r="B14" s="108"/>
      <c r="C14" s="109"/>
      <c r="D14" s="109"/>
      <c r="E14" s="109"/>
      <c r="F14" s="110"/>
    </row>
    <row r="15" spans="1:6" ht="24" customHeight="1" x14ac:dyDescent="0.3">
      <c r="B15" s="100" t="s">
        <v>242</v>
      </c>
      <c r="C15" s="100" t="s">
        <v>243</v>
      </c>
      <c r="D15" s="101" t="s">
        <v>250</v>
      </c>
      <c r="E15" s="101" t="s">
        <v>251</v>
      </c>
      <c r="F15" s="100" t="s">
        <v>246</v>
      </c>
    </row>
    <row r="16" spans="1:6" ht="19.5" customHeight="1" x14ac:dyDescent="0.3">
      <c r="B16" s="324" t="s">
        <v>255</v>
      </c>
      <c r="C16" s="324"/>
      <c r="D16" s="324"/>
      <c r="E16" s="324"/>
      <c r="F16" s="324"/>
    </row>
    <row r="17" spans="2:8" ht="21.75" customHeight="1" x14ac:dyDescent="0.3">
      <c r="B17" s="102" t="s">
        <v>256</v>
      </c>
      <c r="C17" s="203">
        <f>IFERROR(SUM('Loan Collection Summary'!F4:F22),0)</f>
        <v>1540000</v>
      </c>
      <c r="D17" s="203">
        <f>IFERROR(SUM('Loan Collection Summary'!O4:O22),0)</f>
        <v>781400</v>
      </c>
      <c r="E17" s="103">
        <f>D17-C17</f>
        <v>-758600</v>
      </c>
      <c r="F17" s="104" t="s">
        <v>257</v>
      </c>
      <c r="H17" s="111"/>
    </row>
    <row r="18" spans="2:8" s="112" customFormat="1" ht="21.75" customHeight="1" x14ac:dyDescent="0.3">
      <c r="B18" s="113"/>
      <c r="C18" s="114"/>
      <c r="D18" s="114"/>
      <c r="E18" s="114"/>
      <c r="F18" s="115"/>
    </row>
    <row r="19" spans="2:8" ht="21.75" customHeight="1" x14ac:dyDescent="0.3">
      <c r="B19" s="102"/>
      <c r="C19" s="103"/>
      <c r="D19" s="103"/>
      <c r="E19" s="103"/>
      <c r="F19" s="104"/>
    </row>
    <row r="20" spans="2:8" ht="24" customHeight="1" x14ac:dyDescent="0.3">
      <c r="B20" s="100" t="s">
        <v>242</v>
      </c>
      <c r="C20" s="100" t="s">
        <v>243</v>
      </c>
      <c r="D20" s="101" t="s">
        <v>250</v>
      </c>
      <c r="E20" s="116" t="s">
        <v>258</v>
      </c>
      <c r="F20" s="100" t="s">
        <v>246</v>
      </c>
    </row>
    <row r="21" spans="2:8" ht="19.5" customHeight="1" x14ac:dyDescent="0.3">
      <c r="B21" s="324" t="s">
        <v>259</v>
      </c>
      <c r="C21" s="324"/>
      <c r="D21" s="324"/>
      <c r="E21" s="324"/>
      <c r="F21" s="324"/>
    </row>
    <row r="22" spans="2:8" ht="24" customHeight="1" x14ac:dyDescent="0.3">
      <c r="B22" s="117" t="s">
        <v>260</v>
      </c>
      <c r="C22" s="118">
        <f>C6+C7+C8+C12+C17</f>
        <v>6740000</v>
      </c>
      <c r="D22" s="118">
        <f>D6+D7+D8+D12+D17</f>
        <v>4829121.84</v>
      </c>
      <c r="E22" s="119">
        <f>D22-C22</f>
        <v>-1910878.1600000001</v>
      </c>
      <c r="F22" s="120" t="s">
        <v>261</v>
      </c>
    </row>
    <row r="23" spans="2:8" ht="24" customHeight="1" x14ac:dyDescent="0.3">
      <c r="B23" s="117" t="s">
        <v>262</v>
      </c>
      <c r="C23" s="319">
        <f>E6+E7+E8+E12+E17</f>
        <v>-1910878.1600000001</v>
      </c>
      <c r="D23" s="319"/>
      <c r="E23" s="319"/>
      <c r="F23" s="120" t="s">
        <v>263</v>
      </c>
    </row>
    <row r="24" spans="2:8" ht="9.75" customHeight="1" x14ac:dyDescent="0.3"/>
    <row r="25" spans="2:8" ht="15" customHeight="1" x14ac:dyDescent="0.3">
      <c r="B25" s="320" t="s">
        <v>264</v>
      </c>
      <c r="C25" s="320"/>
      <c r="D25" s="320"/>
      <c r="E25" s="320"/>
      <c r="F25" s="320"/>
    </row>
  </sheetData>
  <mergeCells count="7">
    <mergeCell ref="C23:E23"/>
    <mergeCell ref="B25:F25"/>
    <mergeCell ref="B2:F2"/>
    <mergeCell ref="B5:F5"/>
    <mergeCell ref="B11:F11"/>
    <mergeCell ref="B16:F16"/>
    <mergeCell ref="B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opLeftCell="A6" zoomScaleNormal="100" workbookViewId="0">
      <selection activeCell="B21" sqref="B21"/>
    </sheetView>
  </sheetViews>
  <sheetFormatPr defaultColWidth="8.6640625" defaultRowHeight="14.4" x14ac:dyDescent="0.3"/>
  <cols>
    <col min="1" max="1" width="15" style="1" customWidth="1"/>
    <col min="2" max="2" width="40" style="1" customWidth="1"/>
    <col min="3" max="3" width="24" style="1" customWidth="1"/>
    <col min="4" max="4" width="28.33203125" style="1" customWidth="1"/>
    <col min="5" max="5" width="3" style="1" customWidth="1"/>
  </cols>
  <sheetData>
    <row r="1" spans="1:4" ht="19.5" customHeight="1" x14ac:dyDescent="0.3">
      <c r="A1" s="4" t="str">
        <f>HYPERLINK("#DASHBOARD!A1","⬅ Dashboard")</f>
        <v>⬅ Dashboard</v>
      </c>
    </row>
    <row r="2" spans="1:4" ht="39.75" customHeight="1" x14ac:dyDescent="0.3">
      <c r="B2" s="321" t="s">
        <v>265</v>
      </c>
      <c r="C2" s="321"/>
      <c r="D2" s="321"/>
    </row>
    <row r="3" spans="1:4" ht="7.5" customHeight="1" x14ac:dyDescent="0.3"/>
    <row r="4" spans="1:4" ht="24" customHeight="1" x14ac:dyDescent="0.3">
      <c r="B4" s="121" t="s">
        <v>266</v>
      </c>
      <c r="C4" s="121" t="s">
        <v>267</v>
      </c>
      <c r="D4" s="121" t="s">
        <v>268</v>
      </c>
    </row>
    <row r="5" spans="1:4" ht="24" customHeight="1" x14ac:dyDescent="0.3">
      <c r="B5" s="324" t="s">
        <v>269</v>
      </c>
      <c r="C5" s="324"/>
      <c r="D5" s="324"/>
    </row>
    <row r="6" spans="1:4" ht="21.75" customHeight="1" x14ac:dyDescent="0.3">
      <c r="B6" s="102" t="s">
        <v>270</v>
      </c>
      <c r="C6" s="103">
        <f>'Investment Register'!E6</f>
        <v>0</v>
      </c>
      <c r="D6" s="104" t="s">
        <v>271</v>
      </c>
    </row>
    <row r="7" spans="1:4" ht="21.75" customHeight="1" x14ac:dyDescent="0.3">
      <c r="B7" s="105" t="s">
        <v>272</v>
      </c>
      <c r="C7" s="106">
        <v>87222</v>
      </c>
      <c r="D7" s="107" t="s">
        <v>273</v>
      </c>
    </row>
    <row r="8" spans="1:4" ht="21.75" customHeight="1" x14ac:dyDescent="0.3">
      <c r="B8" s="102" t="s">
        <v>274</v>
      </c>
      <c r="C8" s="103">
        <v>19000</v>
      </c>
      <c r="D8" s="104" t="s">
        <v>275</v>
      </c>
    </row>
    <row r="9" spans="1:4" ht="21.75" customHeight="1" x14ac:dyDescent="0.3">
      <c r="B9" s="105" t="s">
        <v>276</v>
      </c>
      <c r="C9" s="106">
        <f>107900+33500</f>
        <v>141400</v>
      </c>
      <c r="D9" s="107" t="s">
        <v>277</v>
      </c>
    </row>
    <row r="10" spans="1:4" ht="21.75" customHeight="1" x14ac:dyDescent="0.3">
      <c r="B10" s="102" t="s">
        <v>278</v>
      </c>
      <c r="C10" s="103">
        <f>IFERROR('Month Wise Collection Summary'!F77,0)</f>
        <v>23150</v>
      </c>
      <c r="D10" s="104" t="s">
        <v>279</v>
      </c>
    </row>
    <row r="11" spans="1:4" ht="21.75" customHeight="1" x14ac:dyDescent="0.3">
      <c r="B11" s="122" t="s">
        <v>280</v>
      </c>
      <c r="C11" s="106">
        <f>'Member Wise Deposit Summary'!F81</f>
        <v>12500</v>
      </c>
      <c r="D11" s="107" t="s">
        <v>281</v>
      </c>
    </row>
    <row r="12" spans="1:4" ht="21.75" customHeight="1" x14ac:dyDescent="0.3">
      <c r="B12" s="102" t="s">
        <v>340</v>
      </c>
      <c r="C12" s="103">
        <v>2800</v>
      </c>
      <c r="D12" s="104"/>
    </row>
    <row r="13" spans="1:4" ht="24" customHeight="1" x14ac:dyDescent="0.3">
      <c r="B13" s="123" t="s">
        <v>282</v>
      </c>
      <c r="C13" s="124">
        <f>SUM(C6:C11)</f>
        <v>283272</v>
      </c>
      <c r="D13" s="125" t="s">
        <v>283</v>
      </c>
    </row>
    <row r="14" spans="1:4" ht="24" customHeight="1" x14ac:dyDescent="0.3">
      <c r="B14" s="324" t="s">
        <v>284</v>
      </c>
      <c r="C14" s="324"/>
      <c r="D14" s="324"/>
    </row>
    <row r="15" spans="1:4" ht="21.75" customHeight="1" x14ac:dyDescent="0.3">
      <c r="B15" s="102" t="s">
        <v>285</v>
      </c>
      <c r="C15" s="103">
        <f>IFERROR('Month Wise Collection Summary'!H77,0)</f>
        <v>83069.83</v>
      </c>
      <c r="D15" s="104" t="s">
        <v>286</v>
      </c>
    </row>
    <row r="16" spans="1:4" ht="24" customHeight="1" x14ac:dyDescent="0.3">
      <c r="B16" s="126" t="s">
        <v>287</v>
      </c>
      <c r="C16" s="127">
        <f>C13-C15</f>
        <v>200202.16999999998</v>
      </c>
      <c r="D16" s="128" t="s">
        <v>288</v>
      </c>
    </row>
    <row r="17" spans="2:4" x14ac:dyDescent="0.3">
      <c r="B17" s="129" t="s">
        <v>289</v>
      </c>
      <c r="C17" s="130">
        <f>C16/125</f>
        <v>1601.61736</v>
      </c>
      <c r="D17" s="129" t="s">
        <v>290</v>
      </c>
    </row>
  </sheetData>
  <mergeCells count="3">
    <mergeCell ref="B2:D2"/>
    <mergeCell ref="B5:D5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topLeftCell="A13" zoomScaleNormal="100" workbookViewId="0">
      <selection activeCell="C30" sqref="C30"/>
    </sheetView>
  </sheetViews>
  <sheetFormatPr defaultColWidth="8.6640625" defaultRowHeight="14.4" x14ac:dyDescent="0.3"/>
  <cols>
    <col min="1" max="1" width="15" style="1" customWidth="1"/>
    <col min="2" max="2" width="40" style="1" customWidth="1"/>
    <col min="3" max="3" width="24" style="1" customWidth="1"/>
    <col min="4" max="4" width="27.5546875" style="1" customWidth="1"/>
    <col min="5" max="5" width="3" style="1" customWidth="1"/>
  </cols>
  <sheetData>
    <row r="1" spans="1:4" ht="19.5" customHeight="1" x14ac:dyDescent="0.3">
      <c r="A1" s="4" t="str">
        <f>HYPERLINK("#DASHBOARD!A1","⬅ Dashboard")</f>
        <v>⬅ Dashboard</v>
      </c>
    </row>
    <row r="2" spans="1:4" ht="39.75" customHeight="1" x14ac:dyDescent="0.3">
      <c r="B2" s="321" t="s">
        <v>291</v>
      </c>
      <c r="C2" s="321"/>
      <c r="D2" s="321"/>
    </row>
    <row r="3" spans="1:4" ht="7.5" customHeight="1" x14ac:dyDescent="0.3"/>
    <row r="4" spans="1:4" ht="24" customHeight="1" x14ac:dyDescent="0.3">
      <c r="B4" s="131" t="s">
        <v>292</v>
      </c>
      <c r="C4" s="131" t="s">
        <v>293</v>
      </c>
      <c r="D4" s="131" t="s">
        <v>294</v>
      </c>
    </row>
    <row r="5" spans="1:4" ht="24" customHeight="1" x14ac:dyDescent="0.3">
      <c r="B5" s="324" t="s">
        <v>295</v>
      </c>
      <c r="C5" s="324"/>
      <c r="D5" s="324"/>
    </row>
    <row r="6" spans="1:4" ht="21.75" customHeight="1" x14ac:dyDescent="0.3">
      <c r="B6" s="102" t="s">
        <v>296</v>
      </c>
      <c r="C6" s="103">
        <f>'Central Fund Control'!B5+'Central Fund Control'!B6+'Central Fund Control'!B7+'Central Fund Control'!B9</f>
        <v>5096500</v>
      </c>
      <c r="D6" s="104" t="s">
        <v>297</v>
      </c>
    </row>
    <row r="7" spans="1:4" ht="21.75" customHeight="1" x14ac:dyDescent="0.3">
      <c r="B7" s="105" t="s">
        <v>298</v>
      </c>
      <c r="C7" s="106">
        <f>'CNG Summary'!H6+'Loan Collection Summary'!T4+'Loan Collection Summary'!T5+'Loan Collection Summary'!T6+'Loan Collection Summary'!T7+'Loan Collection Summary'!T8+'Loan Collection Summary'!T9+'Loan Collection Summary'!T10+'Loan Collection Summary'!T11+'Loan Collection Summary'!T12</f>
        <v>160400</v>
      </c>
      <c r="D7" s="107" t="s">
        <v>299</v>
      </c>
    </row>
    <row r="8" spans="1:4" ht="21.75" customHeight="1" x14ac:dyDescent="0.3">
      <c r="B8" s="102" t="s">
        <v>300</v>
      </c>
      <c r="C8" s="103">
        <f>'Month Wise Collection Summary'!F77</f>
        <v>23150</v>
      </c>
      <c r="D8" s="104" t="s">
        <v>301</v>
      </c>
    </row>
    <row r="9" spans="1:4" ht="21.75" customHeight="1" x14ac:dyDescent="0.3">
      <c r="B9" s="105" t="s">
        <v>302</v>
      </c>
      <c r="C9" s="106">
        <f>'Investment Register'!E7</f>
        <v>87221.839999999967</v>
      </c>
      <c r="D9" s="107" t="s">
        <v>303</v>
      </c>
    </row>
    <row r="10" spans="1:4" ht="21.75" customHeight="1" x14ac:dyDescent="0.3">
      <c r="B10" s="102" t="s">
        <v>304</v>
      </c>
      <c r="C10" s="132">
        <f>'Month Wise Collection Summary'!H77</f>
        <v>83069.83</v>
      </c>
      <c r="D10" s="104" t="s">
        <v>301</v>
      </c>
    </row>
    <row r="11" spans="1:4" ht="24" customHeight="1" x14ac:dyDescent="0.3">
      <c r="B11" s="123" t="s">
        <v>305</v>
      </c>
      <c r="C11" s="124">
        <f>(C6+C7+C8+C9)-C10</f>
        <v>5284202.01</v>
      </c>
      <c r="D11" s="125" t="s">
        <v>306</v>
      </c>
    </row>
    <row r="12" spans="1:4" ht="24" customHeight="1" x14ac:dyDescent="0.3">
      <c r="B12" s="324" t="s">
        <v>307</v>
      </c>
      <c r="C12" s="324"/>
      <c r="D12" s="324"/>
    </row>
    <row r="13" spans="1:4" ht="21.75" customHeight="1" x14ac:dyDescent="0.3">
      <c r="B13" s="102" t="s">
        <v>308</v>
      </c>
      <c r="C13" s="103">
        <v>125</v>
      </c>
      <c r="D13" s="104" t="s">
        <v>309</v>
      </c>
    </row>
    <row r="14" spans="1:4" ht="21.75" customHeight="1" x14ac:dyDescent="0.3">
      <c r="B14" s="105" t="s">
        <v>310</v>
      </c>
      <c r="C14" s="106">
        <f>IFERROR('Profit &amp; Loss'!C16,0)</f>
        <v>200202.16999999998</v>
      </c>
      <c r="D14" s="107" t="s">
        <v>311</v>
      </c>
    </row>
    <row r="15" spans="1:4" ht="21.75" customHeight="1" x14ac:dyDescent="0.3">
      <c r="B15" s="102" t="s">
        <v>312</v>
      </c>
      <c r="C15" s="103">
        <f>IFERROR(C14/C13,0)</f>
        <v>1601.61736</v>
      </c>
      <c r="D15" s="104" t="s">
        <v>290</v>
      </c>
    </row>
    <row r="16" spans="1:4" ht="24" customHeight="1" x14ac:dyDescent="0.3">
      <c r="B16" s="324" t="s">
        <v>313</v>
      </c>
      <c r="C16" s="324"/>
      <c r="D16" s="324"/>
    </row>
    <row r="17" spans="2:4" ht="21.75" customHeight="1" x14ac:dyDescent="0.3">
      <c r="B17" s="102" t="s">
        <v>314</v>
      </c>
      <c r="C17" s="103">
        <f>60*1000</f>
        <v>60000</v>
      </c>
      <c r="D17" s="104" t="s">
        <v>315</v>
      </c>
    </row>
    <row r="18" spans="2:4" ht="21.75" customHeight="1" x14ac:dyDescent="0.3">
      <c r="B18" s="105" t="s">
        <v>316</v>
      </c>
      <c r="C18" s="106">
        <f>('Month Wise Collection Summary'!C77+'Month Wise Collection Summary'!D77+'Month Wise Collection Summary'!E77)/125</f>
        <v>40672</v>
      </c>
      <c r="D18" s="107" t="s">
        <v>317</v>
      </c>
    </row>
    <row r="19" spans="2:4" ht="21.75" customHeight="1" x14ac:dyDescent="0.3">
      <c r="B19" s="102" t="s">
        <v>318</v>
      </c>
      <c r="C19" s="103">
        <f>IFERROR(C15,0)</f>
        <v>1601.61736</v>
      </c>
      <c r="D19" s="104" t="s">
        <v>319</v>
      </c>
    </row>
    <row r="20" spans="2:4" ht="21.75" customHeight="1" x14ac:dyDescent="0.3">
      <c r="B20" s="105" t="s">
        <v>320</v>
      </c>
      <c r="C20" s="106">
        <f>IFERROR(C18+C19,0)</f>
        <v>42273.617359999997</v>
      </c>
      <c r="D20" s="107" t="s">
        <v>321</v>
      </c>
    </row>
    <row r="21" spans="2:4" ht="21.75" customHeight="1" x14ac:dyDescent="0.3">
      <c r="B21" s="102" t="s">
        <v>322</v>
      </c>
      <c r="C21" s="103">
        <f>IFERROR(60000+C19*(60/COUNTA('Month Wise Collection Summary'!B4:B75)),0)</f>
        <v>61334.681133333332</v>
      </c>
      <c r="D21" s="104" t="s">
        <v>323</v>
      </c>
    </row>
    <row r="22" spans="2:4" ht="24" customHeight="1" x14ac:dyDescent="0.3">
      <c r="B22" s="133" t="s">
        <v>324</v>
      </c>
      <c r="C22" s="134">
        <f>IFERROR(C21*125,0)</f>
        <v>7666835.1416666666</v>
      </c>
      <c r="D22" s="135" t="s">
        <v>325</v>
      </c>
    </row>
  </sheetData>
  <mergeCells count="4">
    <mergeCell ref="B2:D2"/>
    <mergeCell ref="B5:D5"/>
    <mergeCell ref="B12:D12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showGridLines="0" zoomScaleNormal="100" workbookViewId="0"/>
  </sheetViews>
  <sheetFormatPr defaultColWidth="8.6640625" defaultRowHeight="14.4" x14ac:dyDescent="0.3"/>
  <cols>
    <col min="1" max="1" width="15" style="1" customWidth="1"/>
    <col min="2" max="2" width="8" style="1" customWidth="1"/>
    <col min="3" max="3" width="28" style="1" customWidth="1"/>
    <col min="4" max="4" width="16" style="1" customWidth="1"/>
    <col min="5" max="5" width="10" style="1" customWidth="1"/>
    <col min="6" max="6" width="18" style="1" customWidth="1"/>
    <col min="7" max="7" width="22" style="1" customWidth="1"/>
    <col min="8" max="8" width="3" style="1" customWidth="1"/>
  </cols>
  <sheetData>
    <row r="1" spans="1:7" ht="19.5" customHeight="1" x14ac:dyDescent="0.3">
      <c r="A1" s="4" t="str">
        <f>HYPERLINK("#DASHBOARD!A1","⬅ Dashboard")</f>
        <v>⬅ Dashboard</v>
      </c>
    </row>
    <row r="2" spans="1:7" ht="39.75" customHeight="1" x14ac:dyDescent="0.3">
      <c r="B2" s="321" t="s">
        <v>326</v>
      </c>
      <c r="C2" s="321"/>
      <c r="D2" s="321"/>
      <c r="E2" s="321"/>
      <c r="F2" s="321"/>
      <c r="G2" s="321"/>
    </row>
    <row r="3" spans="1:7" ht="7.5" customHeight="1" x14ac:dyDescent="0.3"/>
    <row r="4" spans="1:7" ht="36" customHeight="1" x14ac:dyDescent="0.3">
      <c r="B4" s="136" t="s">
        <v>35</v>
      </c>
      <c r="C4" s="136" t="s">
        <v>36</v>
      </c>
      <c r="D4" s="136" t="s">
        <v>327</v>
      </c>
      <c r="E4" s="136" t="s">
        <v>328</v>
      </c>
      <c r="F4" s="136" t="s">
        <v>329</v>
      </c>
      <c r="G4" s="136" t="s">
        <v>330</v>
      </c>
    </row>
    <row r="5" spans="1:7" ht="19.5" customHeight="1" x14ac:dyDescent="0.3">
      <c r="B5" s="137">
        <f>'Member Wise Deposit Summary'!B4</f>
        <v>1</v>
      </c>
      <c r="C5" s="102" t="str">
        <f>'Member Wise Deposit Summary'!C4</f>
        <v>Monjurul Islam</v>
      </c>
      <c r="D5" s="138">
        <f>'Member Wise Deposit Summary'!D4</f>
        <v>1814824030</v>
      </c>
      <c r="E5" s="137">
        <f>'Member Wise Deposit Summary'!E4</f>
        <v>3</v>
      </c>
      <c r="F5" s="103">
        <f>'Member Wise Deposit Summary'!G4</f>
        <v>123000</v>
      </c>
      <c r="G5" s="103">
        <f>IFERROR(F5+('Share Maturity'!$C$19*E5),0)</f>
        <v>127804.85208</v>
      </c>
    </row>
    <row r="6" spans="1:7" ht="19.5" customHeight="1" x14ac:dyDescent="0.3">
      <c r="B6" s="139">
        <f>'Member Wise Deposit Summary'!B5</f>
        <v>2</v>
      </c>
      <c r="C6" s="105" t="str">
        <f>'Member Wise Deposit Summary'!C5</f>
        <v>Saiful Islam</v>
      </c>
      <c r="D6" s="140">
        <f>'Member Wise Deposit Summary'!D5</f>
        <v>1816724075</v>
      </c>
      <c r="E6" s="139">
        <f>'Member Wise Deposit Summary'!E5</f>
        <v>2</v>
      </c>
      <c r="F6" s="106">
        <f>'Member Wise Deposit Summary'!G5</f>
        <v>82000</v>
      </c>
      <c r="G6" s="106">
        <f>IFERROR(F6+('Share Maturity'!$C$19*E6),0)</f>
        <v>85203.234719999993</v>
      </c>
    </row>
    <row r="7" spans="1:7" ht="19.5" customHeight="1" x14ac:dyDescent="0.3">
      <c r="B7" s="137">
        <f>'Member Wise Deposit Summary'!B6</f>
        <v>3</v>
      </c>
      <c r="C7" s="102" t="str">
        <f>'Member Wise Deposit Summary'!C6</f>
        <v>Mohammad Tawhidul Islam</v>
      </c>
      <c r="D7" s="138">
        <f>'Member Wise Deposit Summary'!D6</f>
        <v>1846506898</v>
      </c>
      <c r="E7" s="137">
        <f>'Member Wise Deposit Summary'!E6</f>
        <v>2</v>
      </c>
      <c r="F7" s="103">
        <f>'Member Wise Deposit Summary'!G6</f>
        <v>82000</v>
      </c>
      <c r="G7" s="103">
        <f>IFERROR(F7+('Share Maturity'!$C$19*E7),0)</f>
        <v>85203.234719999993</v>
      </c>
    </row>
    <row r="8" spans="1:7" ht="19.5" customHeight="1" x14ac:dyDescent="0.3">
      <c r="B8" s="139">
        <f>'Member Wise Deposit Summary'!B7</f>
        <v>4</v>
      </c>
      <c r="C8" s="105" t="str">
        <f>'Member Wise Deposit Summary'!C7</f>
        <v>Amanat Khan</v>
      </c>
      <c r="D8" s="141">
        <f>'Member Wise Deposit Summary'!D7</f>
        <v>966551311461</v>
      </c>
      <c r="E8" s="139">
        <f>'Member Wise Deposit Summary'!E7</f>
        <v>5</v>
      </c>
      <c r="F8" s="106">
        <f>'Member Wise Deposit Summary'!G7</f>
        <v>205000</v>
      </c>
      <c r="G8" s="106">
        <f>IFERROR(F8+('Share Maturity'!$C$19*E8),0)</f>
        <v>213008.08679999999</v>
      </c>
    </row>
    <row r="9" spans="1:7" ht="19.5" customHeight="1" x14ac:dyDescent="0.3">
      <c r="B9" s="137">
        <f>'Member Wise Deposit Summary'!B8</f>
        <v>5</v>
      </c>
      <c r="C9" s="102" t="str">
        <f>'Member Wise Deposit Summary'!C8</f>
        <v>Nurunnabi Hosen Tanzid</v>
      </c>
      <c r="D9" s="138">
        <f>'Member Wise Deposit Summary'!D8</f>
        <v>1838848678</v>
      </c>
      <c r="E9" s="137">
        <f>'Member Wise Deposit Summary'!E8</f>
        <v>2</v>
      </c>
      <c r="F9" s="103">
        <f>'Member Wise Deposit Summary'!G8</f>
        <v>82000</v>
      </c>
      <c r="G9" s="103">
        <f>IFERROR(F9+('Share Maturity'!$C$19*E9),0)</f>
        <v>85203.234719999993</v>
      </c>
    </row>
    <row r="10" spans="1:7" ht="19.5" customHeight="1" x14ac:dyDescent="0.3">
      <c r="B10" s="139">
        <f>'Member Wise Deposit Summary'!B9</f>
        <v>6</v>
      </c>
      <c r="C10" s="105" t="str">
        <f>'Member Wise Deposit Summary'!C9</f>
        <v>Jashim Uddin</v>
      </c>
      <c r="D10" s="141">
        <f>'Member Wise Deposit Summary'!D9</f>
        <v>966538760537</v>
      </c>
      <c r="E10" s="139">
        <f>'Member Wise Deposit Summary'!E9</f>
        <v>2</v>
      </c>
      <c r="F10" s="106">
        <f>'Member Wise Deposit Summary'!G9</f>
        <v>82000</v>
      </c>
      <c r="G10" s="106">
        <f>IFERROR(F10+('Share Maturity'!$C$19*E10),0)</f>
        <v>85203.234719999993</v>
      </c>
    </row>
    <row r="11" spans="1:7" ht="19.5" customHeight="1" x14ac:dyDescent="0.3">
      <c r="B11" s="137">
        <f>'Member Wise Deposit Summary'!B10</f>
        <v>7</v>
      </c>
      <c r="C11" s="102" t="str">
        <f>'Member Wise Deposit Summary'!C10</f>
        <v>Shibu Sankar Karmaker</v>
      </c>
      <c r="D11" s="138">
        <f>'Member Wise Deposit Summary'!D10</f>
        <v>1885946523</v>
      </c>
      <c r="E11" s="137">
        <f>'Member Wise Deposit Summary'!E10</f>
        <v>2</v>
      </c>
      <c r="F11" s="103">
        <f>'Member Wise Deposit Summary'!G10</f>
        <v>82000</v>
      </c>
      <c r="G11" s="103">
        <f>IFERROR(F11+('Share Maturity'!$C$19*E11),0)</f>
        <v>85203.234719999993</v>
      </c>
    </row>
    <row r="12" spans="1:7" ht="19.5" customHeight="1" x14ac:dyDescent="0.3">
      <c r="B12" s="139">
        <f>'Member Wise Deposit Summary'!B11</f>
        <v>8</v>
      </c>
      <c r="C12" s="105" t="str">
        <f>'Member Wise Deposit Summary'!C11</f>
        <v>Monsur</v>
      </c>
      <c r="D12" s="140">
        <f>'Member Wise Deposit Summary'!D11</f>
        <v>1608632799</v>
      </c>
      <c r="E12" s="139">
        <f>'Member Wise Deposit Summary'!E11</f>
        <v>2</v>
      </c>
      <c r="F12" s="106">
        <f>'Member Wise Deposit Summary'!G11</f>
        <v>82000</v>
      </c>
      <c r="G12" s="106">
        <f>IFERROR(F12+('Share Maturity'!$C$19*E12),0)</f>
        <v>85203.234719999993</v>
      </c>
    </row>
    <row r="13" spans="1:7" ht="19.5" customHeight="1" x14ac:dyDescent="0.3">
      <c r="B13" s="137">
        <f>'Member Wise Deposit Summary'!B12</f>
        <v>9</v>
      </c>
      <c r="C13" s="102" t="str">
        <f>'Member Wise Deposit Summary'!C12</f>
        <v>Monjur Alam</v>
      </c>
      <c r="D13" s="138">
        <f>'Member Wise Deposit Summary'!D12</f>
        <v>1811938007</v>
      </c>
      <c r="E13" s="137">
        <f>'Member Wise Deposit Summary'!E12</f>
        <v>2</v>
      </c>
      <c r="F13" s="103">
        <f>'Member Wise Deposit Summary'!G12</f>
        <v>82000</v>
      </c>
      <c r="G13" s="103">
        <f>IFERROR(F13+('Share Maturity'!$C$19*E13),0)</f>
        <v>85203.234719999993</v>
      </c>
    </row>
    <row r="14" spans="1:7" ht="19.5" customHeight="1" x14ac:dyDescent="0.3">
      <c r="B14" s="139">
        <f>'Member Wise Deposit Summary'!B13</f>
        <v>10</v>
      </c>
      <c r="C14" s="105" t="str">
        <f>'Member Wise Deposit Summary'!C13</f>
        <v>Rupal Kanti Karmaker</v>
      </c>
      <c r="D14" s="140">
        <f>'Member Wise Deposit Summary'!D13</f>
        <v>1812934934</v>
      </c>
      <c r="E14" s="139">
        <f>'Member Wise Deposit Summary'!E13</f>
        <v>1</v>
      </c>
      <c r="F14" s="106">
        <f>'Member Wise Deposit Summary'!G13</f>
        <v>40000</v>
      </c>
      <c r="G14" s="106">
        <f>IFERROR(F14+('Share Maturity'!$C$19*E14),0)</f>
        <v>41601.617359999997</v>
      </c>
    </row>
    <row r="15" spans="1:7" ht="19.5" customHeight="1" x14ac:dyDescent="0.3">
      <c r="B15" s="137">
        <f>'Member Wise Deposit Summary'!B14</f>
        <v>11</v>
      </c>
      <c r="C15" s="102" t="str">
        <f>'Member Wise Deposit Summary'!C14</f>
        <v>Yousof</v>
      </c>
      <c r="D15" s="138">
        <f>'Member Wise Deposit Summary'!D14</f>
        <v>1858217297</v>
      </c>
      <c r="E15" s="137">
        <f>'Member Wise Deposit Summary'!E14</f>
        <v>3</v>
      </c>
      <c r="F15" s="103">
        <f>'Member Wise Deposit Summary'!G14</f>
        <v>123000</v>
      </c>
      <c r="G15" s="103">
        <f>IFERROR(F15+('Share Maturity'!$C$19*E15),0)</f>
        <v>127804.85208</v>
      </c>
    </row>
    <row r="16" spans="1:7" ht="19.5" customHeight="1" x14ac:dyDescent="0.3">
      <c r="B16" s="139">
        <f>'Member Wise Deposit Summary'!B15</f>
        <v>12</v>
      </c>
      <c r="C16" s="105" t="str">
        <f>'Member Wise Deposit Summary'!C15</f>
        <v>Arjun Kanti Karmaker</v>
      </c>
      <c r="D16" s="139" t="str">
        <f>'Member Wise Deposit Summary'!D15</f>
        <v>01813143128</v>
      </c>
      <c r="E16" s="139">
        <f>'Member Wise Deposit Summary'!E15</f>
        <v>1</v>
      </c>
      <c r="F16" s="106">
        <f>'Member Wise Deposit Summary'!G15</f>
        <v>41000</v>
      </c>
      <c r="G16" s="106">
        <f>IFERROR(F16+('Share Maturity'!$C$19*E16),0)</f>
        <v>42601.617359999997</v>
      </c>
    </row>
    <row r="17" spans="2:7" ht="19.5" customHeight="1" x14ac:dyDescent="0.3">
      <c r="B17" s="137">
        <f>'Member Wise Deposit Summary'!B16</f>
        <v>13</v>
      </c>
      <c r="C17" s="102" t="str">
        <f>'Member Wise Deposit Summary'!C16</f>
        <v>Abdul Jabber</v>
      </c>
      <c r="D17" s="138">
        <f>'Member Wise Deposit Summary'!D16</f>
        <v>1814941801</v>
      </c>
      <c r="E17" s="137">
        <f>'Member Wise Deposit Summary'!E16</f>
        <v>2</v>
      </c>
      <c r="F17" s="103">
        <f>'Member Wise Deposit Summary'!G16</f>
        <v>82000</v>
      </c>
      <c r="G17" s="103">
        <f>IFERROR(F17+('Share Maturity'!$C$19*E17),0)</f>
        <v>85203.234719999993</v>
      </c>
    </row>
    <row r="18" spans="2:7" ht="19.5" customHeight="1" x14ac:dyDescent="0.3">
      <c r="B18" s="139">
        <f>'Member Wise Deposit Summary'!B17</f>
        <v>14</v>
      </c>
      <c r="C18" s="105" t="str">
        <f>'Member Wise Deposit Summary'!C17</f>
        <v>Mohammad Helal Uddin</v>
      </c>
      <c r="D18" s="140">
        <f>'Member Wise Deposit Summary'!D17</f>
        <v>1819700976</v>
      </c>
      <c r="E18" s="139">
        <f>'Member Wise Deposit Summary'!E17</f>
        <v>3</v>
      </c>
      <c r="F18" s="106">
        <f>'Member Wise Deposit Summary'!G17</f>
        <v>123000</v>
      </c>
      <c r="G18" s="106">
        <f>IFERROR(F18+('Share Maturity'!$C$19*E18),0)</f>
        <v>127804.85208</v>
      </c>
    </row>
    <row r="19" spans="2:7" ht="19.5" customHeight="1" x14ac:dyDescent="0.3">
      <c r="B19" s="137">
        <f>'Member Wise Deposit Summary'!B18</f>
        <v>15</v>
      </c>
      <c r="C19" s="102" t="str">
        <f>'Member Wise Deposit Summary'!C18</f>
        <v>Abul Kashem</v>
      </c>
      <c r="D19" s="138">
        <f>'Member Wise Deposit Summary'!D18</f>
        <v>1871777022</v>
      </c>
      <c r="E19" s="137">
        <f>'Member Wise Deposit Summary'!E18</f>
        <v>3</v>
      </c>
      <c r="F19" s="103">
        <f>'Member Wise Deposit Summary'!G18</f>
        <v>123000</v>
      </c>
      <c r="G19" s="103">
        <f>IFERROR(F19+('Share Maturity'!$C$19*E19),0)</f>
        <v>127804.85208</v>
      </c>
    </row>
    <row r="20" spans="2:7" ht="19.5" customHeight="1" x14ac:dyDescent="0.3">
      <c r="B20" s="139">
        <f>'Member Wise Deposit Summary'!B19</f>
        <v>16</v>
      </c>
      <c r="C20" s="105" t="str">
        <f>'Member Wise Deposit Summary'!C19</f>
        <v>Uzzal Karmaker</v>
      </c>
      <c r="D20" s="140">
        <f>'Member Wise Deposit Summary'!D19</f>
        <v>1820016020</v>
      </c>
      <c r="E20" s="139">
        <f>'Member Wise Deposit Summary'!E19</f>
        <v>2</v>
      </c>
      <c r="F20" s="106">
        <f>'Member Wise Deposit Summary'!G19</f>
        <v>80000</v>
      </c>
      <c r="G20" s="106">
        <f>IFERROR(F20+('Share Maturity'!$C$19*E20),0)</f>
        <v>83203.234719999993</v>
      </c>
    </row>
    <row r="21" spans="2:7" ht="19.5" customHeight="1" x14ac:dyDescent="0.3">
      <c r="B21" s="137">
        <f>'Member Wise Deposit Summary'!B20</f>
        <v>17</v>
      </c>
      <c r="C21" s="102" t="str">
        <f>'Member Wise Deposit Summary'!C20</f>
        <v>Jahedul Islam</v>
      </c>
      <c r="D21" s="142">
        <f>'Member Wise Deposit Summary'!D20</f>
        <v>971562765681</v>
      </c>
      <c r="E21" s="137">
        <f>'Member Wise Deposit Summary'!E20</f>
        <v>2</v>
      </c>
      <c r="F21" s="103">
        <f>'Member Wise Deposit Summary'!G20</f>
        <v>82000</v>
      </c>
      <c r="G21" s="103">
        <f>IFERROR(F21+('Share Maturity'!$C$19*E21),0)</f>
        <v>85203.234719999993</v>
      </c>
    </row>
    <row r="22" spans="2:7" ht="19.5" customHeight="1" x14ac:dyDescent="0.3">
      <c r="B22" s="139">
        <f>'Member Wise Deposit Summary'!B21</f>
        <v>18</v>
      </c>
      <c r="C22" s="105" t="str">
        <f>'Member Wise Deposit Summary'!C21</f>
        <v>Mohammad Alamgir</v>
      </c>
      <c r="D22" s="140">
        <f>'Member Wise Deposit Summary'!D21</f>
        <v>1822092650</v>
      </c>
      <c r="E22" s="139">
        <f>'Member Wise Deposit Summary'!E21</f>
        <v>2</v>
      </c>
      <c r="F22" s="106">
        <f>'Member Wise Deposit Summary'!G21</f>
        <v>86000</v>
      </c>
      <c r="G22" s="106">
        <f>IFERROR(F22+('Share Maturity'!$C$19*E22),0)</f>
        <v>89203.234719999993</v>
      </c>
    </row>
    <row r="23" spans="2:7" ht="19.5" customHeight="1" x14ac:dyDescent="0.3">
      <c r="B23" s="137">
        <f>'Member Wise Deposit Summary'!B22</f>
        <v>19</v>
      </c>
      <c r="C23" s="102" t="str">
        <f>'Member Wise Deposit Summary'!C22</f>
        <v>Kafil Uddin</v>
      </c>
      <c r="D23" s="142">
        <f>'Member Wise Deposit Summary'!D22</f>
        <v>966534770192</v>
      </c>
      <c r="E23" s="137">
        <f>'Member Wise Deposit Summary'!E22</f>
        <v>1</v>
      </c>
      <c r="F23" s="103">
        <f>'Member Wise Deposit Summary'!G22</f>
        <v>41000</v>
      </c>
      <c r="G23" s="103">
        <f>IFERROR(F23+('Share Maturity'!$C$19*E23),0)</f>
        <v>42601.617359999997</v>
      </c>
    </row>
    <row r="24" spans="2:7" ht="19.5" customHeight="1" x14ac:dyDescent="0.3">
      <c r="B24" s="139">
        <f>'Member Wise Deposit Summary'!B23</f>
        <v>20</v>
      </c>
      <c r="C24" s="105" t="str">
        <f>'Member Wise Deposit Summary'!C23</f>
        <v>Mohammudul Hoque</v>
      </c>
      <c r="D24" s="140">
        <f>'Member Wise Deposit Summary'!D23</f>
        <v>1816821801</v>
      </c>
      <c r="E24" s="139">
        <f>'Member Wise Deposit Summary'!E23</f>
        <v>2</v>
      </c>
      <c r="F24" s="106">
        <f>'Member Wise Deposit Summary'!G23</f>
        <v>82000</v>
      </c>
      <c r="G24" s="106">
        <f>IFERROR(F24+('Share Maturity'!$C$19*E24),0)</f>
        <v>85203.234719999993</v>
      </c>
    </row>
    <row r="25" spans="2:7" ht="19.5" customHeight="1" x14ac:dyDescent="0.3">
      <c r="B25" s="137">
        <f>'Member Wise Deposit Summary'!B24</f>
        <v>21</v>
      </c>
      <c r="C25" s="102" t="str">
        <f>'Member Wise Deposit Summary'!C24</f>
        <v>Nurul Amin</v>
      </c>
      <c r="D25" s="138">
        <f>'Member Wise Deposit Summary'!D24</f>
        <v>1820989105</v>
      </c>
      <c r="E25" s="137">
        <f>'Member Wise Deposit Summary'!E24</f>
        <v>1</v>
      </c>
      <c r="F25" s="103">
        <f>'Member Wise Deposit Summary'!G24</f>
        <v>41000</v>
      </c>
      <c r="G25" s="103">
        <f>IFERROR(F25+('Share Maturity'!$C$19*E25),0)</f>
        <v>42601.617359999997</v>
      </c>
    </row>
    <row r="26" spans="2:7" ht="19.5" customHeight="1" x14ac:dyDescent="0.3">
      <c r="B26" s="139">
        <f>'Member Wise Deposit Summary'!B25</f>
        <v>22</v>
      </c>
      <c r="C26" s="105" t="str">
        <f>'Member Wise Deposit Summary'!C25</f>
        <v>Abul Kashem</v>
      </c>
      <c r="D26" s="140">
        <f>'Member Wise Deposit Summary'!D25</f>
        <v>1873812598</v>
      </c>
      <c r="E26" s="139">
        <f>'Member Wise Deposit Summary'!E25</f>
        <v>1</v>
      </c>
      <c r="F26" s="106">
        <f>'Member Wise Deposit Summary'!G25</f>
        <v>40000</v>
      </c>
      <c r="G26" s="106">
        <f>IFERROR(F26+('Share Maturity'!$C$19*E26),0)</f>
        <v>41601.617359999997</v>
      </c>
    </row>
    <row r="27" spans="2:7" ht="19.5" customHeight="1" x14ac:dyDescent="0.3">
      <c r="B27" s="137">
        <f>'Member Wise Deposit Summary'!B26</f>
        <v>23</v>
      </c>
      <c r="C27" s="102" t="str">
        <f>'Member Wise Deposit Summary'!C26</f>
        <v>Belal Uddin</v>
      </c>
      <c r="D27" s="138">
        <f>'Member Wise Deposit Summary'!D26</f>
        <v>1815073916</v>
      </c>
      <c r="E27" s="137">
        <f>'Member Wise Deposit Summary'!E26</f>
        <v>1</v>
      </c>
      <c r="F27" s="103">
        <f>'Member Wise Deposit Summary'!G26</f>
        <v>37000</v>
      </c>
      <c r="G27" s="103">
        <f>IFERROR(F27+('Share Maturity'!$C$19*E27),0)</f>
        <v>38601.617359999997</v>
      </c>
    </row>
    <row r="28" spans="2:7" ht="19.5" customHeight="1" x14ac:dyDescent="0.3">
      <c r="B28" s="139">
        <f>'Member Wise Deposit Summary'!B27</f>
        <v>24</v>
      </c>
      <c r="C28" s="105" t="str">
        <f>'Member Wise Deposit Summary'!C27</f>
        <v>Md. Helal Uddin</v>
      </c>
      <c r="D28" s="140">
        <f>'Member Wise Deposit Summary'!D27</f>
        <v>1860493163</v>
      </c>
      <c r="E28" s="139">
        <f>'Member Wise Deposit Summary'!E27</f>
        <v>1</v>
      </c>
      <c r="F28" s="106">
        <f>'Member Wise Deposit Summary'!G27</f>
        <v>36000</v>
      </c>
      <c r="G28" s="106">
        <f>IFERROR(F28+('Share Maturity'!$C$19*E28),0)</f>
        <v>37601.617359999997</v>
      </c>
    </row>
    <row r="29" spans="2:7" ht="19.5" customHeight="1" x14ac:dyDescent="0.3">
      <c r="B29" s="137">
        <f>'Member Wise Deposit Summary'!B28</f>
        <v>25</v>
      </c>
      <c r="C29" s="102" t="str">
        <f>'Member Wise Deposit Summary'!C28</f>
        <v>Md.Hamid</v>
      </c>
      <c r="D29" s="138">
        <f>'Member Wise Deposit Summary'!D28</f>
        <v>1870876309</v>
      </c>
      <c r="E29" s="137">
        <f>'Member Wise Deposit Summary'!E28</f>
        <v>1</v>
      </c>
      <c r="F29" s="103">
        <f>'Member Wise Deposit Summary'!G28</f>
        <v>41000</v>
      </c>
      <c r="G29" s="103">
        <f>IFERROR(F29+('Share Maturity'!$C$19*E29),0)</f>
        <v>42601.617359999997</v>
      </c>
    </row>
    <row r="30" spans="2:7" ht="19.5" customHeight="1" x14ac:dyDescent="0.3">
      <c r="B30" s="139">
        <f>'Member Wise Deposit Summary'!B29</f>
        <v>26</v>
      </c>
      <c r="C30" s="105" t="str">
        <f>'Member Wise Deposit Summary'!C29</f>
        <v>Samsul Alam</v>
      </c>
      <c r="D30" s="140">
        <f>'Member Wise Deposit Summary'!D29</f>
        <v>1865394799</v>
      </c>
      <c r="E30" s="139">
        <f>'Member Wise Deposit Summary'!E29</f>
        <v>3</v>
      </c>
      <c r="F30" s="106">
        <f>'Member Wise Deposit Summary'!G29</f>
        <v>120000</v>
      </c>
      <c r="G30" s="106">
        <f>IFERROR(F30+('Share Maturity'!$C$19*E30),0)</f>
        <v>124804.85208</v>
      </c>
    </row>
    <row r="31" spans="2:7" ht="19.5" customHeight="1" x14ac:dyDescent="0.3">
      <c r="B31" s="137">
        <f>'Member Wise Deposit Summary'!B30</f>
        <v>27</v>
      </c>
      <c r="C31" s="102" t="str">
        <f>'Member Wise Deposit Summary'!C30</f>
        <v>Riad Hossen</v>
      </c>
      <c r="D31" s="138">
        <f>'Member Wise Deposit Summary'!D30</f>
        <v>1882217274</v>
      </c>
      <c r="E31" s="137">
        <f>'Member Wise Deposit Summary'!E30</f>
        <v>1</v>
      </c>
      <c r="F31" s="103">
        <f>'Member Wise Deposit Summary'!G30</f>
        <v>41000</v>
      </c>
      <c r="G31" s="103">
        <f>IFERROR(F31+('Share Maturity'!$C$19*E31),0)</f>
        <v>42601.617359999997</v>
      </c>
    </row>
    <row r="32" spans="2:7" ht="19.5" customHeight="1" x14ac:dyDescent="0.3">
      <c r="B32" s="139">
        <f>'Member Wise Deposit Summary'!B31</f>
        <v>28</v>
      </c>
      <c r="C32" s="105" t="str">
        <f>'Member Wise Deposit Summary'!C31</f>
        <v>Md. Sohel Islam</v>
      </c>
      <c r="D32" s="140" t="str">
        <f>'Member Wise Deposit Summary'!D31</f>
        <v>00971527120848</v>
      </c>
      <c r="E32" s="139">
        <f>'Member Wise Deposit Summary'!E31</f>
        <v>1</v>
      </c>
      <c r="F32" s="106">
        <f>'Member Wise Deposit Summary'!G31</f>
        <v>41000</v>
      </c>
      <c r="G32" s="106">
        <f>IFERROR(F32+('Share Maturity'!$C$19*E32),0)</f>
        <v>42601.617359999997</v>
      </c>
    </row>
    <row r="33" spans="2:7" ht="19.5" customHeight="1" x14ac:dyDescent="0.3">
      <c r="B33" s="137">
        <f>'Member Wise Deposit Summary'!B32</f>
        <v>29</v>
      </c>
      <c r="C33" s="102" t="str">
        <f>'Member Wise Deposit Summary'!C32</f>
        <v>Idrish Alam</v>
      </c>
      <c r="D33" s="138">
        <f>'Member Wise Deposit Summary'!D32</f>
        <v>1883033042</v>
      </c>
      <c r="E33" s="137">
        <f>'Member Wise Deposit Summary'!E32</f>
        <v>1</v>
      </c>
      <c r="F33" s="103">
        <f>'Member Wise Deposit Summary'!G32</f>
        <v>41000</v>
      </c>
      <c r="G33" s="103">
        <f>IFERROR(F33+('Share Maturity'!$C$19*E33),0)</f>
        <v>42601.617359999997</v>
      </c>
    </row>
    <row r="34" spans="2:7" ht="19.5" customHeight="1" x14ac:dyDescent="0.3">
      <c r="B34" s="139">
        <f>'Member Wise Deposit Summary'!B33</f>
        <v>30</v>
      </c>
      <c r="C34" s="105" t="str">
        <f>'Member Wise Deposit Summary'!C33</f>
        <v>Jahed</v>
      </c>
      <c r="D34" s="140">
        <f>'Member Wise Deposit Summary'!D33</f>
        <v>966562024068</v>
      </c>
      <c r="E34" s="139">
        <f>'Member Wise Deposit Summary'!E33</f>
        <v>2</v>
      </c>
      <c r="F34" s="106">
        <f>'Member Wise Deposit Summary'!G33</f>
        <v>82000</v>
      </c>
      <c r="G34" s="106">
        <f>IFERROR(F34+('Share Maturity'!$C$19*E34),0)</f>
        <v>85203.234719999993</v>
      </c>
    </row>
    <row r="35" spans="2:7" ht="19.5" customHeight="1" x14ac:dyDescent="0.3">
      <c r="B35" s="137">
        <f>'Member Wise Deposit Summary'!B34</f>
        <v>31</v>
      </c>
      <c r="C35" s="102" t="str">
        <f>'Member Wise Deposit Summary'!C34</f>
        <v>Sahidul Islam</v>
      </c>
      <c r="D35" s="142">
        <f>'Member Wise Deposit Summary'!D34</f>
        <v>966549955548</v>
      </c>
      <c r="E35" s="137">
        <f>'Member Wise Deposit Summary'!E34</f>
        <v>2</v>
      </c>
      <c r="F35" s="103">
        <f>'Member Wise Deposit Summary'!G34</f>
        <v>82000</v>
      </c>
      <c r="G35" s="103">
        <f>IFERROR(F35+('Share Maturity'!$C$19*E35),0)</f>
        <v>85203.234719999993</v>
      </c>
    </row>
    <row r="36" spans="2:7" ht="19.5" customHeight="1" x14ac:dyDescent="0.3">
      <c r="B36" s="139">
        <f>'Member Wise Deposit Summary'!B35</f>
        <v>32</v>
      </c>
      <c r="C36" s="105" t="str">
        <f>'Member Wise Deposit Summary'!C35</f>
        <v>Md. Sohel Uddin</v>
      </c>
      <c r="D36" s="140">
        <f>'Member Wise Deposit Summary'!D35</f>
        <v>1822020050</v>
      </c>
      <c r="E36" s="139">
        <f>'Member Wise Deposit Summary'!E35</f>
        <v>2</v>
      </c>
      <c r="F36" s="106">
        <f>'Member Wise Deposit Summary'!G35</f>
        <v>82000</v>
      </c>
      <c r="G36" s="106">
        <f>IFERROR(F36+('Share Maturity'!$C$19*E36),0)</f>
        <v>85203.234719999993</v>
      </c>
    </row>
    <row r="37" spans="2:7" ht="19.5" customHeight="1" x14ac:dyDescent="0.3">
      <c r="B37" s="137">
        <f>'Member Wise Deposit Summary'!B36</f>
        <v>33</v>
      </c>
      <c r="C37" s="102" t="str">
        <f>'Member Wise Deposit Summary'!C36</f>
        <v>Mohammad Faruk</v>
      </c>
      <c r="D37" s="138">
        <f>'Member Wise Deposit Summary'!D36</f>
        <v>1831797810</v>
      </c>
      <c r="E37" s="137">
        <f>'Member Wise Deposit Summary'!E36</f>
        <v>1</v>
      </c>
      <c r="F37" s="103">
        <f>'Member Wise Deposit Summary'!G36</f>
        <v>39000</v>
      </c>
      <c r="G37" s="103">
        <f>IFERROR(F37+('Share Maturity'!$C$19*E37),0)</f>
        <v>40601.617359999997</v>
      </c>
    </row>
    <row r="38" spans="2:7" ht="19.5" customHeight="1" x14ac:dyDescent="0.3">
      <c r="B38" s="139">
        <f>'Member Wise Deposit Summary'!B37</f>
        <v>34</v>
      </c>
      <c r="C38" s="105" t="str">
        <f>'Member Wise Deposit Summary'!C37</f>
        <v>Didarul Islam</v>
      </c>
      <c r="D38" s="141">
        <f>'Member Wise Deposit Summary'!D37</f>
        <v>971562663270</v>
      </c>
      <c r="E38" s="139">
        <f>'Member Wise Deposit Summary'!E37</f>
        <v>1</v>
      </c>
      <c r="F38" s="106">
        <f>'Member Wise Deposit Summary'!G37</f>
        <v>41000</v>
      </c>
      <c r="G38" s="106">
        <f>IFERROR(F38+('Share Maturity'!$C$19*E38),0)</f>
        <v>42601.617359999997</v>
      </c>
    </row>
    <row r="39" spans="2:7" ht="19.5" customHeight="1" x14ac:dyDescent="0.3">
      <c r="B39" s="137">
        <f>'Member Wise Deposit Summary'!B38</f>
        <v>35</v>
      </c>
      <c r="C39" s="102" t="str">
        <f>'Member Wise Deposit Summary'!C38</f>
        <v>Mohammad Fahim</v>
      </c>
      <c r="D39" s="138">
        <f>'Member Wise Deposit Summary'!D38</f>
        <v>1873808231</v>
      </c>
      <c r="E39" s="137">
        <f>'Member Wise Deposit Summary'!E38</f>
        <v>2</v>
      </c>
      <c r="F39" s="103">
        <f>'Member Wise Deposit Summary'!G38</f>
        <v>82000</v>
      </c>
      <c r="G39" s="103">
        <f>IFERROR(F39+('Share Maturity'!$C$19*E39),0)</f>
        <v>85203.234719999993</v>
      </c>
    </row>
    <row r="40" spans="2:7" ht="19.5" customHeight="1" x14ac:dyDescent="0.3">
      <c r="B40" s="139">
        <f>'Member Wise Deposit Summary'!B39</f>
        <v>36</v>
      </c>
      <c r="C40" s="105" t="str">
        <f>'Member Wise Deposit Summary'!C39</f>
        <v>Delower Hossain</v>
      </c>
      <c r="D40" s="141">
        <f>'Member Wise Deposit Summary'!D39</f>
        <v>971561572487</v>
      </c>
      <c r="E40" s="139">
        <f>'Member Wise Deposit Summary'!E39</f>
        <v>1</v>
      </c>
      <c r="F40" s="106">
        <f>'Member Wise Deposit Summary'!G39</f>
        <v>41000</v>
      </c>
      <c r="G40" s="106">
        <f>IFERROR(F40+('Share Maturity'!$C$19*E40),0)</f>
        <v>42601.617359999997</v>
      </c>
    </row>
    <row r="41" spans="2:7" ht="19.5" customHeight="1" x14ac:dyDescent="0.3">
      <c r="B41" s="137">
        <f>'Member Wise Deposit Summary'!B40</f>
        <v>37</v>
      </c>
      <c r="C41" s="102" t="str">
        <f>'Member Wise Deposit Summary'!C40</f>
        <v>Abdul Malek</v>
      </c>
      <c r="D41" s="138">
        <f>'Member Wise Deposit Summary'!D40</f>
        <v>1879352117</v>
      </c>
      <c r="E41" s="137">
        <f>'Member Wise Deposit Summary'!E40</f>
        <v>2</v>
      </c>
      <c r="F41" s="103">
        <f>'Member Wise Deposit Summary'!G40</f>
        <v>82000</v>
      </c>
      <c r="G41" s="103">
        <f>IFERROR(F41+('Share Maturity'!$C$19*E41),0)</f>
        <v>85203.234719999993</v>
      </c>
    </row>
    <row r="42" spans="2:7" ht="19.5" customHeight="1" x14ac:dyDescent="0.3">
      <c r="B42" s="139">
        <f>'Member Wise Deposit Summary'!B41</f>
        <v>38</v>
      </c>
      <c r="C42" s="105" t="str">
        <f>'Member Wise Deposit Summary'!C41</f>
        <v>Khalil Uddin</v>
      </c>
      <c r="D42" s="140" t="str">
        <f>'Member Wise Deposit Summary'!D41</f>
        <v>00971569173725</v>
      </c>
      <c r="E42" s="139">
        <f>'Member Wise Deposit Summary'!E41</f>
        <v>2</v>
      </c>
      <c r="F42" s="106">
        <f>'Member Wise Deposit Summary'!G41</f>
        <v>82000</v>
      </c>
      <c r="G42" s="106">
        <f>IFERROR(F42+('Share Maturity'!$C$19*E42),0)</f>
        <v>85203.234719999993</v>
      </c>
    </row>
    <row r="43" spans="2:7" ht="19.5" customHeight="1" x14ac:dyDescent="0.3">
      <c r="B43" s="137">
        <f>'Member Wise Deposit Summary'!B42</f>
        <v>39</v>
      </c>
      <c r="C43" s="102" t="str">
        <f>'Member Wise Deposit Summary'!C42</f>
        <v>Mohammad Abul Hashem</v>
      </c>
      <c r="D43" s="138">
        <f>'Member Wise Deposit Summary'!D42</f>
        <v>1873807617</v>
      </c>
      <c r="E43" s="137">
        <f>'Member Wise Deposit Summary'!E42</f>
        <v>2</v>
      </c>
      <c r="F43" s="103">
        <f>'Member Wise Deposit Summary'!G42</f>
        <v>76000</v>
      </c>
      <c r="G43" s="103">
        <f>IFERROR(F43+('Share Maturity'!$C$19*E43),0)</f>
        <v>79203.234719999993</v>
      </c>
    </row>
    <row r="44" spans="2:7" ht="19.5" customHeight="1" x14ac:dyDescent="0.3">
      <c r="B44" s="139">
        <f>'Member Wise Deposit Summary'!B43</f>
        <v>40</v>
      </c>
      <c r="C44" s="105" t="str">
        <f>'Member Wise Deposit Summary'!C43</f>
        <v>Abdul Karim</v>
      </c>
      <c r="D44" s="141">
        <f>'Member Wise Deposit Summary'!D43</f>
        <v>971569774500</v>
      </c>
      <c r="E44" s="139">
        <f>'Member Wise Deposit Summary'!E43</f>
        <v>2</v>
      </c>
      <c r="F44" s="106">
        <f>'Member Wise Deposit Summary'!G43</f>
        <v>82000</v>
      </c>
      <c r="G44" s="106">
        <f>IFERROR(F44+('Share Maturity'!$C$19*E44),0)</f>
        <v>85203.234719999993</v>
      </c>
    </row>
    <row r="45" spans="2:7" ht="19.5" customHeight="1" x14ac:dyDescent="0.3">
      <c r="B45" s="137">
        <f>'Member Wise Deposit Summary'!B44</f>
        <v>41</v>
      </c>
      <c r="C45" s="102" t="str">
        <f>'Member Wise Deposit Summary'!C44</f>
        <v>Mohammad Kaisar</v>
      </c>
      <c r="D45" s="138">
        <f>'Member Wise Deposit Summary'!D44</f>
        <v>1830621990</v>
      </c>
      <c r="E45" s="137">
        <f>'Member Wise Deposit Summary'!E44</f>
        <v>2</v>
      </c>
      <c r="F45" s="103">
        <f>'Member Wise Deposit Summary'!G44</f>
        <v>82000</v>
      </c>
      <c r="G45" s="103">
        <f>IFERROR(F45+('Share Maturity'!$C$19*E45),0)</f>
        <v>85203.234719999993</v>
      </c>
    </row>
    <row r="46" spans="2:7" ht="19.5" customHeight="1" x14ac:dyDescent="0.3">
      <c r="B46" s="139">
        <f>'Member Wise Deposit Summary'!B45</f>
        <v>42</v>
      </c>
      <c r="C46" s="105" t="str">
        <f>'Member Wise Deposit Summary'!C45</f>
        <v>Korshed Alam</v>
      </c>
      <c r="D46" s="140" t="str">
        <f>'Member Wise Deposit Summary'!D45</f>
        <v>0971501332588</v>
      </c>
      <c r="E46" s="139">
        <f>'Member Wise Deposit Summary'!E45</f>
        <v>6</v>
      </c>
      <c r="F46" s="106">
        <f>'Member Wise Deposit Summary'!G45</f>
        <v>246000</v>
      </c>
      <c r="G46" s="106">
        <f>IFERROR(F46+('Share Maturity'!$C$19*E46),0)</f>
        <v>255609.70415999999</v>
      </c>
    </row>
    <row r="47" spans="2:7" ht="19.5" customHeight="1" x14ac:dyDescent="0.3">
      <c r="B47" s="137">
        <f>'Member Wise Deposit Summary'!B46</f>
        <v>43</v>
      </c>
      <c r="C47" s="102" t="str">
        <f>'Member Wise Deposit Summary'!C46</f>
        <v>Emon Hasan</v>
      </c>
      <c r="D47" s="142">
        <f>'Member Wise Deposit Summary'!D46</f>
        <v>971545640821</v>
      </c>
      <c r="E47" s="137">
        <f>'Member Wise Deposit Summary'!E46</f>
        <v>2</v>
      </c>
      <c r="F47" s="103">
        <f>'Member Wise Deposit Summary'!G46</f>
        <v>78000</v>
      </c>
      <c r="G47" s="103">
        <f>IFERROR(F47+('Share Maturity'!$C$19*E47),0)</f>
        <v>81203.234719999993</v>
      </c>
    </row>
    <row r="48" spans="2:7" ht="19.5" customHeight="1" x14ac:dyDescent="0.3">
      <c r="B48" s="139">
        <f>'Member Wise Deposit Summary'!B47</f>
        <v>44</v>
      </c>
      <c r="C48" s="105" t="str">
        <f>'Member Wise Deposit Summary'!C47</f>
        <v>Tawhidul Islam</v>
      </c>
      <c r="D48" s="141">
        <f>'Member Wise Deposit Summary'!D47</f>
        <v>971562982931</v>
      </c>
      <c r="E48" s="139">
        <f>'Member Wise Deposit Summary'!E47</f>
        <v>2</v>
      </c>
      <c r="F48" s="106">
        <f>'Member Wise Deposit Summary'!G47</f>
        <v>80000</v>
      </c>
      <c r="G48" s="106">
        <f>IFERROR(F48+('Share Maturity'!$C$19*E48),0)</f>
        <v>83203.234719999993</v>
      </c>
    </row>
    <row r="49" spans="2:7" ht="19.5" customHeight="1" x14ac:dyDescent="0.3">
      <c r="B49" s="137">
        <f>'Member Wise Deposit Summary'!B48</f>
        <v>45</v>
      </c>
      <c r="C49" s="102" t="str">
        <f>'Member Wise Deposit Summary'!C48</f>
        <v>Sahidul Islam</v>
      </c>
      <c r="D49" s="138">
        <f>'Member Wise Deposit Summary'!D48</f>
        <v>1840409753</v>
      </c>
      <c r="E49" s="137">
        <f>'Member Wise Deposit Summary'!E48</f>
        <v>1</v>
      </c>
      <c r="F49" s="103">
        <f>'Member Wise Deposit Summary'!G48</f>
        <v>39000</v>
      </c>
      <c r="G49" s="103">
        <f>IFERROR(F49+('Share Maturity'!$C$19*E49),0)</f>
        <v>40601.617359999997</v>
      </c>
    </row>
    <row r="50" spans="2:7" ht="19.5" customHeight="1" x14ac:dyDescent="0.3">
      <c r="B50" s="139">
        <f>'Member Wise Deposit Summary'!B49</f>
        <v>46</v>
      </c>
      <c r="C50" s="105" t="str">
        <f>'Member Wise Deposit Summary'!C49</f>
        <v>Amir Hossen</v>
      </c>
      <c r="D50" s="140">
        <f>'Member Wise Deposit Summary'!D49</f>
        <v>1871081769</v>
      </c>
      <c r="E50" s="139">
        <f>'Member Wise Deposit Summary'!E49</f>
        <v>1</v>
      </c>
      <c r="F50" s="106">
        <f>'Member Wise Deposit Summary'!G49</f>
        <v>40000</v>
      </c>
      <c r="G50" s="106">
        <f>IFERROR(F50+('Share Maturity'!$C$19*E50),0)</f>
        <v>41601.617359999997</v>
      </c>
    </row>
    <row r="51" spans="2:7" ht="19.5" customHeight="1" x14ac:dyDescent="0.3">
      <c r="B51" s="137">
        <f>'Member Wise Deposit Summary'!B50</f>
        <v>47</v>
      </c>
      <c r="C51" s="102" t="str">
        <f>'Member Wise Deposit Summary'!C50</f>
        <v>Mohammad Abdullah Al Rafi</v>
      </c>
      <c r="D51" s="138">
        <f>'Member Wise Deposit Summary'!D50</f>
        <v>1882916447</v>
      </c>
      <c r="E51" s="137">
        <f>'Member Wise Deposit Summary'!E50</f>
        <v>1</v>
      </c>
      <c r="F51" s="103">
        <f>'Member Wise Deposit Summary'!G50</f>
        <v>40000</v>
      </c>
      <c r="G51" s="103">
        <f>IFERROR(F51+('Share Maturity'!$C$19*E51),0)</f>
        <v>41601.617359999997</v>
      </c>
    </row>
    <row r="52" spans="2:7" ht="19.5" customHeight="1" x14ac:dyDescent="0.3">
      <c r="B52" s="139">
        <f>'Member Wise Deposit Summary'!B51</f>
        <v>48</v>
      </c>
      <c r="C52" s="105" t="str">
        <f>'Member Wise Deposit Summary'!C51</f>
        <v>Nurul Huda Misbah</v>
      </c>
      <c r="D52" s="140">
        <f>'Member Wise Deposit Summary'!D51</f>
        <v>1814836702</v>
      </c>
      <c r="E52" s="139">
        <f>'Member Wise Deposit Summary'!E51</f>
        <v>2</v>
      </c>
      <c r="F52" s="106">
        <f>'Member Wise Deposit Summary'!G51</f>
        <v>82000</v>
      </c>
      <c r="G52" s="106">
        <f>IFERROR(F52+('Share Maturity'!$C$19*E52),0)</f>
        <v>85203.234719999993</v>
      </c>
    </row>
    <row r="53" spans="2:7" ht="19.5" customHeight="1" x14ac:dyDescent="0.3">
      <c r="B53" s="137">
        <f>'Member Wise Deposit Summary'!B52</f>
        <v>49</v>
      </c>
      <c r="C53" s="102" t="str">
        <f>'Member Wise Deposit Summary'!C52</f>
        <v>Aminul Hoque</v>
      </c>
      <c r="D53" s="138" t="str">
        <f>'Member Wise Deposit Summary'!D52</f>
        <v>0097433390829</v>
      </c>
      <c r="E53" s="137">
        <f>'Member Wise Deposit Summary'!E52</f>
        <v>1</v>
      </c>
      <c r="F53" s="103">
        <f>'Member Wise Deposit Summary'!G52</f>
        <v>41000</v>
      </c>
      <c r="G53" s="103">
        <f>IFERROR(F53+('Share Maturity'!$C$19*E53),0)</f>
        <v>42601.617359999997</v>
      </c>
    </row>
    <row r="54" spans="2:7" ht="19.5" customHeight="1" x14ac:dyDescent="0.3">
      <c r="B54" s="139">
        <f>'Member Wise Deposit Summary'!B53</f>
        <v>50</v>
      </c>
      <c r="C54" s="105" t="str">
        <f>'Member Wise Deposit Summary'!C53</f>
        <v>Shekh Ahmed Roki</v>
      </c>
      <c r="D54" s="140">
        <f>'Member Wise Deposit Summary'!D53</f>
        <v>1829921642</v>
      </c>
      <c r="E54" s="139">
        <f>'Member Wise Deposit Summary'!E53</f>
        <v>1</v>
      </c>
      <c r="F54" s="106">
        <f>'Member Wise Deposit Summary'!G53</f>
        <v>41000</v>
      </c>
      <c r="G54" s="106">
        <f>IFERROR(F54+('Share Maturity'!$C$19*E54),0)</f>
        <v>42601.617359999997</v>
      </c>
    </row>
    <row r="55" spans="2:7" ht="19.5" customHeight="1" x14ac:dyDescent="0.3">
      <c r="B55" s="137">
        <f>'Member Wise Deposit Summary'!B54</f>
        <v>51</v>
      </c>
      <c r="C55" s="102" t="str">
        <f>'Member Wise Deposit Summary'!C54</f>
        <v>Md. Sahjahan</v>
      </c>
      <c r="D55" s="138">
        <f>'Member Wise Deposit Summary'!D54</f>
        <v>1889786926</v>
      </c>
      <c r="E55" s="137">
        <f>'Member Wise Deposit Summary'!E54</f>
        <v>3</v>
      </c>
      <c r="F55" s="103">
        <f>'Member Wise Deposit Summary'!G54</f>
        <v>123000</v>
      </c>
      <c r="G55" s="103">
        <f>IFERROR(F55+('Share Maturity'!$C$19*E55),0)</f>
        <v>127804.85208</v>
      </c>
    </row>
    <row r="56" spans="2:7" ht="19.5" customHeight="1" x14ac:dyDescent="0.3">
      <c r="B56" s="139">
        <f>'Member Wise Deposit Summary'!B55</f>
        <v>52</v>
      </c>
      <c r="C56" s="105" t="str">
        <f>'Member Wise Deposit Summary'!C55</f>
        <v>Babul Hossen</v>
      </c>
      <c r="D56" s="140">
        <f>'Member Wise Deposit Summary'!D55</f>
        <v>1833903155</v>
      </c>
      <c r="E56" s="139">
        <f>'Member Wise Deposit Summary'!E55</f>
        <v>1</v>
      </c>
      <c r="F56" s="106">
        <f>'Member Wise Deposit Summary'!G55</f>
        <v>38000</v>
      </c>
      <c r="G56" s="106">
        <f>IFERROR(F56+('Share Maturity'!$C$19*E56),0)</f>
        <v>39601.617359999997</v>
      </c>
    </row>
    <row r="57" spans="2:7" ht="19.5" customHeight="1" x14ac:dyDescent="0.3">
      <c r="B57" s="137">
        <f>'Member Wise Deposit Summary'!B56</f>
        <v>53</v>
      </c>
      <c r="C57" s="102" t="str">
        <f>'Member Wise Deposit Summary'!C56</f>
        <v>Khair Ahmed</v>
      </c>
      <c r="D57" s="138">
        <f>'Member Wise Deposit Summary'!D56</f>
        <v>1897045177</v>
      </c>
      <c r="E57" s="137">
        <f>'Member Wise Deposit Summary'!E56</f>
        <v>1</v>
      </c>
      <c r="F57" s="103">
        <f>'Member Wise Deposit Summary'!G56</f>
        <v>41000</v>
      </c>
      <c r="G57" s="103">
        <f>IFERROR(F57+('Share Maturity'!$C$19*E57),0)</f>
        <v>42601.617359999997</v>
      </c>
    </row>
    <row r="58" spans="2:7" ht="19.5" customHeight="1" x14ac:dyDescent="0.3">
      <c r="B58" s="139">
        <f>'Member Wise Deposit Summary'!B57</f>
        <v>54</v>
      </c>
      <c r="C58" s="105" t="str">
        <f>'Member Wise Deposit Summary'!C57</f>
        <v>Md. Lutfar Rahman</v>
      </c>
      <c r="D58" s="140" t="str">
        <f>'Member Wise Deposit Summary'!D57</f>
        <v>00966564847790</v>
      </c>
      <c r="E58" s="139">
        <f>'Member Wise Deposit Summary'!E57</f>
        <v>1</v>
      </c>
      <c r="F58" s="106">
        <f>'Member Wise Deposit Summary'!G57</f>
        <v>41000</v>
      </c>
      <c r="G58" s="106">
        <f>IFERROR(F58+('Share Maturity'!$C$19*E58),0)</f>
        <v>42601.617359999997</v>
      </c>
    </row>
    <row r="59" spans="2:7" ht="19.5" customHeight="1" x14ac:dyDescent="0.3">
      <c r="B59" s="137">
        <f>'Member Wise Deposit Summary'!B58</f>
        <v>55</v>
      </c>
      <c r="C59" s="102" t="str">
        <f>'Member Wise Deposit Summary'!C58</f>
        <v>Abu Bakker</v>
      </c>
      <c r="D59" s="137" t="str">
        <f>'Member Wise Deposit Summary'!D58</f>
        <v>00971559969326</v>
      </c>
      <c r="E59" s="137">
        <f>'Member Wise Deposit Summary'!E58</f>
        <v>2</v>
      </c>
      <c r="F59" s="103">
        <f>'Member Wise Deposit Summary'!G58</f>
        <v>86000</v>
      </c>
      <c r="G59" s="103">
        <f>IFERROR(F59+('Share Maturity'!$C$19*E59),0)</f>
        <v>89203.234719999993</v>
      </c>
    </row>
    <row r="60" spans="2:7" ht="19.5" customHeight="1" x14ac:dyDescent="0.3">
      <c r="B60" s="139">
        <f>'Member Wise Deposit Summary'!B59</f>
        <v>56</v>
      </c>
      <c r="C60" s="105" t="str">
        <f>'Member Wise Deposit Summary'!C59</f>
        <v>Abdullah Al Mumid</v>
      </c>
      <c r="D60" s="139" t="str">
        <f>'Member Wise Deposit Summary'!D59</f>
        <v>01585430658</v>
      </c>
      <c r="E60" s="139">
        <f>'Member Wise Deposit Summary'!E59</f>
        <v>1</v>
      </c>
      <c r="F60" s="106">
        <f>'Member Wise Deposit Summary'!G59</f>
        <v>41000</v>
      </c>
      <c r="G60" s="106">
        <f>IFERROR(F60+('Share Maturity'!$C$19*E60),0)</f>
        <v>42601.617359999997</v>
      </c>
    </row>
    <row r="61" spans="2:7" ht="19.5" customHeight="1" x14ac:dyDescent="0.3">
      <c r="B61" s="137">
        <f>'Member Wise Deposit Summary'!B60</f>
        <v>57</v>
      </c>
      <c r="C61" s="102" t="str">
        <f>'Member Wise Deposit Summary'!C60</f>
        <v>Sujan Kanti Karmaker</v>
      </c>
      <c r="D61" s="137" t="str">
        <f>'Member Wise Deposit Summary'!D60</f>
        <v>01814785317</v>
      </c>
      <c r="E61" s="137">
        <f>'Member Wise Deposit Summary'!E60</f>
        <v>1</v>
      </c>
      <c r="F61" s="103">
        <f>'Member Wise Deposit Summary'!G60</f>
        <v>41000</v>
      </c>
      <c r="G61" s="103">
        <f>IFERROR(F61+('Share Maturity'!$C$19*E61),0)</f>
        <v>42601.617359999997</v>
      </c>
    </row>
    <row r="62" spans="2:7" ht="19.5" customHeight="1" x14ac:dyDescent="0.3">
      <c r="B62" s="139">
        <f>'Member Wise Deposit Summary'!B61</f>
        <v>58</v>
      </c>
      <c r="C62" s="105" t="str">
        <f>'Member Wise Deposit Summary'!C61</f>
        <v>Prokash Kanti Nath</v>
      </c>
      <c r="D62" s="139" t="str">
        <f>'Member Wise Deposit Summary'!D61</f>
        <v>01728125764</v>
      </c>
      <c r="E62" s="139">
        <f>'Member Wise Deposit Summary'!E61</f>
        <v>1</v>
      </c>
      <c r="F62" s="106">
        <f>'Member Wise Deposit Summary'!G61</f>
        <v>41000</v>
      </c>
      <c r="G62" s="106">
        <f>IFERROR(F62+('Share Maturity'!$C$19*E62),0)</f>
        <v>42601.617359999997</v>
      </c>
    </row>
    <row r="63" spans="2:7" ht="19.5" customHeight="1" x14ac:dyDescent="0.3">
      <c r="B63" s="137">
        <f>'Member Wise Deposit Summary'!B62</f>
        <v>59</v>
      </c>
      <c r="C63" s="102" t="str">
        <f>'Member Wise Deposit Summary'!C62</f>
        <v>Abdul Sabur</v>
      </c>
      <c r="D63" s="138">
        <f>'Member Wise Deposit Summary'!D62</f>
        <v>1817246488</v>
      </c>
      <c r="E63" s="137">
        <f>'Member Wise Deposit Summary'!E62</f>
        <v>1</v>
      </c>
      <c r="F63" s="103">
        <f>'Member Wise Deposit Summary'!G62</f>
        <v>41000</v>
      </c>
      <c r="G63" s="103">
        <f>IFERROR(F63+('Share Maturity'!$C$19*E63),0)</f>
        <v>42601.617359999997</v>
      </c>
    </row>
    <row r="64" spans="2:7" ht="19.5" customHeight="1" x14ac:dyDescent="0.3">
      <c r="B64" s="139">
        <f>'Member Wise Deposit Summary'!B63</f>
        <v>60</v>
      </c>
      <c r="C64" s="105" t="str">
        <f>'Member Wise Deposit Summary'!C63</f>
        <v>Ridowanul Hoque</v>
      </c>
      <c r="D64" s="140">
        <f>'Member Wise Deposit Summary'!D63</f>
        <v>1866911987</v>
      </c>
      <c r="E64" s="139">
        <f>'Member Wise Deposit Summary'!E63</f>
        <v>2</v>
      </c>
      <c r="F64" s="106">
        <f>'Member Wise Deposit Summary'!G63</f>
        <v>82000</v>
      </c>
      <c r="G64" s="106">
        <f>IFERROR(F64+('Share Maturity'!$C$19*E64),0)</f>
        <v>85203.234719999993</v>
      </c>
    </row>
    <row r="65" spans="2:7" ht="19.5" customHeight="1" x14ac:dyDescent="0.3">
      <c r="B65" s="137">
        <f>'Member Wise Deposit Summary'!B64</f>
        <v>61</v>
      </c>
      <c r="C65" s="102" t="str">
        <f>'Member Wise Deposit Summary'!C64</f>
        <v>Mohammad Toyab</v>
      </c>
      <c r="D65" s="138">
        <f>'Member Wise Deposit Summary'!D64</f>
        <v>1817504865</v>
      </c>
      <c r="E65" s="137">
        <f>'Member Wise Deposit Summary'!E64</f>
        <v>1</v>
      </c>
      <c r="F65" s="103">
        <f>'Member Wise Deposit Summary'!G64</f>
        <v>41000</v>
      </c>
      <c r="G65" s="103">
        <f>IFERROR(F65+('Share Maturity'!$C$19*E65),0)</f>
        <v>42601.617359999997</v>
      </c>
    </row>
    <row r="66" spans="2:7" ht="19.5" customHeight="1" x14ac:dyDescent="0.3">
      <c r="B66" s="139">
        <f>'Member Wise Deposit Summary'!B65</f>
        <v>62</v>
      </c>
      <c r="C66" s="105" t="str">
        <f>'Member Wise Deposit Summary'!C65</f>
        <v>Nurul Amin</v>
      </c>
      <c r="D66" s="140">
        <f>'Member Wise Deposit Summary'!D65</f>
        <v>1885316318</v>
      </c>
      <c r="E66" s="139">
        <f>'Member Wise Deposit Summary'!E65</f>
        <v>1</v>
      </c>
      <c r="F66" s="106">
        <f>'Member Wise Deposit Summary'!G65</f>
        <v>37000</v>
      </c>
      <c r="G66" s="106">
        <f>IFERROR(F66+('Share Maturity'!$C$19*E66),0)</f>
        <v>38601.617359999997</v>
      </c>
    </row>
    <row r="67" spans="2:7" ht="19.5" customHeight="1" x14ac:dyDescent="0.3">
      <c r="B67" s="137">
        <f>'Member Wise Deposit Summary'!B66</f>
        <v>63</v>
      </c>
      <c r="C67" s="102" t="str">
        <f>'Member Wise Deposit Summary'!C66</f>
        <v>Joy Sankar Karmaker</v>
      </c>
      <c r="D67" s="138">
        <f>'Member Wise Deposit Summary'!D66</f>
        <v>1827204517</v>
      </c>
      <c r="E67" s="137">
        <f>'Member Wise Deposit Summary'!E66</f>
        <v>1</v>
      </c>
      <c r="F67" s="103">
        <f>'Member Wise Deposit Summary'!G66</f>
        <v>39000</v>
      </c>
      <c r="G67" s="103">
        <f>IFERROR(F67+('Share Maturity'!$C$19*E67),0)</f>
        <v>40601.617359999997</v>
      </c>
    </row>
    <row r="68" spans="2:7" ht="19.5" customHeight="1" x14ac:dyDescent="0.3">
      <c r="B68" s="139">
        <f>'Member Wise Deposit Summary'!B67</f>
        <v>64</v>
      </c>
      <c r="C68" s="105" t="str">
        <f>'Member Wise Deposit Summary'!C67</f>
        <v>Mohammad Sahjahan</v>
      </c>
      <c r="D68" s="140" t="str">
        <f>'Member Wise Deposit Summary'!D67</f>
        <v>00971557893251</v>
      </c>
      <c r="E68" s="139">
        <f>'Member Wise Deposit Summary'!E67</f>
        <v>1</v>
      </c>
      <c r="F68" s="106">
        <f>'Member Wise Deposit Summary'!G67</f>
        <v>41000</v>
      </c>
      <c r="G68" s="106">
        <f>IFERROR(F68+('Share Maturity'!$C$19*E68),0)</f>
        <v>42601.617359999997</v>
      </c>
    </row>
    <row r="69" spans="2:7" ht="19.5" customHeight="1" x14ac:dyDescent="0.3">
      <c r="B69" s="137">
        <f>'Member Wise Deposit Summary'!B68</f>
        <v>65</v>
      </c>
      <c r="C69" s="102" t="str">
        <f>'Member Wise Deposit Summary'!C68</f>
        <v>Akter Hossen</v>
      </c>
      <c r="D69" s="138">
        <f>'Member Wise Deposit Summary'!D68</f>
        <v>1861821214</v>
      </c>
      <c r="E69" s="137">
        <f>'Member Wise Deposit Summary'!E68</f>
        <v>1</v>
      </c>
      <c r="F69" s="103">
        <f>'Member Wise Deposit Summary'!G68</f>
        <v>41000</v>
      </c>
      <c r="G69" s="103">
        <f>IFERROR(F69+('Share Maturity'!$C$19*E69),0)</f>
        <v>42601.617359999997</v>
      </c>
    </row>
    <row r="70" spans="2:7" ht="19.5" customHeight="1" x14ac:dyDescent="0.3">
      <c r="B70" s="139">
        <f>'Member Wise Deposit Summary'!B69</f>
        <v>66</v>
      </c>
      <c r="C70" s="105" t="str">
        <f>'Member Wise Deposit Summary'!C69</f>
        <v>Ehsanul Kabir</v>
      </c>
      <c r="D70" s="140" t="str">
        <f>'Member Wise Deposit Summary'!D69</f>
        <v>00971557512381</v>
      </c>
      <c r="E70" s="139">
        <f>'Member Wise Deposit Summary'!E69</f>
        <v>1</v>
      </c>
      <c r="F70" s="106">
        <f>'Member Wise Deposit Summary'!G69</f>
        <v>41000</v>
      </c>
      <c r="G70" s="106">
        <f>IFERROR(F70+('Share Maturity'!$C$19*E70),0)</f>
        <v>42601.617359999997</v>
      </c>
    </row>
    <row r="71" spans="2:7" ht="19.5" customHeight="1" x14ac:dyDescent="0.3">
      <c r="B71" s="137">
        <f>'Member Wise Deposit Summary'!B70</f>
        <v>67</v>
      </c>
      <c r="C71" s="102" t="str">
        <f>'Member Wise Deposit Summary'!C70</f>
        <v>Mohammad Sayed Uddin Forhad</v>
      </c>
      <c r="D71" s="142">
        <f>'Member Wise Deposit Summary'!D70</f>
        <v>971585735180</v>
      </c>
      <c r="E71" s="137">
        <f>'Member Wise Deposit Summary'!E70</f>
        <v>1</v>
      </c>
      <c r="F71" s="103">
        <f>'Member Wise Deposit Summary'!G70</f>
        <v>39000</v>
      </c>
      <c r="G71" s="103">
        <f>IFERROR(F71+('Share Maturity'!$C$19*E71),0)</f>
        <v>40601.617359999997</v>
      </c>
    </row>
    <row r="72" spans="2:7" ht="19.5" customHeight="1" x14ac:dyDescent="0.3">
      <c r="B72" s="139">
        <f>'Member Wise Deposit Summary'!B71</f>
        <v>68</v>
      </c>
      <c r="C72" s="105" t="str">
        <f>'Member Wise Deposit Summary'!C71</f>
        <v>Mohammad Ziabul Hoque</v>
      </c>
      <c r="D72" s="141">
        <f>'Member Wise Deposit Summary'!D71</f>
        <v>971502927559</v>
      </c>
      <c r="E72" s="139">
        <f>'Member Wise Deposit Summary'!E71</f>
        <v>1</v>
      </c>
      <c r="F72" s="106">
        <f>'Member Wise Deposit Summary'!G71</f>
        <v>39000</v>
      </c>
      <c r="G72" s="106">
        <f>IFERROR(F72+('Share Maturity'!$C$19*E72),0)</f>
        <v>40601.617359999997</v>
      </c>
    </row>
    <row r="73" spans="2:7" ht="19.5" customHeight="1" x14ac:dyDescent="0.3">
      <c r="B73" s="137">
        <f>'Member Wise Deposit Summary'!B72</f>
        <v>69</v>
      </c>
      <c r="C73" s="102" t="str">
        <f>'Member Wise Deposit Summary'!C72</f>
        <v>Mohammad Yousof</v>
      </c>
      <c r="D73" s="142">
        <f>'Member Wise Deposit Summary'!D72</f>
        <v>971561607784</v>
      </c>
      <c r="E73" s="137">
        <f>'Member Wise Deposit Summary'!E72</f>
        <v>2</v>
      </c>
      <c r="F73" s="103">
        <f>'Member Wise Deposit Summary'!G72</f>
        <v>82000</v>
      </c>
      <c r="G73" s="103">
        <f>IFERROR(F73+('Share Maturity'!$C$19*E73),0)</f>
        <v>85203.234719999993</v>
      </c>
    </row>
    <row r="74" spans="2:7" ht="19.5" customHeight="1" x14ac:dyDescent="0.3">
      <c r="B74" s="139">
        <f>'Member Wise Deposit Summary'!B73</f>
        <v>70</v>
      </c>
      <c r="C74" s="105" t="str">
        <f>'Member Wise Deposit Summary'!C73</f>
        <v>Mohammad Osman Goni</v>
      </c>
      <c r="D74" s="140">
        <f>'Member Wise Deposit Summary'!D73</f>
        <v>1814123764</v>
      </c>
      <c r="E74" s="139">
        <f>'Member Wise Deposit Summary'!E73</f>
        <v>1</v>
      </c>
      <c r="F74" s="106">
        <f>'Member Wise Deposit Summary'!G73</f>
        <v>41000</v>
      </c>
      <c r="G74" s="106">
        <f>IFERROR(F74+('Share Maturity'!$C$19*E74),0)</f>
        <v>42601.617359999997</v>
      </c>
    </row>
    <row r="75" spans="2:7" ht="19.5" customHeight="1" x14ac:dyDescent="0.3">
      <c r="B75" s="137">
        <f>'Member Wise Deposit Summary'!B74</f>
        <v>71</v>
      </c>
      <c r="C75" s="102" t="str">
        <f>'Member Wise Deposit Summary'!C74</f>
        <v>Iqbal Hossen</v>
      </c>
      <c r="D75" s="138" t="str">
        <f>'Member Wise Deposit Summary'!D74</f>
        <v>00971503805124</v>
      </c>
      <c r="E75" s="137">
        <f>'Member Wise Deposit Summary'!E74</f>
        <v>1</v>
      </c>
      <c r="F75" s="103">
        <f>'Member Wise Deposit Summary'!G74</f>
        <v>41000</v>
      </c>
      <c r="G75" s="103">
        <f>IFERROR(F75+('Share Maturity'!$C$19*E75),0)</f>
        <v>42601.617359999997</v>
      </c>
    </row>
    <row r="76" spans="2:7" ht="19.5" customHeight="1" x14ac:dyDescent="0.3">
      <c r="B76" s="139">
        <f>'Member Wise Deposit Summary'!B75</f>
        <v>72</v>
      </c>
      <c r="C76" s="105" t="str">
        <f>'Member Wise Deposit Summary'!C75</f>
        <v>Debasish Karmaker</v>
      </c>
      <c r="D76" s="140">
        <f>'Member Wise Deposit Summary'!D75</f>
        <v>1863367162</v>
      </c>
      <c r="E76" s="139">
        <f>'Member Wise Deposit Summary'!E75</f>
        <v>1</v>
      </c>
      <c r="F76" s="106">
        <f>'Member Wise Deposit Summary'!G75</f>
        <v>40000</v>
      </c>
      <c r="G76" s="106">
        <f>IFERROR(F76+('Share Maturity'!$C$19*E76),0)</f>
        <v>41601.617359999997</v>
      </c>
    </row>
    <row r="77" spans="2:7" ht="19.5" customHeight="1" x14ac:dyDescent="0.3">
      <c r="B77" s="137">
        <f>'Member Wise Deposit Summary'!B76</f>
        <v>73</v>
      </c>
      <c r="C77" s="102" t="str">
        <f>'Member Wise Deposit Summary'!C76</f>
        <v>Salim Uddin</v>
      </c>
      <c r="D77" s="138" t="str">
        <f>'Member Wise Deposit Summary'!D76</f>
        <v>00971545732130</v>
      </c>
      <c r="E77" s="137">
        <f>'Member Wise Deposit Summary'!E76</f>
        <v>1</v>
      </c>
      <c r="F77" s="103">
        <f>'Member Wise Deposit Summary'!G76</f>
        <v>41000</v>
      </c>
      <c r="G77" s="103">
        <f>IFERROR(F77+('Share Maturity'!$C$19*E77),0)</f>
        <v>42601.617359999997</v>
      </c>
    </row>
    <row r="78" spans="2:7" ht="19.5" customHeight="1" x14ac:dyDescent="0.3">
      <c r="B78" s="139">
        <f>'Member Wise Deposit Summary'!B77</f>
        <v>74</v>
      </c>
      <c r="C78" s="105" t="str">
        <f>'Member Wise Deposit Summary'!C77</f>
        <v>Mujibur Rahman</v>
      </c>
      <c r="D78" s="140" t="str">
        <f>'Member Wise Deposit Summary'!D77</f>
        <v>00966504512844</v>
      </c>
      <c r="E78" s="139">
        <f>'Member Wise Deposit Summary'!E77</f>
        <v>1</v>
      </c>
      <c r="F78" s="106">
        <f>'Member Wise Deposit Summary'!G77</f>
        <v>40000</v>
      </c>
      <c r="G78" s="106">
        <f>IFERROR(F78+('Share Maturity'!$C$19*E78),0)</f>
        <v>41601.617359999997</v>
      </c>
    </row>
    <row r="79" spans="2:7" ht="19.5" customHeight="1" x14ac:dyDescent="0.3">
      <c r="B79" s="137">
        <f>'Member Wise Deposit Summary'!B78</f>
        <v>75</v>
      </c>
      <c r="C79" s="102" t="str">
        <f>'Member Wise Deposit Summary'!C78</f>
        <v>Md. Borhan Uddin</v>
      </c>
      <c r="D79" s="138">
        <f>'Member Wise Deposit Summary'!D78</f>
        <v>1608600387</v>
      </c>
      <c r="E79" s="137">
        <f>'Member Wise Deposit Summary'!E78</f>
        <v>1</v>
      </c>
      <c r="F79" s="103">
        <f>'Member Wise Deposit Summary'!G78</f>
        <v>41000</v>
      </c>
      <c r="G79" s="103">
        <f>IFERROR(F79+('Share Maturity'!$C$19*E79),0)</f>
        <v>42601.617359999997</v>
      </c>
    </row>
    <row r="80" spans="2:7" ht="19.5" customHeight="1" x14ac:dyDescent="0.3">
      <c r="B80" s="139">
        <f>'Member Wise Deposit Summary'!B79</f>
        <v>76</v>
      </c>
      <c r="C80" s="105" t="str">
        <f>'Member Wise Deposit Summary'!C79</f>
        <v>Mokter Ahmed</v>
      </c>
      <c r="D80" s="140" t="str">
        <f>'Member Wise Deposit Summary'!D79</f>
        <v>00966554277305</v>
      </c>
      <c r="E80" s="139">
        <f>'Member Wise Deposit Summary'!E79</f>
        <v>1</v>
      </c>
      <c r="F80" s="106">
        <f>'Member Wise Deposit Summary'!G79</f>
        <v>41000</v>
      </c>
      <c r="G80" s="106">
        <f>IFERROR(F80+('Share Maturity'!$C$19*E80),0)</f>
        <v>42601.617359999997</v>
      </c>
    </row>
    <row r="81" spans="2:7" ht="19.5" customHeight="1" x14ac:dyDescent="0.3">
      <c r="B81" s="137">
        <f>'Member Wise Deposit Summary'!B80</f>
        <v>77</v>
      </c>
      <c r="C81" s="102" t="str">
        <f>'Member Wise Deposit Summary'!C80</f>
        <v>Nepal Kanti Karmaker</v>
      </c>
      <c r="D81" s="138">
        <f>'Member Wise Deposit Summary'!D80</f>
        <v>1812676040</v>
      </c>
      <c r="E81" s="137">
        <f>'Member Wise Deposit Summary'!E80</f>
        <v>1</v>
      </c>
      <c r="F81" s="103">
        <f>'Member Wise Deposit Summary'!G80</f>
        <v>41000</v>
      </c>
      <c r="G81" s="103">
        <f>IFERROR(F81+('Share Maturity'!$C$19*E81),0)</f>
        <v>42601.617359999997</v>
      </c>
    </row>
    <row r="82" spans="2:7" ht="25.5" customHeight="1" x14ac:dyDescent="0.3">
      <c r="B82" s="325" t="s">
        <v>25</v>
      </c>
      <c r="C82" s="325"/>
      <c r="D82" s="325"/>
      <c r="E82" s="325"/>
      <c r="F82" s="143">
        <f>SUM(F5:F81)</f>
        <v>5084000</v>
      </c>
      <c r="G82" s="143">
        <f>SUM(G5:G81)</f>
        <v>5284202.1699999934</v>
      </c>
    </row>
  </sheetData>
  <mergeCells count="2">
    <mergeCell ref="B2:G2"/>
    <mergeCell ref="B82:E8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DASHBOARD</vt:lpstr>
      <vt:lpstr>Member Wise Deposit Summary</vt:lpstr>
      <vt:lpstr>Month Wise Collection Summary</vt:lpstr>
      <vt:lpstr>Month Wise Expenses</vt:lpstr>
      <vt:lpstr>Monthly Collection-2023</vt:lpstr>
      <vt:lpstr>Monthly Collection-2024)</vt:lpstr>
      <vt:lpstr>Monthly Collection-2025</vt:lpstr>
      <vt:lpstr>Monthly Collection-2026</vt:lpstr>
      <vt:lpstr>Monthly Collection-2027</vt:lpstr>
      <vt:lpstr>Monthly Collection-2028</vt:lpstr>
      <vt:lpstr>CNG 1 (Zohir Ahmed)</vt:lpstr>
      <vt:lpstr>CNG 2 (Abu Taher)</vt:lpstr>
      <vt:lpstr>CNG 3 (Zahedul Islam)</vt:lpstr>
      <vt:lpstr>CNG 4 (Sajal Barua)</vt:lpstr>
      <vt:lpstr>CNG 5 (Nurul Abser)</vt:lpstr>
      <vt:lpstr>CNG 6 (Abdul Malek)</vt:lpstr>
      <vt:lpstr>Auto Rikshwa 7 (Kamal Uddin)</vt:lpstr>
      <vt:lpstr>CNG 8 (Md. Yousof)</vt:lpstr>
      <vt:lpstr>CNG 9 (Md. Alamgir</vt:lpstr>
      <vt:lpstr>Auto Rikshwa 10 (Norul Alam)</vt:lpstr>
      <vt:lpstr>Auto Rikshwa 11 (Norul Amin)</vt:lpstr>
      <vt:lpstr>CNG Summary</vt:lpstr>
      <vt:lpstr>Month Wise CNG Instlmnt Summary</vt:lpstr>
      <vt:lpstr>Central Fund Control</vt:lpstr>
      <vt:lpstr>Loan Collection Summary</vt:lpstr>
      <vt:lpstr>Investment Register</vt:lpstr>
      <vt:lpstr>Profit &amp; Loss</vt:lpstr>
      <vt:lpstr>Share Maturity</vt:lpstr>
      <vt:lpstr>Member Final Receivable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Lenovo</cp:lastModifiedBy>
  <cp:revision>4</cp:revision>
  <dcterms:created xsi:type="dcterms:W3CDTF">2025-08-16T06:15:04Z</dcterms:created>
  <dcterms:modified xsi:type="dcterms:W3CDTF">2026-10-14T09:51:32Z</dcterms:modified>
  <dc:language>en-US</dc:language>
</cp:coreProperties>
</file>